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tables/table7.xml" ContentType="application/vnd.openxmlformats-officedocument.spreadsheetml.table+xml"/>
  <Override PartName="/xl/queryTables/queryTable5.xml" ContentType="application/vnd.openxmlformats-officedocument.spreadsheetml.queryTable+xml"/>
  <Override PartName="/xl/tables/table8.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Tue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Tuekup-compatibility/2006">
    <mc:Choice Requires="x15">
      <x15ac:absPath xmlns:x15ac="http://schemas.microsoft.com/office/spreadsheetml/2010/11/ac" url="https://d.docs.live.net/eb2d7d607b1f36a0/Obsidian/40_Business/MeUp/WorkTrail/Planning/Excel prototypes/01_support_scripts/simboli-2026-09-24/"/>
    </mc:Choice>
  </mc:AlternateContent>
  <xr:revisionPtr revIDLastSave="97" documentId="13_ncr:1_{C7B0C664-60DB-4868-AD51-1DA3D4E3F630}" xr6:coauthVersionLast="47" xr6:coauthVersionMax="47" xr10:uidLastSave="{9A785CE7-3283-488C-AF5B-86A91D5CE098}"/>
  <bookViews>
    <workbookView xWindow="-98" yWindow="13403" windowWidth="21795" windowHeight="12975" firstSheet="1" activeTab="3" xr2:uid="{00000000-000D-0000-FFFF-FFFF00000000}"/>
  </bookViews>
  <sheets>
    <sheet name="Copertina" sheetId="11" r:id="rId1"/>
    <sheet name="Parametri" sheetId="1" r:id="rId2"/>
    <sheet name="Eccezioni" sheetId="10" r:id="rId3"/>
    <sheet name="Planner" sheetId="2" r:id="rId4"/>
    <sheet name="Estesa" sheetId="3" r:id="rId5"/>
    <sheet name="Calendari" sheetId="4" r:id="rId6"/>
    <sheet name="Da_file" sheetId="5" r:id="rId7"/>
    <sheet name="Info" sheetId="6" r:id="rId8"/>
    <sheet name="Fusi" sheetId="7" r:id="rId9"/>
    <sheet name="Guida" sheetId="8" r:id="rId10"/>
    <sheet name="Calcoli" sheetId="9" state="hidden" r:id="rId11"/>
  </sheets>
  <definedNames>
    <definedName name="ActivityEnd">Parametri!$F$12:$F$18</definedName>
    <definedName name="ActivityStart">Parametri!$E$12:$E$18</definedName>
    <definedName name="_xlnm.Print_Area" localSheetId="0">Copertina!$A$1:$H$44</definedName>
    <definedName name="_xlnm.Print_Area" localSheetId="2">Eccezioni!$A$1:$G$16</definedName>
    <definedName name="_xlnm.Print_Area" localSheetId="4">Estesa!$A$1:$H$66</definedName>
    <definedName name="_xlnm.Print_Area" localSheetId="3">Planner!$A$1:$H$42</definedName>
    <definedName name="AvailabilityGrid">Planner!$B$17:$H$40</definedName>
    <definedName name="AvailabilityStates">Calcoli!$R$17:$X$40</definedName>
    <definedName name="AvailableZoneCodes">ZoneCatalog[Code]</definedName>
    <definedName name="CalendarCodes">Calendari!$A$6:$A$25</definedName>
    <definedName name="CalendarKeys">Parametri!$D$12:$D$18</definedName>
    <definedName name="DataFolder">Parametri!$B$25</definedName>
    <definedName name="DatiEsterni_1" localSheetId="6" hidden="1">Da_file!$A$5:$I$547</definedName>
    <definedName name="DatiEsterni_1" localSheetId="8" hidden="1">Fusi!$A$5:$G$211</definedName>
    <definedName name="DatiEsterni_1" localSheetId="7" hidden="1">Info!$A$27:$E$218</definedName>
    <definedName name="DatiEsterni_2" localSheetId="8" hidden="1">Fusi!$J$5:$M$675</definedName>
    <definedName name="DatiEsterni_2" localSheetId="7" hidden="1">Info!$G$27:$J$274</definedName>
    <definedName name="DatiEsterni_3" localSheetId="7" hidden="1">Info!$A$7:$I$14</definedName>
    <definedName name="ExtendedStepMinutes">Parametri!$C$7</definedName>
    <definedName name="LocationLabels">Parametri!$B$12:$B$18</definedName>
    <definedName name="PlannerDate">Parametri!$C$5</definedName>
    <definedName name="ReserveAfterHours">Parametri!$J$6</definedName>
    <definedName name="ReserveBeforeHours">Parametri!$J$5</definedName>
    <definedName name="SchemaVersion">2</definedName>
    <definedName name="StartLocalTime">Parametri!$C$6</definedName>
    <definedName name="_xlnm.Print_Titles" localSheetId="4">Estesa!$1:$16</definedName>
    <definedName name="WeatherApiKey">Parametri!$B$32</definedName>
    <definedName name="WeeklyRestDays">Parametri!$G$12:$M$18</definedName>
    <definedName name="ZoneKeys">Parametri!$C$12:$C$18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9" i="10" l="1"/>
  <c r="G108" i="10"/>
  <c r="G107" i="10"/>
  <c r="G106" i="10"/>
  <c r="G105" i="10"/>
  <c r="G104" i="10"/>
  <c r="G103" i="10"/>
  <c r="G102" i="10"/>
  <c r="G101" i="10"/>
  <c r="G100" i="10"/>
  <c r="G99" i="10"/>
  <c r="G98" i="10"/>
  <c r="G97" i="10"/>
  <c r="G96" i="10"/>
  <c r="G95" i="10"/>
  <c r="G94" i="10"/>
  <c r="G93" i="10"/>
  <c r="G92" i="10"/>
  <c r="G91" i="10"/>
  <c r="G90" i="10"/>
  <c r="G89" i="10"/>
  <c r="G88" i="10"/>
  <c r="G87" i="10"/>
  <c r="G86" i="10"/>
  <c r="G85" i="10"/>
  <c r="G84" i="10"/>
  <c r="G83" i="10"/>
  <c r="G82" i="10"/>
  <c r="G81" i="10"/>
  <c r="G80" i="10"/>
  <c r="G79" i="10"/>
  <c r="G78" i="10"/>
  <c r="G77" i="10"/>
  <c r="G76" i="10"/>
  <c r="G75" i="10"/>
  <c r="G74" i="10"/>
  <c r="G73" i="10"/>
  <c r="G72" i="10"/>
  <c r="G71" i="10"/>
  <c r="G70" i="10"/>
  <c r="G69" i="10"/>
  <c r="G68" i="10"/>
  <c r="G67" i="10"/>
  <c r="G66" i="10"/>
  <c r="G65" i="10"/>
  <c r="G64" i="10"/>
  <c r="G63" i="10"/>
  <c r="G62" i="10"/>
  <c r="G61" i="10"/>
  <c r="G60" i="10"/>
  <c r="G59" i="10"/>
  <c r="G58" i="10"/>
  <c r="G57" i="10"/>
  <c r="G56" i="10"/>
  <c r="G55" i="10"/>
  <c r="G54" i="10"/>
  <c r="G53" i="10"/>
  <c r="G52" i="10"/>
  <c r="G51" i="10"/>
  <c r="G50" i="10"/>
  <c r="G49" i="10"/>
  <c r="G48" i="10"/>
  <c r="G47" i="10"/>
  <c r="G46" i="10"/>
  <c r="G45" i="10"/>
  <c r="G44" i="10"/>
  <c r="G43" i="10"/>
  <c r="G42" i="10"/>
  <c r="G41" i="10"/>
  <c r="G40" i="10"/>
  <c r="G39" i="10"/>
  <c r="G38" i="10"/>
  <c r="G37" i="10"/>
  <c r="G36" i="10"/>
  <c r="G35" i="10"/>
  <c r="G34" i="10"/>
  <c r="G33" i="10"/>
  <c r="G32" i="10"/>
  <c r="G31" i="10"/>
  <c r="G30" i="10"/>
  <c r="G29" i="10"/>
  <c r="G28" i="10"/>
  <c r="G27" i="10"/>
  <c r="G26" i="10"/>
  <c r="G25" i="10"/>
  <c r="G24" i="10"/>
  <c r="G23" i="10"/>
  <c r="G22" i="10"/>
  <c r="G21" i="10"/>
  <c r="G20" i="10"/>
  <c r="G19" i="10"/>
  <c r="G18" i="10"/>
  <c r="G17" i="10"/>
  <c r="G16" i="10"/>
  <c r="G15" i="10"/>
  <c r="G14" i="10"/>
  <c r="G13" i="10"/>
  <c r="G12" i="10"/>
  <c r="G11" i="10"/>
  <c r="G10" i="10"/>
  <c r="B4" i="6"/>
  <c r="H13" i="3"/>
  <c r="G13" i="3"/>
  <c r="F13" i="3"/>
  <c r="E13" i="3"/>
  <c r="D13" i="3"/>
  <c r="C13" i="3"/>
  <c r="B13" i="3"/>
  <c r="H12" i="3"/>
  <c r="G12" i="3"/>
  <c r="F12" i="3"/>
  <c r="E12" i="3"/>
  <c r="D12" i="3"/>
  <c r="C12" i="3"/>
  <c r="B12" i="3"/>
  <c r="H11" i="3"/>
  <c r="G11" i="3"/>
  <c r="F11" i="3"/>
  <c r="E11" i="3"/>
  <c r="D11" i="3"/>
  <c r="C11" i="3"/>
  <c r="B11" i="3"/>
  <c r="H10" i="3"/>
  <c r="G10" i="3"/>
  <c r="F10" i="3"/>
  <c r="E10" i="3"/>
  <c r="D10" i="3"/>
  <c r="C10" i="3"/>
  <c r="B10" i="3"/>
  <c r="H9" i="3"/>
  <c r="G9" i="3"/>
  <c r="F9" i="3"/>
  <c r="E9" i="3"/>
  <c r="D9" i="3"/>
  <c r="C9" i="3"/>
  <c r="B9" i="3"/>
  <c r="D5" i="3"/>
  <c r="B5" i="3"/>
  <c r="F4" i="3"/>
  <c r="H4" i="3" s="1"/>
  <c r="D4" i="3"/>
  <c r="B4" i="3"/>
  <c r="H13" i="2"/>
  <c r="H13" i="9" s="1"/>
  <c r="G13" i="2"/>
  <c r="G13" i="9" s="1"/>
  <c r="F13" i="2"/>
  <c r="F13" i="9" s="1"/>
  <c r="E13" i="2"/>
  <c r="E13" i="9" s="1"/>
  <c r="D13" i="2"/>
  <c r="D13" i="9" s="1"/>
  <c r="C13" i="2"/>
  <c r="C13" i="9" s="1"/>
  <c r="B13" i="2"/>
  <c r="B13" i="9" s="1"/>
  <c r="H12" i="2"/>
  <c r="G12" i="2"/>
  <c r="F12" i="2"/>
  <c r="E12" i="2"/>
  <c r="D12" i="2"/>
  <c r="C12" i="2"/>
  <c r="B12" i="2"/>
  <c r="H11" i="2"/>
  <c r="H11" i="9" s="1"/>
  <c r="G11" i="2"/>
  <c r="G11" i="9" s="1"/>
  <c r="F11" i="2"/>
  <c r="F11" i="9" s="1"/>
  <c r="E11" i="2"/>
  <c r="E11" i="9" s="1"/>
  <c r="D11" i="2"/>
  <c r="D11" i="9" s="1"/>
  <c r="C11" i="2"/>
  <c r="C11" i="9" s="1"/>
  <c r="B11" i="2"/>
  <c r="B11" i="9" s="1"/>
  <c r="H10" i="2"/>
  <c r="G10" i="2"/>
  <c r="F10" i="2"/>
  <c r="E10" i="2"/>
  <c r="D10" i="2"/>
  <c r="C10" i="2"/>
  <c r="B10" i="2"/>
  <c r="H9" i="2"/>
  <c r="G9" i="2"/>
  <c r="F9" i="2"/>
  <c r="E9" i="2"/>
  <c r="D9" i="2"/>
  <c r="C9" i="2"/>
  <c r="B9" i="2"/>
  <c r="D5" i="2"/>
  <c r="B5" i="2"/>
  <c r="F4" i="2"/>
  <c r="H4" i="2" s="1"/>
  <c r="D4" i="2"/>
  <c r="B4" i="2"/>
  <c r="B3" i="9" s="1"/>
  <c r="C8" i="1"/>
  <c r="H95" i="9" l="1"/>
  <c r="H96" i="9" s="1"/>
  <c r="H94" i="9"/>
  <c r="H8" i="2" s="1"/>
  <c r="G95" i="9"/>
  <c r="G96" i="9" s="1"/>
  <c r="G94" i="9"/>
  <c r="G8" i="2" s="1"/>
  <c r="F95" i="9"/>
  <c r="F96" i="9" s="1"/>
  <c r="F94" i="9"/>
  <c r="F8" i="2" s="1"/>
  <c r="E95" i="9"/>
  <c r="E96" i="9" s="1"/>
  <c r="E94" i="9"/>
  <c r="E8" i="2" s="1"/>
  <c r="D95" i="9"/>
  <c r="D96" i="9" s="1"/>
  <c r="D94" i="9"/>
  <c r="D8" i="2" s="1"/>
  <c r="C95" i="9"/>
  <c r="C96" i="9" s="1"/>
  <c r="C94" i="9"/>
  <c r="C8" i="2" s="1"/>
  <c r="B96" i="9"/>
  <c r="B8" i="2"/>
  <c r="B8" i="9"/>
  <c r="G12" i="9"/>
  <c r="D12" i="9"/>
  <c r="H12" i="9"/>
  <c r="E12" i="9"/>
  <c r="C12" i="9"/>
  <c r="F12" i="9"/>
  <c r="B12" i="9"/>
  <c r="D15" i="9"/>
  <c r="D14" i="3" s="1"/>
  <c r="D14" i="9"/>
  <c r="D14" i="2" s="1"/>
  <c r="H10" i="9"/>
  <c r="G10" i="9"/>
  <c r="F10" i="9"/>
  <c r="E10" i="9"/>
  <c r="D10" i="9"/>
  <c r="C10" i="9"/>
  <c r="B10" i="9"/>
  <c r="B4" i="9"/>
  <c r="A15" i="3"/>
  <c r="A15" i="2"/>
  <c r="H16" i="2"/>
  <c r="G16" i="2"/>
  <c r="F16" i="2"/>
  <c r="E16" i="2"/>
  <c r="D16" i="2"/>
  <c r="C16" i="2"/>
  <c r="B8" i="3" l="1"/>
  <c r="B16" i="3" s="1"/>
  <c r="B9" i="9"/>
  <c r="A2" i="2"/>
  <c r="A2" i="3"/>
  <c r="B16" i="2"/>
  <c r="H8" i="3"/>
  <c r="H16" i="3" s="1"/>
  <c r="H9" i="9"/>
  <c r="G8" i="3"/>
  <c r="G16" i="3" s="1"/>
  <c r="G9" i="9"/>
  <c r="F8" i="3"/>
  <c r="F16" i="3" s="1"/>
  <c r="F9" i="9"/>
  <c r="E8" i="3"/>
  <c r="E16" i="3" s="1"/>
  <c r="E9" i="9"/>
  <c r="D8" i="3"/>
  <c r="D16" i="3" s="1"/>
  <c r="D9" i="9"/>
  <c r="C8" i="3"/>
  <c r="C16" i="3" s="1"/>
  <c r="C9" i="9"/>
  <c r="H65" i="3"/>
  <c r="H41" i="2"/>
  <c r="G65" i="3"/>
  <c r="G41" i="2"/>
  <c r="F65" i="3"/>
  <c r="F41" i="2"/>
  <c r="E65" i="3"/>
  <c r="E41" i="2"/>
  <c r="D65" i="3"/>
  <c r="D41" i="2"/>
  <c r="C65" i="3"/>
  <c r="C41" i="2"/>
  <c r="B65" i="3"/>
  <c r="B41" i="2"/>
  <c r="B7" i="9"/>
  <c r="B5" i="9"/>
  <c r="B6" i="9" s="1"/>
  <c r="B3" i="6" s="1" a="1"/>
  <c r="A83" i="9" l="1"/>
  <c r="A86" i="9"/>
  <c r="A87" i="9"/>
  <c r="A21" i="9"/>
  <c r="A26" i="9"/>
  <c r="A28" i="9"/>
  <c r="A30" i="9"/>
  <c r="A41" i="9"/>
  <c r="A44" i="9"/>
  <c r="A48" i="9"/>
  <c r="A57" i="9"/>
  <c r="A61" i="9"/>
  <c r="A64" i="9"/>
  <c r="A67" i="9"/>
  <c r="A72" i="9"/>
  <c r="A74" i="9"/>
  <c r="A76" i="9"/>
  <c r="A84" i="9"/>
  <c r="A88" i="9"/>
  <c r="A18" i="9"/>
  <c r="A24" i="9"/>
  <c r="A31" i="9"/>
  <c r="A32" i="9"/>
  <c r="A33" i="9"/>
  <c r="A34" i="9"/>
  <c r="A35" i="9"/>
  <c r="A38" i="9"/>
  <c r="A39" i="9"/>
  <c r="A40" i="9"/>
  <c r="A42" i="9"/>
  <c r="A47" i="9"/>
  <c r="A23" i="9"/>
  <c r="A50" i="9"/>
  <c r="A20" i="9"/>
  <c r="A22" i="9"/>
  <c r="A25" i="9"/>
  <c r="A27" i="9"/>
  <c r="A29" i="9"/>
  <c r="A36" i="9"/>
  <c r="A37" i="9"/>
  <c r="A43" i="9"/>
  <c r="A45" i="9"/>
  <c r="A46" i="9"/>
  <c r="A49" i="9"/>
  <c r="A58" i="9"/>
  <c r="A60" i="9"/>
  <c r="A62" i="9"/>
  <c r="A66" i="9"/>
  <c r="A69" i="9"/>
  <c r="A71" i="9"/>
  <c r="A73" i="9"/>
  <c r="A75" i="9"/>
  <c r="A78" i="9"/>
  <c r="A81" i="9"/>
  <c r="A85" i="9"/>
  <c r="A17" i="9"/>
  <c r="A19" i="9"/>
  <c r="A51" i="9"/>
  <c r="A52" i="9"/>
  <c r="A53" i="9"/>
  <c r="A54" i="9"/>
  <c r="A55" i="9"/>
  <c r="A56" i="9"/>
  <c r="A59" i="9"/>
  <c r="A63" i="9"/>
  <c r="A65" i="9"/>
  <c r="A68" i="9"/>
  <c r="A70" i="9"/>
  <c r="A77" i="9"/>
  <c r="A79" i="9"/>
  <c r="A80" i="9"/>
  <c r="A82" i="9"/>
  <c r="F83" i="9" l="1"/>
  <c r="H83" i="9"/>
  <c r="G83" i="9"/>
  <c r="C83" i="9"/>
  <c r="B83" i="9"/>
  <c r="D83" i="9"/>
  <c r="E83" i="9"/>
  <c r="B86" i="9"/>
  <c r="C86" i="9"/>
  <c r="H86" i="9"/>
  <c r="G86" i="9"/>
  <c r="F86" i="9"/>
  <c r="E86" i="9"/>
  <c r="D86" i="9"/>
  <c r="F87" i="9"/>
  <c r="E87" i="9"/>
  <c r="G87" i="9"/>
  <c r="B87" i="9"/>
  <c r="C87" i="9"/>
  <c r="H87" i="9"/>
  <c r="D87" i="9"/>
  <c r="D21" i="9"/>
  <c r="G21" i="9"/>
  <c r="B21" i="9"/>
  <c r="E21" i="9"/>
  <c r="C21" i="9"/>
  <c r="F21" i="9"/>
  <c r="H21" i="9"/>
  <c r="B26" i="9"/>
  <c r="C26" i="9"/>
  <c r="F26" i="9"/>
  <c r="H26" i="9"/>
  <c r="E26" i="9"/>
  <c r="D26" i="9"/>
  <c r="G26" i="9"/>
  <c r="B28" i="9"/>
  <c r="G28" i="9"/>
  <c r="C28" i="9"/>
  <c r="F28" i="9"/>
  <c r="E28" i="9"/>
  <c r="D28" i="9"/>
  <c r="H28" i="9"/>
  <c r="C30" i="9"/>
  <c r="G30" i="9"/>
  <c r="F30" i="9"/>
  <c r="D30" i="9"/>
  <c r="H30" i="9"/>
  <c r="B30" i="9"/>
  <c r="E30" i="9"/>
  <c r="C41" i="9"/>
  <c r="F41" i="9"/>
  <c r="B41" i="9"/>
  <c r="G41" i="9"/>
  <c r="E41" i="9"/>
  <c r="H41" i="9"/>
  <c r="D41" i="9"/>
  <c r="C44" i="9"/>
  <c r="D44" i="9"/>
  <c r="E44" i="9"/>
  <c r="F44" i="9"/>
  <c r="G44" i="9"/>
  <c r="H44" i="9"/>
  <c r="B44" i="9"/>
  <c r="C48" i="9"/>
  <c r="D48" i="9"/>
  <c r="E48" i="9"/>
  <c r="F48" i="9"/>
  <c r="G48" i="9"/>
  <c r="H48" i="9"/>
  <c r="B48" i="9"/>
  <c r="B57" i="9"/>
  <c r="D57" i="9"/>
  <c r="F57" i="9"/>
  <c r="C57" i="9"/>
  <c r="E57" i="9"/>
  <c r="H57" i="9"/>
  <c r="G57" i="9"/>
  <c r="G61" i="9"/>
  <c r="F61" i="9"/>
  <c r="C61" i="9"/>
  <c r="E61" i="9"/>
  <c r="B61" i="9"/>
  <c r="D61" i="9"/>
  <c r="H61" i="9"/>
  <c r="H64" i="9"/>
  <c r="E64" i="9"/>
  <c r="D64" i="9"/>
  <c r="F64" i="9"/>
  <c r="B64" i="9"/>
  <c r="C64" i="9"/>
  <c r="G64" i="9"/>
  <c r="F67" i="9"/>
  <c r="E67" i="9"/>
  <c r="C67" i="9"/>
  <c r="D67" i="9"/>
  <c r="H67" i="9"/>
  <c r="B67" i="9"/>
  <c r="G67" i="9"/>
  <c r="B72" i="9"/>
  <c r="E72" i="9"/>
  <c r="H72" i="9"/>
  <c r="C72" i="9"/>
  <c r="D72" i="9"/>
  <c r="F72" i="9"/>
  <c r="G72" i="9"/>
  <c r="B74" i="9"/>
  <c r="D74" i="9"/>
  <c r="F74" i="9"/>
  <c r="H74" i="9"/>
  <c r="C74" i="9"/>
  <c r="E74" i="9"/>
  <c r="G74" i="9"/>
  <c r="B76" i="9"/>
  <c r="C76" i="9"/>
  <c r="D76" i="9"/>
  <c r="E76" i="9"/>
  <c r="F76" i="9"/>
  <c r="G76" i="9"/>
  <c r="H76" i="9"/>
  <c r="C84" i="9"/>
  <c r="D84" i="9"/>
  <c r="F84" i="9"/>
  <c r="H84" i="9"/>
  <c r="B84" i="9"/>
  <c r="E84" i="9"/>
  <c r="G84" i="9"/>
  <c r="C88" i="9"/>
  <c r="E88" i="9"/>
  <c r="G88" i="9"/>
  <c r="B88" i="9"/>
  <c r="D88" i="9"/>
  <c r="F88" i="9"/>
  <c r="H88" i="9"/>
  <c r="B18" i="9"/>
  <c r="F18" i="9"/>
  <c r="H18" i="9"/>
  <c r="C18" i="9"/>
  <c r="E18" i="9"/>
  <c r="G18" i="9"/>
  <c r="D18" i="9"/>
  <c r="E24" i="9"/>
  <c r="H24" i="9"/>
  <c r="G24" i="9"/>
  <c r="C24" i="9"/>
  <c r="D24" i="9"/>
  <c r="B24" i="9"/>
  <c r="F24" i="9"/>
  <c r="F31" i="9"/>
  <c r="B31" i="9"/>
  <c r="G31" i="9"/>
  <c r="D31" i="9"/>
  <c r="H31" i="9"/>
  <c r="C31" i="9"/>
  <c r="E31" i="9"/>
  <c r="C32" i="9"/>
  <c r="F32" i="9"/>
  <c r="D32" i="9"/>
  <c r="H32" i="9"/>
  <c r="B32" i="9"/>
  <c r="E32" i="9"/>
  <c r="G32" i="9"/>
  <c r="C33" i="9"/>
  <c r="G33" i="9"/>
  <c r="D33" i="9"/>
  <c r="H33" i="9"/>
  <c r="B33" i="9"/>
  <c r="E33" i="9"/>
  <c r="F33" i="9"/>
  <c r="D34" i="9"/>
  <c r="B34" i="9"/>
  <c r="H34" i="9"/>
  <c r="F34" i="9"/>
  <c r="C34" i="9"/>
  <c r="G34" i="9"/>
  <c r="E34" i="9"/>
  <c r="B35" i="9"/>
  <c r="G35" i="9"/>
  <c r="F35" i="9"/>
  <c r="E35" i="9"/>
  <c r="C35" i="9"/>
  <c r="H35" i="9"/>
  <c r="D35" i="9"/>
  <c r="B38" i="9"/>
  <c r="H38" i="9"/>
  <c r="F38" i="9"/>
  <c r="D38" i="9"/>
  <c r="G38" i="9"/>
  <c r="C38" i="9"/>
  <c r="E38" i="9"/>
  <c r="E39" i="9"/>
  <c r="H39" i="9"/>
  <c r="G39" i="9"/>
  <c r="C39" i="9"/>
  <c r="F39" i="9"/>
  <c r="D39" i="9"/>
  <c r="B39" i="9"/>
  <c r="B40" i="9"/>
  <c r="C40" i="9"/>
  <c r="D40" i="9"/>
  <c r="H40" i="9"/>
  <c r="G40" i="9"/>
  <c r="F40" i="9"/>
  <c r="E40" i="9"/>
  <c r="B42" i="9"/>
  <c r="H42" i="9"/>
  <c r="F42" i="9"/>
  <c r="G42" i="9"/>
  <c r="C42" i="9"/>
  <c r="D42" i="9"/>
  <c r="E42" i="9"/>
  <c r="D47" i="9"/>
  <c r="H47" i="9"/>
  <c r="F47" i="9"/>
  <c r="B47" i="9"/>
  <c r="C47" i="9"/>
  <c r="G47" i="9"/>
  <c r="E47" i="9"/>
  <c r="D23" i="9"/>
  <c r="H23" i="9"/>
  <c r="B23" i="9"/>
  <c r="E23" i="9"/>
  <c r="G23" i="9"/>
  <c r="C23" i="9"/>
  <c r="F23" i="9"/>
  <c r="C50" i="9"/>
  <c r="E50" i="9"/>
  <c r="G50" i="9"/>
  <c r="B50" i="9"/>
  <c r="D50" i="9"/>
  <c r="F50" i="9"/>
  <c r="H50" i="9"/>
  <c r="D20" i="9"/>
  <c r="G20" i="9"/>
  <c r="B20" i="9"/>
  <c r="F20" i="9"/>
  <c r="H20" i="9"/>
  <c r="C20" i="9"/>
  <c r="E20" i="9"/>
  <c r="D22" i="9"/>
  <c r="G22" i="9"/>
  <c r="C22" i="9"/>
  <c r="F22" i="9"/>
  <c r="H22" i="9"/>
  <c r="B22" i="9"/>
  <c r="E22" i="9"/>
  <c r="D25" i="9"/>
  <c r="G25" i="9"/>
  <c r="C25" i="9"/>
  <c r="F25" i="9"/>
  <c r="H25" i="9"/>
  <c r="B25" i="9"/>
  <c r="E25" i="9"/>
  <c r="E27" i="9"/>
  <c r="F27" i="9"/>
  <c r="C27" i="9"/>
  <c r="G27" i="9"/>
  <c r="B27" i="9"/>
  <c r="D27" i="9"/>
  <c r="H27" i="9"/>
  <c r="E29" i="9"/>
  <c r="C29" i="9"/>
  <c r="H29" i="9"/>
  <c r="B29" i="9"/>
  <c r="F29" i="9"/>
  <c r="D29" i="9"/>
  <c r="G29" i="9"/>
  <c r="D36" i="9"/>
  <c r="H36" i="9"/>
  <c r="C36" i="9"/>
  <c r="G36" i="9"/>
  <c r="F36" i="9"/>
  <c r="B36" i="9"/>
  <c r="E36" i="9"/>
  <c r="C37" i="9"/>
  <c r="E37" i="9"/>
  <c r="G37" i="9"/>
  <c r="B37" i="9"/>
  <c r="D37" i="9"/>
  <c r="F37" i="9"/>
  <c r="H37" i="9"/>
  <c r="C43" i="9"/>
  <c r="E43" i="9"/>
  <c r="G43" i="9"/>
  <c r="B43" i="9"/>
  <c r="D43" i="9"/>
  <c r="F43" i="9"/>
  <c r="H43" i="9"/>
  <c r="C45" i="9"/>
  <c r="E45" i="9"/>
  <c r="G45" i="9"/>
  <c r="B45" i="9"/>
  <c r="D45" i="9"/>
  <c r="F45" i="9"/>
  <c r="H45" i="9"/>
  <c r="C46" i="9"/>
  <c r="D46" i="9"/>
  <c r="F46" i="9"/>
  <c r="B46" i="9"/>
  <c r="E46" i="9"/>
  <c r="G46" i="9"/>
  <c r="H46" i="9"/>
  <c r="B49" i="9"/>
  <c r="C49" i="9"/>
  <c r="D49" i="9"/>
  <c r="E49" i="9"/>
  <c r="G49" i="9"/>
  <c r="H49" i="9"/>
  <c r="F49" i="9"/>
  <c r="F58" i="9"/>
  <c r="B58" i="9"/>
  <c r="E58" i="9"/>
  <c r="G58" i="9"/>
  <c r="C58" i="9"/>
  <c r="H58" i="9"/>
  <c r="D58" i="9"/>
  <c r="C60" i="9"/>
  <c r="D60" i="9"/>
  <c r="G60" i="9"/>
  <c r="E60" i="9"/>
  <c r="H60" i="9"/>
  <c r="B60" i="9"/>
  <c r="F60" i="9"/>
  <c r="C62" i="9"/>
  <c r="B62" i="9"/>
  <c r="F62" i="9"/>
  <c r="E62" i="9"/>
  <c r="H62" i="9"/>
  <c r="D62" i="9"/>
  <c r="G62" i="9"/>
  <c r="C66" i="9"/>
  <c r="E66" i="9"/>
  <c r="H66" i="9"/>
  <c r="B66" i="9"/>
  <c r="D66" i="9"/>
  <c r="F66" i="9"/>
  <c r="G66" i="9"/>
  <c r="C69" i="9"/>
  <c r="B69" i="9"/>
  <c r="H69" i="9"/>
  <c r="D69" i="9"/>
  <c r="G69" i="9"/>
  <c r="E69" i="9"/>
  <c r="F69" i="9"/>
  <c r="C71" i="9"/>
  <c r="G71" i="9"/>
  <c r="B71" i="9"/>
  <c r="D71" i="9"/>
  <c r="E71" i="9"/>
  <c r="F71" i="9"/>
  <c r="H71" i="9"/>
  <c r="D73" i="9"/>
  <c r="G73" i="9"/>
  <c r="B73" i="9"/>
  <c r="C73" i="9"/>
  <c r="E73" i="9"/>
  <c r="F73" i="9"/>
  <c r="H73" i="9"/>
  <c r="D75" i="9"/>
  <c r="F75" i="9"/>
  <c r="H75" i="9"/>
  <c r="B75" i="9"/>
  <c r="C75" i="9"/>
  <c r="E75" i="9"/>
  <c r="G75" i="9"/>
  <c r="C78" i="9"/>
  <c r="E78" i="9"/>
  <c r="G78" i="9"/>
  <c r="B78" i="9"/>
  <c r="D78" i="9"/>
  <c r="F78" i="9"/>
  <c r="H78" i="9"/>
  <c r="C81" i="9"/>
  <c r="E81" i="9"/>
  <c r="F81" i="9"/>
  <c r="H81" i="9"/>
  <c r="B81" i="9"/>
  <c r="D81" i="9"/>
  <c r="G81" i="9"/>
  <c r="C85" i="9"/>
  <c r="E85" i="9"/>
  <c r="G85" i="9"/>
  <c r="B85" i="9"/>
  <c r="D85" i="9"/>
  <c r="F85" i="9"/>
  <c r="H85" i="9"/>
  <c r="B17" i="9"/>
  <c r="C17" i="9"/>
  <c r="D17" i="9"/>
  <c r="E17" i="9"/>
  <c r="F17" i="9"/>
  <c r="G17" i="9"/>
  <c r="H17" i="9"/>
  <c r="D19" i="9"/>
  <c r="C19" i="9"/>
  <c r="G19" i="9"/>
  <c r="F19" i="9"/>
  <c r="E19" i="9"/>
  <c r="H19" i="9"/>
  <c r="B19" i="9"/>
  <c r="B51" i="9"/>
  <c r="C51" i="9"/>
  <c r="F51" i="9"/>
  <c r="G51" i="9"/>
  <c r="E51" i="9"/>
  <c r="D51" i="9"/>
  <c r="H51" i="9"/>
  <c r="H52" i="9"/>
  <c r="G52" i="9"/>
  <c r="F52" i="9"/>
  <c r="E52" i="9"/>
  <c r="C52" i="9"/>
  <c r="D52" i="9"/>
  <c r="B52" i="9"/>
  <c r="E53" i="9"/>
  <c r="D53" i="9"/>
  <c r="B53" i="9"/>
  <c r="C53" i="9"/>
  <c r="F53" i="9"/>
  <c r="G53" i="9"/>
  <c r="H53" i="9"/>
  <c r="C54" i="9"/>
  <c r="E54" i="9"/>
  <c r="G54" i="9"/>
  <c r="H54" i="9"/>
  <c r="B54" i="9"/>
  <c r="D54" i="9"/>
  <c r="F54" i="9"/>
  <c r="C55" i="9"/>
  <c r="D55" i="9"/>
  <c r="F55" i="9"/>
  <c r="G55" i="9"/>
  <c r="B55" i="9"/>
  <c r="E55" i="9"/>
  <c r="H55" i="9"/>
  <c r="C56" i="9"/>
  <c r="D56" i="9"/>
  <c r="E56" i="9"/>
  <c r="F56" i="9"/>
  <c r="G56" i="9"/>
  <c r="H56" i="9"/>
  <c r="B56" i="9"/>
  <c r="C59" i="9"/>
  <c r="D59" i="9"/>
  <c r="F59" i="9"/>
  <c r="H59" i="9"/>
  <c r="B59" i="9"/>
  <c r="E59" i="9"/>
  <c r="G59" i="9"/>
  <c r="C63" i="9"/>
  <c r="D63" i="9"/>
  <c r="F63" i="9"/>
  <c r="H63" i="9"/>
  <c r="B63" i="9"/>
  <c r="E63" i="9"/>
  <c r="G63" i="9"/>
  <c r="B65" i="9"/>
  <c r="C65" i="9"/>
  <c r="D65" i="9"/>
  <c r="E65" i="9"/>
  <c r="F65" i="9"/>
  <c r="G65" i="9"/>
  <c r="H65" i="9"/>
  <c r="C68" i="9"/>
  <c r="D68" i="9"/>
  <c r="F68" i="9"/>
  <c r="H68" i="9"/>
  <c r="B68" i="9"/>
  <c r="E68" i="9"/>
  <c r="G68" i="9"/>
  <c r="C70" i="9"/>
  <c r="D70" i="9"/>
  <c r="F70" i="9"/>
  <c r="H70" i="9"/>
  <c r="B70" i="9"/>
  <c r="E70" i="9"/>
  <c r="G70" i="9"/>
  <c r="C77" i="9"/>
  <c r="D77" i="9"/>
  <c r="F77" i="9"/>
  <c r="B77" i="9"/>
  <c r="E77" i="9"/>
  <c r="G77" i="9"/>
  <c r="H77" i="9"/>
  <c r="C79" i="9"/>
  <c r="D79" i="9"/>
  <c r="F79" i="9"/>
  <c r="H79" i="9"/>
  <c r="B79" i="9"/>
  <c r="E79" i="9"/>
  <c r="G79" i="9"/>
  <c r="F80" i="9"/>
  <c r="H80" i="9"/>
  <c r="E80" i="9"/>
  <c r="G80" i="9"/>
  <c r="C80" i="9"/>
  <c r="B80" i="9"/>
  <c r="D80" i="9"/>
  <c r="C82" i="9"/>
  <c r="H82" i="9"/>
  <c r="G82" i="9"/>
  <c r="D82" i="9"/>
  <c r="B82" i="9"/>
  <c r="F82" i="9"/>
  <c r="E82" i="9"/>
  <c r="A23" i="3"/>
  <c r="A19" i="3"/>
  <c r="A64" i="3"/>
  <c r="A63" i="3"/>
  <c r="A62" i="3"/>
  <c r="A61" i="3"/>
  <c r="A60" i="3"/>
  <c r="A59" i="3"/>
  <c r="A58" i="3"/>
  <c r="A57" i="3"/>
  <c r="A55" i="3"/>
  <c r="A54" i="3"/>
  <c r="A53" i="3"/>
  <c r="A52" i="3"/>
  <c r="A51" i="3"/>
  <c r="A50" i="3"/>
  <c r="A49" i="3"/>
  <c r="A48" i="3"/>
  <c r="A42" i="3"/>
  <c r="A40" i="3"/>
  <c r="A37" i="3"/>
  <c r="A36" i="3"/>
  <c r="A34" i="3"/>
  <c r="A32" i="3"/>
  <c r="A31" i="3"/>
  <c r="A30" i="3"/>
  <c r="A29" i="3"/>
  <c r="A26" i="3"/>
  <c r="A17" i="3"/>
  <c r="A56" i="3"/>
  <c r="A35" i="3"/>
  <c r="A28" i="3"/>
  <c r="A25" i="3"/>
  <c r="A47" i="3"/>
  <c r="A46" i="3"/>
  <c r="A45" i="3"/>
  <c r="A44" i="3"/>
  <c r="A43" i="3"/>
  <c r="A41" i="3"/>
  <c r="A39" i="3"/>
  <c r="A38" i="3"/>
  <c r="A33" i="3"/>
  <c r="A40" i="2"/>
  <c r="A27" i="3"/>
  <c r="A24" i="3"/>
  <c r="A22" i="3"/>
  <c r="A21" i="3"/>
  <c r="A20" i="3"/>
  <c r="A38" i="2"/>
  <c r="A37" i="2"/>
  <c r="A36" i="2"/>
  <c r="A35" i="2"/>
  <c r="A34" i="2"/>
  <c r="A33" i="2"/>
  <c r="A32" i="2"/>
  <c r="A31" i="2"/>
  <c r="A30" i="2"/>
  <c r="A29" i="2"/>
  <c r="A18" i="2"/>
  <c r="A28" i="2"/>
  <c r="A27" i="2"/>
  <c r="A26" i="2"/>
  <c r="A25" i="2"/>
  <c r="A24" i="2"/>
  <c r="A23" i="2"/>
  <c r="A22" i="2"/>
  <c r="A21" i="2"/>
  <c r="A20" i="2"/>
  <c r="A19" i="2"/>
  <c r="A17" i="2"/>
  <c r="A3" i="3"/>
  <c r="A3" i="2"/>
  <c r="A18" i="3"/>
  <c r="A39" i="2"/>
  <c r="B14" i="9" l="1"/>
  <c r="B14" i="2" s="1"/>
  <c r="B15" i="9"/>
  <c r="B14" i="3" s="1"/>
  <c r="N83" i="9"/>
  <c r="BQ83" i="9" s="1"/>
  <c r="AL83" i="9"/>
  <c r="AD83" i="9"/>
  <c r="AS83" i="9"/>
  <c r="BA83" i="9"/>
  <c r="BI83" i="9"/>
  <c r="P83" i="9"/>
  <c r="BS83" i="9" s="1"/>
  <c r="AN83" i="9"/>
  <c r="BK83" i="9"/>
  <c r="AF83" i="9"/>
  <c r="AU83" i="9"/>
  <c r="BC83" i="9"/>
  <c r="AM83" i="9"/>
  <c r="BB83" i="9"/>
  <c r="BJ83" i="9"/>
  <c r="O83" i="9"/>
  <c r="BR83" i="9" s="1"/>
  <c r="AE83" i="9"/>
  <c r="AT83" i="9"/>
  <c r="AA83" i="9"/>
  <c r="AI83" i="9"/>
  <c r="AX83" i="9"/>
  <c r="BF83" i="9"/>
  <c r="K83" i="9"/>
  <c r="BN83" i="9" s="1"/>
  <c r="AP83" i="9"/>
  <c r="Z83" i="9"/>
  <c r="AH83" i="9"/>
  <c r="AO83" i="9"/>
  <c r="BE83" i="9"/>
  <c r="J83" i="9"/>
  <c r="BM83" i="9" s="1"/>
  <c r="AW83" i="9"/>
  <c r="AQ83" i="9"/>
  <c r="L83" i="9"/>
  <c r="BO83" i="9" s="1"/>
  <c r="AB83" i="9"/>
  <c r="AJ83" i="9"/>
  <c r="AY83" i="9"/>
  <c r="BG83" i="9"/>
  <c r="AR83" i="9"/>
  <c r="M83" i="9"/>
  <c r="BP83" i="9" s="1"/>
  <c r="AC83" i="9"/>
  <c r="AK83" i="9"/>
  <c r="AZ83" i="9"/>
  <c r="BH83" i="9"/>
  <c r="J86" i="9"/>
  <c r="BM86" i="9" s="1"/>
  <c r="AO86" i="9"/>
  <c r="BE86" i="9"/>
  <c r="Z86" i="9"/>
  <c r="AH86" i="9"/>
  <c r="AW86" i="9"/>
  <c r="AI86" i="9"/>
  <c r="AP86" i="9"/>
  <c r="BF86" i="9"/>
  <c r="K86" i="9"/>
  <c r="BN86" i="9" s="1"/>
  <c r="AA86" i="9"/>
  <c r="AX86" i="9"/>
  <c r="P86" i="9"/>
  <c r="BS86" i="9" s="1"/>
  <c r="AF86" i="9"/>
  <c r="AU86" i="9"/>
  <c r="BK86" i="9"/>
  <c r="AN86" i="9"/>
  <c r="BC86" i="9"/>
  <c r="AE86" i="9"/>
  <c r="AM86" i="9"/>
  <c r="AT86" i="9"/>
  <c r="BB86" i="9"/>
  <c r="BJ86" i="9"/>
  <c r="O86" i="9"/>
  <c r="BR86" i="9" s="1"/>
  <c r="N86" i="9"/>
  <c r="BQ86" i="9" s="1"/>
  <c r="AD86" i="9"/>
  <c r="AL86" i="9"/>
  <c r="AS86" i="9"/>
  <c r="BA86" i="9"/>
  <c r="BI86" i="9"/>
  <c r="AK86" i="9"/>
  <c r="AR86" i="9"/>
  <c r="BH86" i="9"/>
  <c r="M86" i="9"/>
  <c r="BP86" i="9" s="1"/>
  <c r="AC86" i="9"/>
  <c r="AZ86" i="9"/>
  <c r="L86" i="9"/>
  <c r="BO86" i="9" s="1"/>
  <c r="AJ86" i="9"/>
  <c r="AQ86" i="9"/>
  <c r="BG86" i="9"/>
  <c r="AB86" i="9"/>
  <c r="AY86" i="9"/>
  <c r="N87" i="9"/>
  <c r="BQ87" i="9" s="1"/>
  <c r="BI87" i="9"/>
  <c r="AD87" i="9"/>
  <c r="AL87" i="9"/>
  <c r="AS87" i="9"/>
  <c r="BA87" i="9"/>
  <c r="M87" i="9"/>
  <c r="BP87" i="9" s="1"/>
  <c r="AR87" i="9"/>
  <c r="BH87" i="9"/>
  <c r="AC87" i="9"/>
  <c r="AK87" i="9"/>
  <c r="AZ87" i="9"/>
  <c r="O87" i="9"/>
  <c r="BR87" i="9" s="1"/>
  <c r="BJ87" i="9"/>
  <c r="AE87" i="9"/>
  <c r="AM87" i="9"/>
  <c r="AT87" i="9"/>
  <c r="BB87" i="9"/>
  <c r="J87" i="9"/>
  <c r="BM87" i="9" s="1"/>
  <c r="Z87" i="9"/>
  <c r="AO87" i="9"/>
  <c r="AW87" i="9"/>
  <c r="BE87" i="9"/>
  <c r="AH87" i="9"/>
  <c r="K87" i="9"/>
  <c r="BN87" i="9" s="1"/>
  <c r="AA87" i="9"/>
  <c r="AP87" i="9"/>
  <c r="AX87" i="9"/>
  <c r="BF87" i="9"/>
  <c r="AI87" i="9"/>
  <c r="P87" i="9"/>
  <c r="BS87" i="9" s="1"/>
  <c r="AU87" i="9"/>
  <c r="BC87" i="9"/>
  <c r="BK87" i="9"/>
  <c r="AF87" i="9"/>
  <c r="AN87" i="9"/>
  <c r="AB87" i="9"/>
  <c r="AQ87" i="9"/>
  <c r="AY87" i="9"/>
  <c r="L87" i="9"/>
  <c r="BO87" i="9" s="1"/>
  <c r="AJ87" i="9"/>
  <c r="BG87" i="9"/>
  <c r="AB21" i="9"/>
  <c r="BG21" i="9"/>
  <c r="L21" i="9"/>
  <c r="BO21" i="9" s="1"/>
  <c r="AJ21" i="9"/>
  <c r="AQ21" i="9"/>
  <c r="AY21" i="9"/>
  <c r="O21" i="9"/>
  <c r="BR21" i="9" s="1"/>
  <c r="AE21" i="9"/>
  <c r="BJ21" i="9"/>
  <c r="AM21" i="9"/>
  <c r="AT21" i="9"/>
  <c r="BB21" i="9"/>
  <c r="J21" i="9"/>
  <c r="BM21" i="9" s="1"/>
  <c r="Z21" i="9"/>
  <c r="AH21" i="9"/>
  <c r="AO21" i="9"/>
  <c r="BE21" i="9"/>
  <c r="AW21" i="9"/>
  <c r="AC21" i="9"/>
  <c r="BH21" i="9"/>
  <c r="M21" i="9"/>
  <c r="BP21" i="9" s="1"/>
  <c r="AK21" i="9"/>
  <c r="AR21" i="9"/>
  <c r="AZ21" i="9"/>
  <c r="K21" i="9"/>
  <c r="BN21" i="9" s="1"/>
  <c r="AI21" i="9"/>
  <c r="AA21" i="9"/>
  <c r="AP21" i="9"/>
  <c r="AX21" i="9"/>
  <c r="BF21" i="9"/>
  <c r="AL21" i="9"/>
  <c r="N21" i="9"/>
  <c r="BQ21" i="9" s="1"/>
  <c r="AD21" i="9"/>
  <c r="AS21" i="9"/>
  <c r="BA21" i="9"/>
  <c r="BI21" i="9"/>
  <c r="P21" i="9"/>
  <c r="BS21" i="9" s="1"/>
  <c r="AN21" i="9"/>
  <c r="BC21" i="9"/>
  <c r="AF21" i="9"/>
  <c r="AU21" i="9"/>
  <c r="BK21" i="9"/>
  <c r="J26" i="9"/>
  <c r="BM26" i="9" s="1"/>
  <c r="Z26" i="9"/>
  <c r="AH26" i="9"/>
  <c r="AO26" i="9"/>
  <c r="AW26" i="9"/>
  <c r="BE26" i="9"/>
  <c r="K26" i="9"/>
  <c r="BN26" i="9" s="1"/>
  <c r="AA26" i="9"/>
  <c r="AI26" i="9"/>
  <c r="AP26" i="9"/>
  <c r="AX26" i="9"/>
  <c r="BF26" i="9"/>
  <c r="N26" i="9"/>
  <c r="BQ26" i="9" s="1"/>
  <c r="AD26" i="9"/>
  <c r="AL26" i="9"/>
  <c r="AS26" i="9"/>
  <c r="BA26" i="9"/>
  <c r="BI26" i="9"/>
  <c r="P26" i="9"/>
  <c r="BS26" i="9" s="1"/>
  <c r="AF26" i="9"/>
  <c r="AN26" i="9"/>
  <c r="AU26" i="9"/>
  <c r="BC26" i="9"/>
  <c r="BK26" i="9"/>
  <c r="M26" i="9"/>
  <c r="BP26" i="9" s="1"/>
  <c r="AC26" i="9"/>
  <c r="AK26" i="9"/>
  <c r="AR26" i="9"/>
  <c r="AZ26" i="9"/>
  <c r="BH26" i="9"/>
  <c r="L26" i="9"/>
  <c r="BO26" i="9" s="1"/>
  <c r="AB26" i="9"/>
  <c r="AJ26" i="9"/>
  <c r="AQ26" i="9"/>
  <c r="AY26" i="9"/>
  <c r="BG26" i="9"/>
  <c r="O26" i="9"/>
  <c r="BR26" i="9" s="1"/>
  <c r="AE26" i="9"/>
  <c r="AM26" i="9"/>
  <c r="AT26" i="9"/>
  <c r="BB26" i="9"/>
  <c r="BJ26" i="9"/>
  <c r="J28" i="9"/>
  <c r="BM28" i="9" s="1"/>
  <c r="Z28" i="9"/>
  <c r="AH28" i="9"/>
  <c r="AO28" i="9"/>
  <c r="AW28" i="9"/>
  <c r="BE28" i="9"/>
  <c r="O28" i="9"/>
  <c r="BR28" i="9" s="1"/>
  <c r="AE28" i="9"/>
  <c r="AM28" i="9"/>
  <c r="AT28" i="9"/>
  <c r="BB28" i="9"/>
  <c r="BJ28" i="9"/>
  <c r="K28" i="9"/>
  <c r="BN28" i="9" s="1"/>
  <c r="AA28" i="9"/>
  <c r="AI28" i="9"/>
  <c r="AP28" i="9"/>
  <c r="AX28" i="9"/>
  <c r="BF28" i="9"/>
  <c r="N28" i="9"/>
  <c r="BQ28" i="9" s="1"/>
  <c r="AD28" i="9"/>
  <c r="AL28" i="9"/>
  <c r="AS28" i="9"/>
  <c r="BA28" i="9"/>
  <c r="BI28" i="9"/>
  <c r="M28" i="9"/>
  <c r="BP28" i="9" s="1"/>
  <c r="AC28" i="9"/>
  <c r="AK28" i="9"/>
  <c r="AR28" i="9"/>
  <c r="AZ28" i="9"/>
  <c r="BH28" i="9"/>
  <c r="L28" i="9"/>
  <c r="BO28" i="9" s="1"/>
  <c r="AB28" i="9"/>
  <c r="AJ28" i="9"/>
  <c r="AQ28" i="9"/>
  <c r="AY28" i="9"/>
  <c r="BG28" i="9"/>
  <c r="P28" i="9"/>
  <c r="BS28" i="9" s="1"/>
  <c r="AF28" i="9"/>
  <c r="AN28" i="9"/>
  <c r="AU28" i="9"/>
  <c r="BC28" i="9"/>
  <c r="BK28" i="9"/>
  <c r="K30" i="9"/>
  <c r="BN30" i="9" s="1"/>
  <c r="AA30" i="9"/>
  <c r="AI30" i="9"/>
  <c r="AP30" i="9"/>
  <c r="AX30" i="9"/>
  <c r="BF30" i="9"/>
  <c r="O30" i="9"/>
  <c r="BR30" i="9" s="1"/>
  <c r="AE30" i="9"/>
  <c r="AM30" i="9"/>
  <c r="AT30" i="9"/>
  <c r="BB30" i="9"/>
  <c r="BJ30" i="9"/>
  <c r="N30" i="9"/>
  <c r="BQ30" i="9" s="1"/>
  <c r="AD30" i="9"/>
  <c r="AL30" i="9"/>
  <c r="AS30" i="9"/>
  <c r="BA30" i="9"/>
  <c r="BI30" i="9"/>
  <c r="L30" i="9"/>
  <c r="BO30" i="9" s="1"/>
  <c r="AB30" i="9"/>
  <c r="AJ30" i="9"/>
  <c r="AQ30" i="9"/>
  <c r="AY30" i="9"/>
  <c r="BG30" i="9"/>
  <c r="P30" i="9"/>
  <c r="BS30" i="9" s="1"/>
  <c r="AF30" i="9"/>
  <c r="AN30" i="9"/>
  <c r="AU30" i="9"/>
  <c r="BC30" i="9"/>
  <c r="BK30" i="9"/>
  <c r="J30" i="9"/>
  <c r="BM30" i="9" s="1"/>
  <c r="Z30" i="9"/>
  <c r="AH30" i="9"/>
  <c r="AO30" i="9"/>
  <c r="AW30" i="9"/>
  <c r="BE30" i="9"/>
  <c r="M30" i="9"/>
  <c r="BP30" i="9" s="1"/>
  <c r="AC30" i="9"/>
  <c r="AK30" i="9"/>
  <c r="AR30" i="9"/>
  <c r="AZ30" i="9"/>
  <c r="BH30" i="9"/>
  <c r="AP41" i="9"/>
  <c r="BF41" i="9"/>
  <c r="K41" i="9"/>
  <c r="BN41" i="9" s="1"/>
  <c r="AA41" i="9"/>
  <c r="AI41" i="9"/>
  <c r="AX41" i="9"/>
  <c r="C15" i="9"/>
  <c r="C14" i="3" s="1"/>
  <c r="N41" i="9"/>
  <c r="BQ41" i="9" s="1"/>
  <c r="AD41" i="9"/>
  <c r="AL41" i="9"/>
  <c r="AS41" i="9"/>
  <c r="BA41" i="9"/>
  <c r="BI41" i="9"/>
  <c r="F15" i="9"/>
  <c r="F14" i="3" s="1"/>
  <c r="AH41" i="9"/>
  <c r="AO41" i="9"/>
  <c r="BE41" i="9"/>
  <c r="J41" i="9"/>
  <c r="BM41" i="9" s="1"/>
  <c r="Z41" i="9"/>
  <c r="AW41" i="9"/>
  <c r="O41" i="9"/>
  <c r="BR41" i="9" s="1"/>
  <c r="AE41" i="9"/>
  <c r="AM41" i="9"/>
  <c r="AT41" i="9"/>
  <c r="BB41" i="9"/>
  <c r="BJ41" i="9"/>
  <c r="G15" i="9"/>
  <c r="G14" i="3" s="1"/>
  <c r="AZ41" i="9"/>
  <c r="BH41" i="9"/>
  <c r="E15" i="9"/>
  <c r="E14" i="3" s="1"/>
  <c r="M41" i="9"/>
  <c r="BP41" i="9" s="1"/>
  <c r="AC41" i="9"/>
  <c r="AK41" i="9"/>
  <c r="AR41" i="9"/>
  <c r="AF41" i="9"/>
  <c r="AN41" i="9"/>
  <c r="BC41" i="9"/>
  <c r="BK41" i="9"/>
  <c r="P41" i="9"/>
  <c r="BS41" i="9" s="1"/>
  <c r="AU41" i="9"/>
  <c r="H15" i="9"/>
  <c r="H14" i="3" s="1"/>
  <c r="BG41" i="9"/>
  <c r="L41" i="9"/>
  <c r="BO41" i="9" s="1"/>
  <c r="AB41" i="9"/>
  <c r="AJ41" i="9"/>
  <c r="AQ41" i="9"/>
  <c r="AY41" i="9"/>
  <c r="K44" i="9"/>
  <c r="BN44" i="9" s="1"/>
  <c r="BF44" i="9"/>
  <c r="AA44" i="9"/>
  <c r="AI44" i="9"/>
  <c r="AP44" i="9"/>
  <c r="AX44" i="9"/>
  <c r="L44" i="9"/>
  <c r="BO44" i="9" s="1"/>
  <c r="AB44" i="9"/>
  <c r="AJ44" i="9"/>
  <c r="AQ44" i="9"/>
  <c r="AY44" i="9"/>
  <c r="BG44" i="9"/>
  <c r="M44" i="9"/>
  <c r="BP44" i="9" s="1"/>
  <c r="AC44" i="9"/>
  <c r="AK44" i="9"/>
  <c r="AR44" i="9"/>
  <c r="AZ44" i="9"/>
  <c r="BH44" i="9"/>
  <c r="N44" i="9"/>
  <c r="BQ44" i="9" s="1"/>
  <c r="BA44" i="9"/>
  <c r="BI44" i="9"/>
  <c r="AD44" i="9"/>
  <c r="AL44" i="9"/>
  <c r="AS44" i="9"/>
  <c r="O44" i="9"/>
  <c r="BR44" i="9" s="1"/>
  <c r="AE44" i="9"/>
  <c r="AM44" i="9"/>
  <c r="AT44" i="9"/>
  <c r="BB44" i="9"/>
  <c r="BJ44" i="9"/>
  <c r="P44" i="9"/>
  <c r="BS44" i="9" s="1"/>
  <c r="BC44" i="9"/>
  <c r="BK44" i="9"/>
  <c r="AF44" i="9"/>
  <c r="AN44" i="9"/>
  <c r="AU44" i="9"/>
  <c r="Z44" i="9"/>
  <c r="AH44" i="9"/>
  <c r="AO44" i="9"/>
  <c r="AW44" i="9"/>
  <c r="BE44" i="9"/>
  <c r="J44" i="9"/>
  <c r="BM44" i="9" s="1"/>
  <c r="AA48" i="9"/>
  <c r="AX48" i="9"/>
  <c r="K48" i="9"/>
  <c r="BN48" i="9" s="1"/>
  <c r="AP48" i="9"/>
  <c r="BF48" i="9"/>
  <c r="AI48" i="9"/>
  <c r="AB48" i="9"/>
  <c r="AQ48" i="9"/>
  <c r="L48" i="9"/>
  <c r="BO48" i="9" s="1"/>
  <c r="AJ48" i="9"/>
  <c r="BG48" i="9"/>
  <c r="AY48" i="9"/>
  <c r="AC48" i="9"/>
  <c r="BH48" i="9"/>
  <c r="M48" i="9"/>
  <c r="BP48" i="9" s="1"/>
  <c r="AZ48" i="9"/>
  <c r="AK48" i="9"/>
  <c r="AR48" i="9"/>
  <c r="AD48" i="9"/>
  <c r="AS48" i="9"/>
  <c r="BA48" i="9"/>
  <c r="N48" i="9"/>
  <c r="BQ48" i="9" s="1"/>
  <c r="AL48" i="9"/>
  <c r="BI48" i="9"/>
  <c r="O48" i="9"/>
  <c r="BR48" i="9" s="1"/>
  <c r="AT48" i="9"/>
  <c r="AM48" i="9"/>
  <c r="AE48" i="9"/>
  <c r="BB48" i="9"/>
  <c r="BJ48" i="9"/>
  <c r="P48" i="9"/>
  <c r="BS48" i="9" s="1"/>
  <c r="AU48" i="9"/>
  <c r="BK48" i="9"/>
  <c r="BC48" i="9"/>
  <c r="AN48" i="9"/>
  <c r="AF48" i="9"/>
  <c r="J48" i="9"/>
  <c r="BM48" i="9" s="1"/>
  <c r="AH48" i="9"/>
  <c r="AW48" i="9"/>
  <c r="AO48" i="9"/>
  <c r="BE48" i="9"/>
  <c r="Z48" i="9"/>
  <c r="AO57" i="9"/>
  <c r="BE57" i="9"/>
  <c r="Z57" i="9"/>
  <c r="AW57" i="9"/>
  <c r="J57" i="9"/>
  <c r="BM57" i="9" s="1"/>
  <c r="AH57" i="9"/>
  <c r="L57" i="9"/>
  <c r="BO57" i="9" s="1"/>
  <c r="AQ57" i="9"/>
  <c r="AY57" i="9"/>
  <c r="AJ57" i="9"/>
  <c r="BG57" i="9"/>
  <c r="AB57" i="9"/>
  <c r="BI57" i="9"/>
  <c r="AL57" i="9"/>
  <c r="AS57" i="9"/>
  <c r="AD57" i="9"/>
  <c r="BA57" i="9"/>
  <c r="N57" i="9"/>
  <c r="BQ57" i="9" s="1"/>
  <c r="AA57" i="9"/>
  <c r="BF57" i="9"/>
  <c r="AI57" i="9"/>
  <c r="AP57" i="9"/>
  <c r="K57" i="9"/>
  <c r="BN57" i="9" s="1"/>
  <c r="AX57" i="9"/>
  <c r="AR57" i="9"/>
  <c r="AK57" i="9"/>
  <c r="AC57" i="9"/>
  <c r="AZ57" i="9"/>
  <c r="M57" i="9"/>
  <c r="BP57" i="9" s="1"/>
  <c r="BH57" i="9"/>
  <c r="P57" i="9"/>
  <c r="BS57" i="9" s="1"/>
  <c r="BK57" i="9"/>
  <c r="AN57" i="9"/>
  <c r="AU57" i="9"/>
  <c r="AF57" i="9"/>
  <c r="BC57" i="9"/>
  <c r="BJ57" i="9"/>
  <c r="AT57" i="9"/>
  <c r="AE57" i="9"/>
  <c r="AM57" i="9"/>
  <c r="BB57" i="9"/>
  <c r="O57" i="9"/>
  <c r="BR57" i="9" s="1"/>
  <c r="BB61" i="9"/>
  <c r="AT61" i="9"/>
  <c r="O61" i="9"/>
  <c r="BR61" i="9" s="1"/>
  <c r="AM61" i="9"/>
  <c r="AE61" i="9"/>
  <c r="BJ61" i="9"/>
  <c r="BA61" i="9"/>
  <c r="BI61" i="9"/>
  <c r="AD61" i="9"/>
  <c r="AL61" i="9"/>
  <c r="N61" i="9"/>
  <c r="BQ61" i="9" s="1"/>
  <c r="AS61" i="9"/>
  <c r="BF61" i="9"/>
  <c r="AX61" i="9"/>
  <c r="AI61" i="9"/>
  <c r="AP61" i="9"/>
  <c r="K61" i="9"/>
  <c r="BN61" i="9" s="1"/>
  <c r="AA61" i="9"/>
  <c r="AZ61" i="9"/>
  <c r="BH61" i="9"/>
  <c r="AR61" i="9"/>
  <c r="AC61" i="9"/>
  <c r="AK61" i="9"/>
  <c r="M61" i="9"/>
  <c r="BP61" i="9" s="1"/>
  <c r="J61" i="9"/>
  <c r="BM61" i="9" s="1"/>
  <c r="AO61" i="9"/>
  <c r="Z61" i="9"/>
  <c r="AW61" i="9"/>
  <c r="AH61" i="9"/>
  <c r="BE61" i="9"/>
  <c r="AY61" i="9"/>
  <c r="AJ61" i="9"/>
  <c r="AB61" i="9"/>
  <c r="BG61" i="9"/>
  <c r="L61" i="9"/>
  <c r="BO61" i="9" s="1"/>
  <c r="AQ61" i="9"/>
  <c r="BC61" i="9"/>
  <c r="AU61" i="9"/>
  <c r="AF61" i="9"/>
  <c r="P61" i="9"/>
  <c r="BS61" i="9" s="1"/>
  <c r="AN61" i="9"/>
  <c r="BK61" i="9"/>
  <c r="BK64" i="9"/>
  <c r="P64" i="9"/>
  <c r="BS64" i="9" s="1"/>
  <c r="BC64" i="9"/>
  <c r="AF64" i="9"/>
  <c r="AU64" i="9"/>
  <c r="AN64" i="9"/>
  <c r="AC64" i="9"/>
  <c r="AZ64" i="9"/>
  <c r="AK64" i="9"/>
  <c r="BH64" i="9"/>
  <c r="M64" i="9"/>
  <c r="BP64" i="9" s="1"/>
  <c r="AR64" i="9"/>
  <c r="AB64" i="9"/>
  <c r="L64" i="9"/>
  <c r="BO64" i="9" s="1"/>
  <c r="AY64" i="9"/>
  <c r="BG64" i="9"/>
  <c r="AQ64" i="9"/>
  <c r="AJ64" i="9"/>
  <c r="BI64" i="9"/>
  <c r="AS64" i="9"/>
  <c r="N64" i="9"/>
  <c r="BQ64" i="9" s="1"/>
  <c r="AD64" i="9"/>
  <c r="AL64" i="9"/>
  <c r="BA64" i="9"/>
  <c r="Z64" i="9"/>
  <c r="AW64" i="9"/>
  <c r="BE64" i="9"/>
  <c r="AH64" i="9"/>
  <c r="J64" i="9"/>
  <c r="BM64" i="9" s="1"/>
  <c r="AO64" i="9"/>
  <c r="BF64" i="9"/>
  <c r="K64" i="9"/>
  <c r="BN64" i="9" s="1"/>
  <c r="AX64" i="9"/>
  <c r="AP64" i="9"/>
  <c r="AA64" i="9"/>
  <c r="AI64" i="9"/>
  <c r="BJ64" i="9"/>
  <c r="AM64" i="9"/>
  <c r="AE64" i="9"/>
  <c r="O64" i="9"/>
  <c r="BR64" i="9" s="1"/>
  <c r="AT64" i="9"/>
  <c r="BB64" i="9"/>
  <c r="AD67" i="9"/>
  <c r="N67" i="9"/>
  <c r="BQ67" i="9" s="1"/>
  <c r="BI67" i="9"/>
  <c r="AS67" i="9"/>
  <c r="AL67" i="9"/>
  <c r="BA67" i="9"/>
  <c r="AC67" i="9"/>
  <c r="BH67" i="9"/>
  <c r="AR67" i="9"/>
  <c r="AK67" i="9"/>
  <c r="M67" i="9"/>
  <c r="BP67" i="9" s="1"/>
  <c r="AZ67" i="9"/>
  <c r="K67" i="9"/>
  <c r="BN67" i="9" s="1"/>
  <c r="AA67" i="9"/>
  <c r="AI67" i="9"/>
  <c r="BF67" i="9"/>
  <c r="AX67" i="9"/>
  <c r="AP67" i="9"/>
  <c r="AB67" i="9"/>
  <c r="L67" i="9"/>
  <c r="BO67" i="9" s="1"/>
  <c r="AY67" i="9"/>
  <c r="AJ67" i="9"/>
  <c r="AQ67" i="9"/>
  <c r="BG67" i="9"/>
  <c r="AU67" i="9"/>
  <c r="P67" i="9"/>
  <c r="BS67" i="9" s="1"/>
  <c r="AF67" i="9"/>
  <c r="AN67" i="9"/>
  <c r="BC67" i="9"/>
  <c r="BK67" i="9"/>
  <c r="AO67" i="9"/>
  <c r="AW67" i="9"/>
  <c r="J67" i="9"/>
  <c r="BM67" i="9" s="1"/>
  <c r="BE67" i="9"/>
  <c r="Z67" i="9"/>
  <c r="AH67" i="9"/>
  <c r="BB67" i="9"/>
  <c r="O67" i="9"/>
  <c r="BR67" i="9" s="1"/>
  <c r="BJ67" i="9"/>
  <c r="AM67" i="9"/>
  <c r="AE67" i="9"/>
  <c r="AT67" i="9"/>
  <c r="Z72" i="9"/>
  <c r="BE72" i="9"/>
  <c r="AW72" i="9"/>
  <c r="AH72" i="9"/>
  <c r="J72" i="9"/>
  <c r="BM72" i="9" s="1"/>
  <c r="AO72" i="9"/>
  <c r="M72" i="9"/>
  <c r="BP72" i="9" s="1"/>
  <c r="AK72" i="9"/>
  <c r="AC72" i="9"/>
  <c r="BH72" i="9"/>
  <c r="AR72" i="9"/>
  <c r="AZ72" i="9"/>
  <c r="AF72" i="9"/>
  <c r="AN72" i="9"/>
  <c r="AU72" i="9"/>
  <c r="BK72" i="9"/>
  <c r="P72" i="9"/>
  <c r="BS72" i="9" s="1"/>
  <c r="BC72" i="9"/>
  <c r="AP72" i="9"/>
  <c r="K72" i="9"/>
  <c r="BN72" i="9" s="1"/>
  <c r="AI72" i="9"/>
  <c r="BF72" i="9"/>
  <c r="AA72" i="9"/>
  <c r="AX72" i="9"/>
  <c r="AB72" i="9"/>
  <c r="AY72" i="9"/>
  <c r="L72" i="9"/>
  <c r="BO72" i="9" s="1"/>
  <c r="AQ72" i="9"/>
  <c r="AJ72" i="9"/>
  <c r="BG72" i="9"/>
  <c r="AS72" i="9"/>
  <c r="AD72" i="9"/>
  <c r="AL72" i="9"/>
  <c r="BI72" i="9"/>
  <c r="N72" i="9"/>
  <c r="BQ72" i="9" s="1"/>
  <c r="BA72" i="9"/>
  <c r="O72" i="9"/>
  <c r="BR72" i="9" s="1"/>
  <c r="AM72" i="9"/>
  <c r="AE72" i="9"/>
  <c r="BJ72" i="9"/>
  <c r="BB72" i="9"/>
  <c r="AT72" i="9"/>
  <c r="Z74" i="9"/>
  <c r="AO74" i="9"/>
  <c r="AH74" i="9"/>
  <c r="BE74" i="9"/>
  <c r="J74" i="9"/>
  <c r="BM74" i="9" s="1"/>
  <c r="AW74" i="9"/>
  <c r="AB74" i="9"/>
  <c r="AY74" i="9"/>
  <c r="BG74" i="9"/>
  <c r="AJ74" i="9"/>
  <c r="L74" i="9"/>
  <c r="BO74" i="9" s="1"/>
  <c r="AQ74" i="9"/>
  <c r="N74" i="9"/>
  <c r="BQ74" i="9" s="1"/>
  <c r="BI74" i="9"/>
  <c r="AS74" i="9"/>
  <c r="AL74" i="9"/>
  <c r="AD74" i="9"/>
  <c r="BA74" i="9"/>
  <c r="P74" i="9"/>
  <c r="BS74" i="9" s="1"/>
  <c r="AN74" i="9"/>
  <c r="BK74" i="9"/>
  <c r="AF74" i="9"/>
  <c r="BC74" i="9"/>
  <c r="AU74" i="9"/>
  <c r="AA74" i="9"/>
  <c r="AP74" i="9"/>
  <c r="BF74" i="9"/>
  <c r="AI74" i="9"/>
  <c r="K74" i="9"/>
  <c r="BN74" i="9" s="1"/>
  <c r="AX74" i="9"/>
  <c r="M74" i="9"/>
  <c r="BP74" i="9" s="1"/>
  <c r="AZ74" i="9"/>
  <c r="AK74" i="9"/>
  <c r="BH74" i="9"/>
  <c r="AR74" i="9"/>
  <c r="AC74" i="9"/>
  <c r="BB74" i="9"/>
  <c r="AT74" i="9"/>
  <c r="AM74" i="9"/>
  <c r="AE74" i="9"/>
  <c r="O74" i="9"/>
  <c r="BR74" i="9" s="1"/>
  <c r="BJ74" i="9"/>
  <c r="AO76" i="9"/>
  <c r="AH76" i="9"/>
  <c r="Z76" i="9"/>
  <c r="BE76" i="9"/>
  <c r="J76" i="9"/>
  <c r="BM76" i="9" s="1"/>
  <c r="AW76" i="9"/>
  <c r="K76" i="9"/>
  <c r="BN76" i="9" s="1"/>
  <c r="AP76" i="9"/>
  <c r="AX76" i="9"/>
  <c r="AA76" i="9"/>
  <c r="AI76" i="9"/>
  <c r="BF76" i="9"/>
  <c r="L76" i="9"/>
  <c r="BO76" i="9" s="1"/>
  <c r="AQ76" i="9"/>
  <c r="AJ76" i="9"/>
  <c r="AY76" i="9"/>
  <c r="AB76" i="9"/>
  <c r="BG76" i="9"/>
  <c r="AC76" i="9"/>
  <c r="AZ76" i="9"/>
  <c r="AR76" i="9"/>
  <c r="M76" i="9"/>
  <c r="BP76" i="9" s="1"/>
  <c r="AK76" i="9"/>
  <c r="BH76" i="9"/>
  <c r="AL76" i="9"/>
  <c r="AD76" i="9"/>
  <c r="BA76" i="9"/>
  <c r="AS76" i="9"/>
  <c r="N76" i="9"/>
  <c r="BQ76" i="9" s="1"/>
  <c r="BI76" i="9"/>
  <c r="AE76" i="9"/>
  <c r="BB76" i="9"/>
  <c r="BJ76" i="9"/>
  <c r="AM76" i="9"/>
  <c r="O76" i="9"/>
  <c r="BR76" i="9" s="1"/>
  <c r="AT76" i="9"/>
  <c r="P76" i="9"/>
  <c r="BS76" i="9" s="1"/>
  <c r="BC76" i="9"/>
  <c r="AN76" i="9"/>
  <c r="AF76" i="9"/>
  <c r="BK76" i="9"/>
  <c r="AU76" i="9"/>
  <c r="BF84" i="9"/>
  <c r="AI84" i="9"/>
  <c r="K84" i="9"/>
  <c r="BN84" i="9" s="1"/>
  <c r="AP84" i="9"/>
  <c r="AA84" i="9"/>
  <c r="AX84" i="9"/>
  <c r="BG84" i="9"/>
  <c r="AJ84" i="9"/>
  <c r="L84" i="9"/>
  <c r="BO84" i="9" s="1"/>
  <c r="AY84" i="9"/>
  <c r="AB84" i="9"/>
  <c r="AQ84" i="9"/>
  <c r="N84" i="9"/>
  <c r="BQ84" i="9" s="1"/>
  <c r="BA84" i="9"/>
  <c r="AS84" i="9"/>
  <c r="BI84" i="9"/>
  <c r="AL84" i="9"/>
  <c r="AD84" i="9"/>
  <c r="AN84" i="9"/>
  <c r="BK84" i="9"/>
  <c r="AF84" i="9"/>
  <c r="AU84" i="9"/>
  <c r="P84" i="9"/>
  <c r="BS84" i="9" s="1"/>
  <c r="BC84" i="9"/>
  <c r="AH84" i="9"/>
  <c r="AW84" i="9"/>
  <c r="BE84" i="9"/>
  <c r="J84" i="9"/>
  <c r="BM84" i="9" s="1"/>
  <c r="AO84" i="9"/>
  <c r="Z84" i="9"/>
  <c r="M84" i="9"/>
  <c r="BP84" i="9" s="1"/>
  <c r="AR84" i="9"/>
  <c r="BH84" i="9"/>
  <c r="AK84" i="9"/>
  <c r="AC84" i="9"/>
  <c r="AZ84" i="9"/>
  <c r="AE84" i="9"/>
  <c r="BJ84" i="9"/>
  <c r="AM84" i="9"/>
  <c r="BB84" i="9"/>
  <c r="AT84" i="9"/>
  <c r="O84" i="9"/>
  <c r="BR84" i="9" s="1"/>
  <c r="AA88" i="9"/>
  <c r="AX88" i="9"/>
  <c r="BF88" i="9"/>
  <c r="AP88" i="9"/>
  <c r="K88" i="9"/>
  <c r="BN88" i="9" s="1"/>
  <c r="AI88" i="9"/>
  <c r="AC88" i="9"/>
  <c r="AK88" i="9"/>
  <c r="M88" i="9"/>
  <c r="BP88" i="9" s="1"/>
  <c r="AR88" i="9"/>
  <c r="BH88" i="9"/>
  <c r="AZ88" i="9"/>
  <c r="O88" i="9"/>
  <c r="BR88" i="9" s="1"/>
  <c r="AE88" i="9"/>
  <c r="BJ88" i="9"/>
  <c r="AT88" i="9"/>
  <c r="AM88" i="9"/>
  <c r="BB88" i="9"/>
  <c r="BE88" i="9"/>
  <c r="AW88" i="9"/>
  <c r="J88" i="9"/>
  <c r="BM88" i="9" s="1"/>
  <c r="AH88" i="9"/>
  <c r="AO88" i="9"/>
  <c r="Z88" i="9"/>
  <c r="AB88" i="9"/>
  <c r="AJ88" i="9"/>
  <c r="AQ88" i="9"/>
  <c r="BG88" i="9"/>
  <c r="L88" i="9"/>
  <c r="BO88" i="9" s="1"/>
  <c r="AY88" i="9"/>
  <c r="N88" i="9"/>
  <c r="BQ88" i="9" s="1"/>
  <c r="BA88" i="9"/>
  <c r="AD88" i="9"/>
  <c r="BI88" i="9"/>
  <c r="AL88" i="9"/>
  <c r="AS88" i="9"/>
  <c r="AU88" i="9"/>
  <c r="AN88" i="9"/>
  <c r="BK88" i="9"/>
  <c r="P88" i="9"/>
  <c r="BS88" i="9" s="1"/>
  <c r="AF88" i="9"/>
  <c r="BC88" i="9"/>
  <c r="BE18" i="9"/>
  <c r="AH18" i="9"/>
  <c r="J18" i="9"/>
  <c r="BM18" i="9" s="1"/>
  <c r="Z18" i="9"/>
  <c r="AW18" i="9"/>
  <c r="AO18" i="9"/>
  <c r="BA18" i="9"/>
  <c r="BI18" i="9"/>
  <c r="AD18" i="9"/>
  <c r="N18" i="9"/>
  <c r="BQ18" i="9" s="1"/>
  <c r="AL18" i="9"/>
  <c r="AS18" i="9"/>
  <c r="P18" i="9"/>
  <c r="BS18" i="9" s="1"/>
  <c r="AU18" i="9"/>
  <c r="AF18" i="9"/>
  <c r="BC18" i="9"/>
  <c r="AN18" i="9"/>
  <c r="BK18" i="9"/>
  <c r="K18" i="9"/>
  <c r="BN18" i="9" s="1"/>
  <c r="AI18" i="9"/>
  <c r="BF18" i="9"/>
  <c r="AA18" i="9"/>
  <c r="AX18" i="9"/>
  <c r="AP18" i="9"/>
  <c r="AR18" i="9"/>
  <c r="AZ18" i="9"/>
  <c r="AC18" i="9"/>
  <c r="M18" i="9"/>
  <c r="BP18" i="9" s="1"/>
  <c r="AK18" i="9"/>
  <c r="BH18" i="9"/>
  <c r="AM18" i="9"/>
  <c r="AT18" i="9"/>
  <c r="BJ18" i="9"/>
  <c r="BB18" i="9"/>
  <c r="O18" i="9"/>
  <c r="BR18" i="9" s="1"/>
  <c r="AE18" i="9"/>
  <c r="AB18" i="9"/>
  <c r="AY18" i="9"/>
  <c r="AJ18" i="9"/>
  <c r="L18" i="9"/>
  <c r="BO18" i="9" s="1"/>
  <c r="BG18" i="9"/>
  <c r="AQ18" i="9"/>
  <c r="AC24" i="9"/>
  <c r="AK24" i="9"/>
  <c r="AZ24" i="9"/>
  <c r="M24" i="9"/>
  <c r="BP24" i="9" s="1"/>
  <c r="AR24" i="9"/>
  <c r="BH24" i="9"/>
  <c r="AF24" i="9"/>
  <c r="P24" i="9"/>
  <c r="BS24" i="9" s="1"/>
  <c r="BC24" i="9"/>
  <c r="AU24" i="9"/>
  <c r="AN24" i="9"/>
  <c r="BK24" i="9"/>
  <c r="AE24" i="9"/>
  <c r="AM24" i="9"/>
  <c r="O24" i="9"/>
  <c r="BR24" i="9" s="1"/>
  <c r="AT24" i="9"/>
  <c r="BJ24" i="9"/>
  <c r="BB24" i="9"/>
  <c r="K24" i="9"/>
  <c r="BN24" i="9" s="1"/>
  <c r="BF24" i="9"/>
  <c r="AP24" i="9"/>
  <c r="AA24" i="9"/>
  <c r="AI24" i="9"/>
  <c r="AX24" i="9"/>
  <c r="AB24" i="9"/>
  <c r="AQ24" i="9"/>
  <c r="AY24" i="9"/>
  <c r="L24" i="9"/>
  <c r="BO24" i="9" s="1"/>
  <c r="AJ24" i="9"/>
  <c r="BG24" i="9"/>
  <c r="AO24" i="9"/>
  <c r="BE24" i="9"/>
  <c r="J24" i="9"/>
  <c r="BM24" i="9" s="1"/>
  <c r="AW24" i="9"/>
  <c r="AH24" i="9"/>
  <c r="Z24" i="9"/>
  <c r="AL24" i="9"/>
  <c r="AD24" i="9"/>
  <c r="BA24" i="9"/>
  <c r="N24" i="9"/>
  <c r="BQ24" i="9" s="1"/>
  <c r="AS24" i="9"/>
  <c r="BI24" i="9"/>
  <c r="AD31" i="9"/>
  <c r="BI31" i="9"/>
  <c r="AS31" i="9"/>
  <c r="N31" i="9"/>
  <c r="BQ31" i="9" s="1"/>
  <c r="AL31" i="9"/>
  <c r="BA31" i="9"/>
  <c r="BE31" i="9"/>
  <c r="J31" i="9"/>
  <c r="BM31" i="9" s="1"/>
  <c r="AW31" i="9"/>
  <c r="AH31" i="9"/>
  <c r="Z31" i="9"/>
  <c r="AO31" i="9"/>
  <c r="AE31" i="9"/>
  <c r="BB31" i="9"/>
  <c r="AT31" i="9"/>
  <c r="O31" i="9"/>
  <c r="BR31" i="9" s="1"/>
  <c r="AM31" i="9"/>
  <c r="BJ31" i="9"/>
  <c r="AB31" i="9"/>
  <c r="AQ31" i="9"/>
  <c r="AY31" i="9"/>
  <c r="L31" i="9"/>
  <c r="BO31" i="9" s="1"/>
  <c r="AJ31" i="9"/>
  <c r="BG31" i="9"/>
  <c r="AN31" i="9"/>
  <c r="BK31" i="9"/>
  <c r="P31" i="9"/>
  <c r="BS31" i="9" s="1"/>
  <c r="AU31" i="9"/>
  <c r="AF31" i="9"/>
  <c r="BC31" i="9"/>
  <c r="AI31" i="9"/>
  <c r="AX31" i="9"/>
  <c r="K31" i="9"/>
  <c r="BN31" i="9" s="1"/>
  <c r="BF31" i="9"/>
  <c r="AA31" i="9"/>
  <c r="AP31" i="9"/>
  <c r="AC31" i="9"/>
  <c r="AR31" i="9"/>
  <c r="M31" i="9"/>
  <c r="BP31" i="9" s="1"/>
  <c r="BH31" i="9"/>
  <c r="AK31" i="9"/>
  <c r="AZ31" i="9"/>
  <c r="BF32" i="9"/>
  <c r="K32" i="9"/>
  <c r="BN32" i="9" s="1"/>
  <c r="AP32" i="9"/>
  <c r="AA32" i="9"/>
  <c r="AI32" i="9"/>
  <c r="AX32" i="9"/>
  <c r="N32" i="9"/>
  <c r="BQ32" i="9" s="1"/>
  <c r="BA32" i="9"/>
  <c r="BI32" i="9"/>
  <c r="AS32" i="9"/>
  <c r="AD32" i="9"/>
  <c r="AL32" i="9"/>
  <c r="AQ32" i="9"/>
  <c r="L32" i="9"/>
  <c r="BO32" i="9" s="1"/>
  <c r="BG32" i="9"/>
  <c r="AY32" i="9"/>
  <c r="AB32" i="9"/>
  <c r="AJ32" i="9"/>
  <c r="BC32" i="9"/>
  <c r="P32" i="9"/>
  <c r="BS32" i="9" s="1"/>
  <c r="AN32" i="9"/>
  <c r="BK32" i="9"/>
  <c r="AF32" i="9"/>
  <c r="AU32" i="9"/>
  <c r="AO32" i="9"/>
  <c r="BE32" i="9"/>
  <c r="Z32" i="9"/>
  <c r="AW32" i="9"/>
  <c r="J32" i="9"/>
  <c r="BM32" i="9" s="1"/>
  <c r="AH32" i="9"/>
  <c r="M32" i="9"/>
  <c r="BP32" i="9" s="1"/>
  <c r="AK32" i="9"/>
  <c r="BH32" i="9"/>
  <c r="AZ32" i="9"/>
  <c r="AC32" i="9"/>
  <c r="AR32" i="9"/>
  <c r="BJ32" i="9"/>
  <c r="AT32" i="9"/>
  <c r="O32" i="9"/>
  <c r="BR32" i="9" s="1"/>
  <c r="BB32" i="9"/>
  <c r="AE32" i="9"/>
  <c r="AM32" i="9"/>
  <c r="K33" i="9"/>
  <c r="BN33" i="9" s="1"/>
  <c r="AX33" i="9"/>
  <c r="BF33" i="9"/>
  <c r="AP33" i="9"/>
  <c r="AA33" i="9"/>
  <c r="AI33" i="9"/>
  <c r="BB33" i="9"/>
  <c r="BJ33" i="9"/>
  <c r="O33" i="9"/>
  <c r="BR33" i="9" s="1"/>
  <c r="AM33" i="9"/>
  <c r="AE33" i="9"/>
  <c r="AT33" i="9"/>
  <c r="AJ33" i="9"/>
  <c r="AQ33" i="9"/>
  <c r="L33" i="9"/>
  <c r="BO33" i="9" s="1"/>
  <c r="AY33" i="9"/>
  <c r="AB33" i="9"/>
  <c r="BG33" i="9"/>
  <c r="BC33" i="9"/>
  <c r="BK33" i="9"/>
  <c r="P33" i="9"/>
  <c r="BS33" i="9" s="1"/>
  <c r="AN33" i="9"/>
  <c r="AF33" i="9"/>
  <c r="AU33" i="9"/>
  <c r="AO33" i="9"/>
  <c r="J33" i="9"/>
  <c r="BM33" i="9" s="1"/>
  <c r="BE33" i="9"/>
  <c r="AH33" i="9"/>
  <c r="Z33" i="9"/>
  <c r="AW33" i="9"/>
  <c r="AR33" i="9"/>
  <c r="BH33" i="9"/>
  <c r="M33" i="9"/>
  <c r="BP33" i="9" s="1"/>
  <c r="AK33" i="9"/>
  <c r="AC33" i="9"/>
  <c r="AZ33" i="9"/>
  <c r="N33" i="9"/>
  <c r="BQ33" i="9" s="1"/>
  <c r="AS33" i="9"/>
  <c r="BA33" i="9"/>
  <c r="BI33" i="9"/>
  <c r="AD33" i="9"/>
  <c r="AL33" i="9"/>
  <c r="AQ34" i="9"/>
  <c r="AJ34" i="9"/>
  <c r="L34" i="9"/>
  <c r="BO34" i="9" s="1"/>
  <c r="BG34" i="9"/>
  <c r="AB34" i="9"/>
  <c r="AY34" i="9"/>
  <c r="AW34" i="9"/>
  <c r="AO34" i="9"/>
  <c r="J34" i="9"/>
  <c r="BM34" i="9" s="1"/>
  <c r="BE34" i="9"/>
  <c r="Z34" i="9"/>
  <c r="AH34" i="9"/>
  <c r="P34" i="9"/>
  <c r="BS34" i="9" s="1"/>
  <c r="AU34" i="9"/>
  <c r="BC34" i="9"/>
  <c r="BK34" i="9"/>
  <c r="AF34" i="9"/>
  <c r="AN34" i="9"/>
  <c r="AL34" i="9"/>
  <c r="N34" i="9"/>
  <c r="BQ34" i="9" s="1"/>
  <c r="BI34" i="9"/>
  <c r="AS34" i="9"/>
  <c r="AD34" i="9"/>
  <c r="BA34" i="9"/>
  <c r="AP34" i="9"/>
  <c r="K34" i="9"/>
  <c r="BN34" i="9" s="1"/>
  <c r="BF34" i="9"/>
  <c r="AX34" i="9"/>
  <c r="AA34" i="9"/>
  <c r="AI34" i="9"/>
  <c r="AE34" i="9"/>
  <c r="AM34" i="9"/>
  <c r="BB34" i="9"/>
  <c r="BJ34" i="9"/>
  <c r="O34" i="9"/>
  <c r="BR34" i="9" s="1"/>
  <c r="AT34" i="9"/>
  <c r="AZ34" i="9"/>
  <c r="AC34" i="9"/>
  <c r="AK34" i="9"/>
  <c r="BH34" i="9"/>
  <c r="M34" i="9"/>
  <c r="BP34" i="9" s="1"/>
  <c r="AR34" i="9"/>
  <c r="J35" i="9"/>
  <c r="BM35" i="9" s="1"/>
  <c r="AO35" i="9"/>
  <c r="AW35" i="9"/>
  <c r="BE35" i="9"/>
  <c r="Z35" i="9"/>
  <c r="AH35" i="9"/>
  <c r="O35" i="9"/>
  <c r="BR35" i="9" s="1"/>
  <c r="AE35" i="9"/>
  <c r="AM35" i="9"/>
  <c r="AT35" i="9"/>
  <c r="BB35" i="9"/>
  <c r="BJ35" i="9"/>
  <c r="N35" i="9"/>
  <c r="BQ35" i="9" s="1"/>
  <c r="AD35" i="9"/>
  <c r="AL35" i="9"/>
  <c r="AS35" i="9"/>
  <c r="BA35" i="9"/>
  <c r="BI35" i="9"/>
  <c r="M35" i="9"/>
  <c r="BP35" i="9" s="1"/>
  <c r="AC35" i="9"/>
  <c r="AK35" i="9"/>
  <c r="AR35" i="9"/>
  <c r="AZ35" i="9"/>
  <c r="BH35" i="9"/>
  <c r="K35" i="9"/>
  <c r="BN35" i="9" s="1"/>
  <c r="AA35" i="9"/>
  <c r="AI35" i="9"/>
  <c r="AP35" i="9"/>
  <c r="AX35" i="9"/>
  <c r="BF35" i="9"/>
  <c r="P35" i="9"/>
  <c r="BS35" i="9" s="1"/>
  <c r="AF35" i="9"/>
  <c r="AN35" i="9"/>
  <c r="AU35" i="9"/>
  <c r="BC35" i="9"/>
  <c r="BK35" i="9"/>
  <c r="L35" i="9"/>
  <c r="BO35" i="9" s="1"/>
  <c r="AB35" i="9"/>
  <c r="AJ35" i="9"/>
  <c r="AQ35" i="9"/>
  <c r="AY35" i="9"/>
  <c r="BG35" i="9"/>
  <c r="J38" i="9"/>
  <c r="BM38" i="9" s="1"/>
  <c r="Z38" i="9"/>
  <c r="AH38" i="9"/>
  <c r="AW38" i="9"/>
  <c r="BE38" i="9"/>
  <c r="AO38" i="9"/>
  <c r="AN38" i="9"/>
  <c r="P38" i="9"/>
  <c r="BS38" i="9" s="1"/>
  <c r="AF38" i="9"/>
  <c r="AU38" i="9"/>
  <c r="BC38" i="9"/>
  <c r="BK38" i="9"/>
  <c r="N38" i="9"/>
  <c r="BQ38" i="9" s="1"/>
  <c r="AD38" i="9"/>
  <c r="AL38" i="9"/>
  <c r="AS38" i="9"/>
  <c r="BA38" i="9"/>
  <c r="BI38" i="9"/>
  <c r="L38" i="9"/>
  <c r="BO38" i="9" s="1"/>
  <c r="AB38" i="9"/>
  <c r="AJ38" i="9"/>
  <c r="AQ38" i="9"/>
  <c r="AY38" i="9"/>
  <c r="BG38" i="9"/>
  <c r="AM38" i="9"/>
  <c r="O38" i="9"/>
  <c r="BR38" i="9" s="1"/>
  <c r="AE38" i="9"/>
  <c r="AT38" i="9"/>
  <c r="BB38" i="9"/>
  <c r="BJ38" i="9"/>
  <c r="K38" i="9"/>
  <c r="BN38" i="9" s="1"/>
  <c r="AA38" i="9"/>
  <c r="AI38" i="9"/>
  <c r="AP38" i="9"/>
  <c r="AX38" i="9"/>
  <c r="BF38" i="9"/>
  <c r="M38" i="9"/>
  <c r="BP38" i="9" s="1"/>
  <c r="AC38" i="9"/>
  <c r="AK38" i="9"/>
  <c r="AR38" i="9"/>
  <c r="AZ38" i="9"/>
  <c r="BH38" i="9"/>
  <c r="M39" i="9"/>
  <c r="BP39" i="9" s="1"/>
  <c r="AC39" i="9"/>
  <c r="AK39" i="9"/>
  <c r="AZ39" i="9"/>
  <c r="AR39" i="9"/>
  <c r="BH39" i="9"/>
  <c r="P39" i="9"/>
  <c r="BS39" i="9" s="1"/>
  <c r="AF39" i="9"/>
  <c r="BC39" i="9"/>
  <c r="AN39" i="9"/>
  <c r="AU39" i="9"/>
  <c r="BK39" i="9"/>
  <c r="O39" i="9"/>
  <c r="BR39" i="9" s="1"/>
  <c r="AE39" i="9"/>
  <c r="BB39" i="9"/>
  <c r="AM39" i="9"/>
  <c r="AT39" i="9"/>
  <c r="BJ39" i="9"/>
  <c r="K39" i="9"/>
  <c r="BN39" i="9" s="1"/>
  <c r="AA39" i="9"/>
  <c r="AI39" i="9"/>
  <c r="AP39" i="9"/>
  <c r="AX39" i="9"/>
  <c r="BF39" i="9"/>
  <c r="N39" i="9"/>
  <c r="BQ39" i="9" s="1"/>
  <c r="AD39" i="9"/>
  <c r="AL39" i="9"/>
  <c r="BA39" i="9"/>
  <c r="AS39" i="9"/>
  <c r="BI39" i="9"/>
  <c r="L39" i="9"/>
  <c r="BO39" i="9" s="1"/>
  <c r="AB39" i="9"/>
  <c r="AJ39" i="9"/>
  <c r="AY39" i="9"/>
  <c r="AQ39" i="9"/>
  <c r="BG39" i="9"/>
  <c r="Z39" i="9"/>
  <c r="AO39" i="9"/>
  <c r="AW39" i="9"/>
  <c r="BE39" i="9"/>
  <c r="J39" i="9"/>
  <c r="BM39" i="9" s="1"/>
  <c r="AH39" i="9"/>
  <c r="J40" i="9"/>
  <c r="BM40" i="9" s="1"/>
  <c r="Z40" i="9"/>
  <c r="AH40" i="9"/>
  <c r="AW40" i="9"/>
  <c r="BE40" i="9"/>
  <c r="AO40" i="9"/>
  <c r="K40" i="9"/>
  <c r="BN40" i="9" s="1"/>
  <c r="AA40" i="9"/>
  <c r="AI40" i="9"/>
  <c r="BF40" i="9"/>
  <c r="AP40" i="9"/>
  <c r="AX40" i="9"/>
  <c r="AB40" i="9"/>
  <c r="L40" i="9"/>
  <c r="BO40" i="9" s="1"/>
  <c r="AJ40" i="9"/>
  <c r="AQ40" i="9"/>
  <c r="AY40" i="9"/>
  <c r="BG40" i="9"/>
  <c r="P40" i="9"/>
  <c r="BS40" i="9" s="1"/>
  <c r="AF40" i="9"/>
  <c r="BK40" i="9"/>
  <c r="AN40" i="9"/>
  <c r="AU40" i="9"/>
  <c r="BC40" i="9"/>
  <c r="AM40" i="9"/>
  <c r="AT40" i="9"/>
  <c r="BB40" i="9"/>
  <c r="O40" i="9"/>
  <c r="BR40" i="9" s="1"/>
  <c r="AE40" i="9"/>
  <c r="BJ40" i="9"/>
  <c r="AS40" i="9"/>
  <c r="N40" i="9"/>
  <c r="BQ40" i="9" s="1"/>
  <c r="AD40" i="9"/>
  <c r="AL40" i="9"/>
  <c r="BA40" i="9"/>
  <c r="BI40" i="9"/>
  <c r="AC40" i="9"/>
  <c r="AR40" i="9"/>
  <c r="M40" i="9"/>
  <c r="BP40" i="9" s="1"/>
  <c r="AK40" i="9"/>
  <c r="AZ40" i="9"/>
  <c r="BH40" i="9"/>
  <c r="Z42" i="9"/>
  <c r="BE42" i="9"/>
  <c r="J42" i="9"/>
  <c r="BM42" i="9" s="1"/>
  <c r="AO42" i="9"/>
  <c r="AW42" i="9"/>
  <c r="AH42" i="9"/>
  <c r="AU42" i="9"/>
  <c r="BC42" i="9"/>
  <c r="AN42" i="9"/>
  <c r="P42" i="9"/>
  <c r="BS42" i="9" s="1"/>
  <c r="AF42" i="9"/>
  <c r="BK42" i="9"/>
  <c r="BA42" i="9"/>
  <c r="N42" i="9"/>
  <c r="BQ42" i="9" s="1"/>
  <c r="AD42" i="9"/>
  <c r="AL42" i="9"/>
  <c r="AS42" i="9"/>
  <c r="BI42" i="9"/>
  <c r="AM42" i="9"/>
  <c r="O42" i="9"/>
  <c r="BR42" i="9" s="1"/>
  <c r="AT42" i="9"/>
  <c r="AE42" i="9"/>
  <c r="BB42" i="9"/>
  <c r="BJ42" i="9"/>
  <c r="BF42" i="9"/>
  <c r="AX42" i="9"/>
  <c r="K42" i="9"/>
  <c r="BN42" i="9" s="1"/>
  <c r="AI42" i="9"/>
  <c r="AP42" i="9"/>
  <c r="AA42" i="9"/>
  <c r="AY42" i="9"/>
  <c r="L42" i="9"/>
  <c r="BO42" i="9" s="1"/>
  <c r="AB42" i="9"/>
  <c r="AJ42" i="9"/>
  <c r="AQ42" i="9"/>
  <c r="BG42" i="9"/>
  <c r="AC42" i="9"/>
  <c r="AR42" i="9"/>
  <c r="M42" i="9"/>
  <c r="BP42" i="9" s="1"/>
  <c r="AK42" i="9"/>
  <c r="AZ42" i="9"/>
  <c r="BH42" i="9"/>
  <c r="L47" i="9"/>
  <c r="BO47" i="9" s="1"/>
  <c r="BG47" i="9"/>
  <c r="AB47" i="9"/>
  <c r="AJ47" i="9"/>
  <c r="AQ47" i="9"/>
  <c r="AY47" i="9"/>
  <c r="P47" i="9"/>
  <c r="BS47" i="9" s="1"/>
  <c r="AF47" i="9"/>
  <c r="AN47" i="9"/>
  <c r="BC47" i="9"/>
  <c r="BK47" i="9"/>
  <c r="AU47" i="9"/>
  <c r="BI47" i="9"/>
  <c r="AS47" i="9"/>
  <c r="BA47" i="9"/>
  <c r="N47" i="9"/>
  <c r="BQ47" i="9" s="1"/>
  <c r="AD47" i="9"/>
  <c r="AL47" i="9"/>
  <c r="AW47" i="9"/>
  <c r="AO47" i="9"/>
  <c r="AH47" i="9"/>
  <c r="Z47" i="9"/>
  <c r="J47" i="9"/>
  <c r="BM47" i="9" s="1"/>
  <c r="BE47" i="9"/>
  <c r="AA47" i="9"/>
  <c r="AP47" i="9"/>
  <c r="AI47" i="9"/>
  <c r="K47" i="9"/>
  <c r="BN47" i="9" s="1"/>
  <c r="AX47" i="9"/>
  <c r="BF47" i="9"/>
  <c r="BJ47" i="9"/>
  <c r="O47" i="9"/>
  <c r="BR47" i="9" s="1"/>
  <c r="AM47" i="9"/>
  <c r="AT47" i="9"/>
  <c r="AE47" i="9"/>
  <c r="BB47" i="9"/>
  <c r="M47" i="9"/>
  <c r="BP47" i="9" s="1"/>
  <c r="AK47" i="9"/>
  <c r="AZ47" i="9"/>
  <c r="AR47" i="9"/>
  <c r="AC47" i="9"/>
  <c r="BH47" i="9"/>
  <c r="AQ23" i="9"/>
  <c r="AY23" i="9"/>
  <c r="AB23" i="9"/>
  <c r="L23" i="9"/>
  <c r="BO23" i="9" s="1"/>
  <c r="AJ23" i="9"/>
  <c r="BG23" i="9"/>
  <c r="P23" i="9"/>
  <c r="BS23" i="9" s="1"/>
  <c r="AN23" i="9"/>
  <c r="BC23" i="9"/>
  <c r="BK23" i="9"/>
  <c r="AF23" i="9"/>
  <c r="AU23" i="9"/>
  <c r="AO23" i="9"/>
  <c r="J23" i="9"/>
  <c r="BM23" i="9" s="1"/>
  <c r="Z23" i="9"/>
  <c r="AW23" i="9"/>
  <c r="AH23" i="9"/>
  <c r="BE23" i="9"/>
  <c r="AR23" i="9"/>
  <c r="AC23" i="9"/>
  <c r="AZ23" i="9"/>
  <c r="M23" i="9"/>
  <c r="BP23" i="9" s="1"/>
  <c r="AK23" i="9"/>
  <c r="BH23" i="9"/>
  <c r="O23" i="9"/>
  <c r="BR23" i="9" s="1"/>
  <c r="AE23" i="9"/>
  <c r="AM23" i="9"/>
  <c r="BB23" i="9"/>
  <c r="AT23" i="9"/>
  <c r="BJ23" i="9"/>
  <c r="K23" i="9"/>
  <c r="BN23" i="9" s="1"/>
  <c r="AP23" i="9"/>
  <c r="BF23" i="9"/>
  <c r="AA23" i="9"/>
  <c r="AI23" i="9"/>
  <c r="AX23" i="9"/>
  <c r="N23" i="9"/>
  <c r="BQ23" i="9" s="1"/>
  <c r="AS23" i="9"/>
  <c r="BI23" i="9"/>
  <c r="AD23" i="9"/>
  <c r="AL23" i="9"/>
  <c r="BA23" i="9"/>
  <c r="AP50" i="9"/>
  <c r="BF50" i="9"/>
  <c r="K50" i="9"/>
  <c r="BN50" i="9" s="1"/>
  <c r="AI50" i="9"/>
  <c r="AX50" i="9"/>
  <c r="AA50" i="9"/>
  <c r="M50" i="9"/>
  <c r="BP50" i="9" s="1"/>
  <c r="AK50" i="9"/>
  <c r="AR50" i="9"/>
  <c r="AZ50" i="9"/>
  <c r="AC50" i="9"/>
  <c r="BH50" i="9"/>
  <c r="AM50" i="9"/>
  <c r="AE50" i="9"/>
  <c r="O50" i="9"/>
  <c r="BR50" i="9" s="1"/>
  <c r="AT50" i="9"/>
  <c r="BB50" i="9"/>
  <c r="BJ50" i="9"/>
  <c r="Z50" i="9"/>
  <c r="J50" i="9"/>
  <c r="BM50" i="9" s="1"/>
  <c r="AH50" i="9"/>
  <c r="AO50" i="9"/>
  <c r="BE50" i="9"/>
  <c r="AW50" i="9"/>
  <c r="AB50" i="9"/>
  <c r="AJ50" i="9"/>
  <c r="AY50" i="9"/>
  <c r="L50" i="9"/>
  <c r="BO50" i="9" s="1"/>
  <c r="AQ50" i="9"/>
  <c r="BG50" i="9"/>
  <c r="AD50" i="9"/>
  <c r="AL50" i="9"/>
  <c r="BI50" i="9"/>
  <c r="N50" i="9"/>
  <c r="BQ50" i="9" s="1"/>
  <c r="AS50" i="9"/>
  <c r="BA50" i="9"/>
  <c r="BC50" i="9"/>
  <c r="AF50" i="9"/>
  <c r="AU50" i="9"/>
  <c r="AN50" i="9"/>
  <c r="P50" i="9"/>
  <c r="BS50" i="9" s="1"/>
  <c r="BK50" i="9"/>
  <c r="BG20" i="9"/>
  <c r="AY20" i="9"/>
  <c r="L20" i="9"/>
  <c r="BO20" i="9" s="1"/>
  <c r="AB20" i="9"/>
  <c r="AJ20" i="9"/>
  <c r="AQ20" i="9"/>
  <c r="AE20" i="9"/>
  <c r="BB20" i="9"/>
  <c r="O20" i="9"/>
  <c r="BR20" i="9" s="1"/>
  <c r="AM20" i="9"/>
  <c r="AT20" i="9"/>
  <c r="BJ20" i="9"/>
  <c r="AH20" i="9"/>
  <c r="AO20" i="9"/>
  <c r="BE20" i="9"/>
  <c r="J20" i="9"/>
  <c r="BM20" i="9" s="1"/>
  <c r="Z20" i="9"/>
  <c r="AW20" i="9"/>
  <c r="BA20" i="9"/>
  <c r="N20" i="9"/>
  <c r="BQ20" i="9" s="1"/>
  <c r="AD20" i="9"/>
  <c r="AL20" i="9"/>
  <c r="AS20" i="9"/>
  <c r="BI20" i="9"/>
  <c r="P20" i="9"/>
  <c r="BS20" i="9" s="1"/>
  <c r="AU20" i="9"/>
  <c r="BK20" i="9"/>
  <c r="AF20" i="9"/>
  <c r="BC20" i="9"/>
  <c r="AN20" i="9"/>
  <c r="AX20" i="9"/>
  <c r="BF20" i="9"/>
  <c r="K20" i="9"/>
  <c r="BN20" i="9" s="1"/>
  <c r="AA20" i="9"/>
  <c r="AI20" i="9"/>
  <c r="AP20" i="9"/>
  <c r="AZ20" i="9"/>
  <c r="M20" i="9"/>
  <c r="BP20" i="9" s="1"/>
  <c r="AC20" i="9"/>
  <c r="AK20" i="9"/>
  <c r="AR20" i="9"/>
  <c r="BH20" i="9"/>
  <c r="L22" i="9"/>
  <c r="BO22" i="9" s="1"/>
  <c r="BG22" i="9"/>
  <c r="AB22" i="9"/>
  <c r="AQ22" i="9"/>
  <c r="AY22" i="9"/>
  <c r="AJ22" i="9"/>
  <c r="O22" i="9"/>
  <c r="BR22" i="9" s="1"/>
  <c r="AM22" i="9"/>
  <c r="AT22" i="9"/>
  <c r="BJ22" i="9"/>
  <c r="AE22" i="9"/>
  <c r="BB22" i="9"/>
  <c r="AI22" i="9"/>
  <c r="BF22" i="9"/>
  <c r="K22" i="9"/>
  <c r="BN22" i="9" s="1"/>
  <c r="AA22" i="9"/>
  <c r="AP22" i="9"/>
  <c r="AX22" i="9"/>
  <c r="AS22" i="9"/>
  <c r="N22" i="9"/>
  <c r="BQ22" i="9" s="1"/>
  <c r="AD22" i="9"/>
  <c r="AL22" i="9"/>
  <c r="BI22" i="9"/>
  <c r="BA22" i="9"/>
  <c r="P22" i="9"/>
  <c r="BS22" i="9" s="1"/>
  <c r="AN22" i="9"/>
  <c r="AU22" i="9"/>
  <c r="BK22" i="9"/>
  <c r="AF22" i="9"/>
  <c r="BC22" i="9"/>
  <c r="J22" i="9"/>
  <c r="BM22" i="9" s="1"/>
  <c r="Z22" i="9"/>
  <c r="AH22" i="9"/>
  <c r="AO22" i="9"/>
  <c r="AW22" i="9"/>
  <c r="BE22" i="9"/>
  <c r="AR22" i="9"/>
  <c r="AZ22" i="9"/>
  <c r="AC22" i="9"/>
  <c r="M22" i="9"/>
  <c r="BP22" i="9" s="1"/>
  <c r="AK22" i="9"/>
  <c r="BH22" i="9"/>
  <c r="AB25" i="9"/>
  <c r="AJ25" i="9"/>
  <c r="AQ25" i="9"/>
  <c r="AY25" i="9"/>
  <c r="BG25" i="9"/>
  <c r="L25" i="9"/>
  <c r="BO25" i="9" s="1"/>
  <c r="O25" i="9"/>
  <c r="BR25" i="9" s="1"/>
  <c r="AE25" i="9"/>
  <c r="AM25" i="9"/>
  <c r="AT25" i="9"/>
  <c r="BB25" i="9"/>
  <c r="BJ25" i="9"/>
  <c r="AA25" i="9"/>
  <c r="AI25" i="9"/>
  <c r="AP25" i="9"/>
  <c r="AX25" i="9"/>
  <c r="BF25" i="9"/>
  <c r="K25" i="9"/>
  <c r="BN25" i="9" s="1"/>
  <c r="AD25" i="9"/>
  <c r="AL25" i="9"/>
  <c r="AS25" i="9"/>
  <c r="BA25" i="9"/>
  <c r="BI25" i="9"/>
  <c r="N25" i="9"/>
  <c r="BQ25" i="9" s="1"/>
  <c r="P25" i="9"/>
  <c r="BS25" i="9" s="1"/>
  <c r="AF25" i="9"/>
  <c r="AN25" i="9"/>
  <c r="AU25" i="9"/>
  <c r="BC25" i="9"/>
  <c r="BK25" i="9"/>
  <c r="J25" i="9"/>
  <c r="BM25" i="9" s="1"/>
  <c r="Z25" i="9"/>
  <c r="AH25" i="9"/>
  <c r="AO25" i="9"/>
  <c r="AW25" i="9"/>
  <c r="BE25" i="9"/>
  <c r="M25" i="9"/>
  <c r="BP25" i="9" s="1"/>
  <c r="AC25" i="9"/>
  <c r="AK25" i="9"/>
  <c r="AR25" i="9"/>
  <c r="AZ25" i="9"/>
  <c r="BH25" i="9"/>
  <c r="M27" i="9"/>
  <c r="BP27" i="9" s="1"/>
  <c r="AC27" i="9"/>
  <c r="AK27" i="9"/>
  <c r="AR27" i="9"/>
  <c r="AZ27" i="9"/>
  <c r="BH27" i="9"/>
  <c r="N27" i="9"/>
  <c r="BQ27" i="9" s="1"/>
  <c r="AD27" i="9"/>
  <c r="AL27" i="9"/>
  <c r="AS27" i="9"/>
  <c r="BA27" i="9"/>
  <c r="BI27" i="9"/>
  <c r="K27" i="9"/>
  <c r="BN27" i="9" s="1"/>
  <c r="AA27" i="9"/>
  <c r="AI27" i="9"/>
  <c r="AP27" i="9"/>
  <c r="AX27" i="9"/>
  <c r="BF27" i="9"/>
  <c r="O27" i="9"/>
  <c r="BR27" i="9" s="1"/>
  <c r="AE27" i="9"/>
  <c r="AM27" i="9"/>
  <c r="AT27" i="9"/>
  <c r="BB27" i="9"/>
  <c r="BJ27" i="9"/>
  <c r="J27" i="9"/>
  <c r="BM27" i="9" s="1"/>
  <c r="Z27" i="9"/>
  <c r="AH27" i="9"/>
  <c r="AO27" i="9"/>
  <c r="AW27" i="9"/>
  <c r="BE27" i="9"/>
  <c r="L27" i="9"/>
  <c r="BO27" i="9" s="1"/>
  <c r="AB27" i="9"/>
  <c r="AJ27" i="9"/>
  <c r="AQ27" i="9"/>
  <c r="AY27" i="9"/>
  <c r="BG27" i="9"/>
  <c r="P27" i="9"/>
  <c r="BS27" i="9" s="1"/>
  <c r="AF27" i="9"/>
  <c r="AN27" i="9"/>
  <c r="AU27" i="9"/>
  <c r="BC27" i="9"/>
  <c r="BK27" i="9"/>
  <c r="M29" i="9"/>
  <c r="BP29" i="9" s="1"/>
  <c r="AC29" i="9"/>
  <c r="AK29" i="9"/>
  <c r="AR29" i="9"/>
  <c r="AZ29" i="9"/>
  <c r="BH29" i="9"/>
  <c r="K29" i="9"/>
  <c r="BN29" i="9" s="1"/>
  <c r="AA29" i="9"/>
  <c r="AI29" i="9"/>
  <c r="AP29" i="9"/>
  <c r="AX29" i="9"/>
  <c r="BF29" i="9"/>
  <c r="P29" i="9"/>
  <c r="BS29" i="9" s="1"/>
  <c r="AF29" i="9"/>
  <c r="AN29" i="9"/>
  <c r="AU29" i="9"/>
  <c r="BC29" i="9"/>
  <c r="BK29" i="9"/>
  <c r="J29" i="9"/>
  <c r="BM29" i="9" s="1"/>
  <c r="Z29" i="9"/>
  <c r="AH29" i="9"/>
  <c r="AO29" i="9"/>
  <c r="AW29" i="9"/>
  <c r="BE29" i="9"/>
  <c r="N29" i="9"/>
  <c r="BQ29" i="9" s="1"/>
  <c r="AD29" i="9"/>
  <c r="AL29" i="9"/>
  <c r="AS29" i="9"/>
  <c r="BA29" i="9"/>
  <c r="BI29" i="9"/>
  <c r="L29" i="9"/>
  <c r="BO29" i="9" s="1"/>
  <c r="AB29" i="9"/>
  <c r="AJ29" i="9"/>
  <c r="AQ29" i="9"/>
  <c r="AY29" i="9"/>
  <c r="BG29" i="9"/>
  <c r="O29" i="9"/>
  <c r="BR29" i="9" s="1"/>
  <c r="AE29" i="9"/>
  <c r="AM29" i="9"/>
  <c r="AT29" i="9"/>
  <c r="BB29" i="9"/>
  <c r="BJ29" i="9"/>
  <c r="L36" i="9"/>
  <c r="BO36" i="9" s="1"/>
  <c r="AB36" i="9"/>
  <c r="AJ36" i="9"/>
  <c r="AQ36" i="9"/>
  <c r="AY36" i="9"/>
  <c r="BG36" i="9"/>
  <c r="P36" i="9"/>
  <c r="BS36" i="9" s="1"/>
  <c r="AF36" i="9"/>
  <c r="AN36" i="9"/>
  <c r="AU36" i="9"/>
  <c r="BC36" i="9"/>
  <c r="BK36" i="9"/>
  <c r="K36" i="9"/>
  <c r="BN36" i="9" s="1"/>
  <c r="AA36" i="9"/>
  <c r="AI36" i="9"/>
  <c r="AP36" i="9"/>
  <c r="AX36" i="9"/>
  <c r="BF36" i="9"/>
  <c r="O36" i="9"/>
  <c r="BR36" i="9" s="1"/>
  <c r="AE36" i="9"/>
  <c r="AM36" i="9"/>
  <c r="AT36" i="9"/>
  <c r="BB36" i="9"/>
  <c r="BJ36" i="9"/>
  <c r="N36" i="9"/>
  <c r="BQ36" i="9" s="1"/>
  <c r="AD36" i="9"/>
  <c r="AL36" i="9"/>
  <c r="AS36" i="9"/>
  <c r="BA36" i="9"/>
  <c r="BI36" i="9"/>
  <c r="J36" i="9"/>
  <c r="BM36" i="9" s="1"/>
  <c r="Z36" i="9"/>
  <c r="AH36" i="9"/>
  <c r="AO36" i="9"/>
  <c r="AW36" i="9"/>
  <c r="BE36" i="9"/>
  <c r="M36" i="9"/>
  <c r="BP36" i="9" s="1"/>
  <c r="AC36" i="9"/>
  <c r="AK36" i="9"/>
  <c r="AR36" i="9"/>
  <c r="AZ36" i="9"/>
  <c r="BH36" i="9"/>
  <c r="K37" i="9"/>
  <c r="BN37" i="9" s="1"/>
  <c r="AA37" i="9"/>
  <c r="AI37" i="9"/>
  <c r="AP37" i="9"/>
  <c r="AX37" i="9"/>
  <c r="BF37" i="9"/>
  <c r="M37" i="9"/>
  <c r="BP37" i="9" s="1"/>
  <c r="AC37" i="9"/>
  <c r="AK37" i="9"/>
  <c r="AR37" i="9"/>
  <c r="AZ37" i="9"/>
  <c r="BH37" i="9"/>
  <c r="O37" i="9"/>
  <c r="BR37" i="9" s="1"/>
  <c r="AE37" i="9"/>
  <c r="AM37" i="9"/>
  <c r="AT37" i="9"/>
  <c r="BJ37" i="9"/>
  <c r="BB37" i="9"/>
  <c r="J37" i="9"/>
  <c r="BM37" i="9" s="1"/>
  <c r="Z37" i="9"/>
  <c r="AH37" i="9"/>
  <c r="AO37" i="9"/>
  <c r="AW37" i="9"/>
  <c r="BE37" i="9"/>
  <c r="L37" i="9"/>
  <c r="BO37" i="9" s="1"/>
  <c r="AB37" i="9"/>
  <c r="AJ37" i="9"/>
  <c r="AQ37" i="9"/>
  <c r="AY37" i="9"/>
  <c r="BG37" i="9"/>
  <c r="N37" i="9"/>
  <c r="BQ37" i="9" s="1"/>
  <c r="AD37" i="9"/>
  <c r="AL37" i="9"/>
  <c r="AS37" i="9"/>
  <c r="BA37" i="9"/>
  <c r="BI37" i="9"/>
  <c r="P37" i="9"/>
  <c r="BS37" i="9" s="1"/>
  <c r="AN37" i="9"/>
  <c r="AU37" i="9"/>
  <c r="BC37" i="9"/>
  <c r="BK37" i="9"/>
  <c r="AF37" i="9"/>
  <c r="AA43" i="9"/>
  <c r="AP43" i="9"/>
  <c r="AX43" i="9"/>
  <c r="BF43" i="9"/>
  <c r="K43" i="9"/>
  <c r="BN43" i="9" s="1"/>
  <c r="AI43" i="9"/>
  <c r="AC43" i="9"/>
  <c r="AR43" i="9"/>
  <c r="BH43" i="9"/>
  <c r="M43" i="9"/>
  <c r="BP43" i="9" s="1"/>
  <c r="AK43" i="9"/>
  <c r="AZ43" i="9"/>
  <c r="AE43" i="9"/>
  <c r="AT43" i="9"/>
  <c r="BJ43" i="9"/>
  <c r="O43" i="9"/>
  <c r="BR43" i="9" s="1"/>
  <c r="AM43" i="9"/>
  <c r="BB43" i="9"/>
  <c r="Z43" i="9"/>
  <c r="AO43" i="9"/>
  <c r="BE43" i="9"/>
  <c r="J43" i="9"/>
  <c r="BM43" i="9" s="1"/>
  <c r="AH43" i="9"/>
  <c r="AW43" i="9"/>
  <c r="AB43" i="9"/>
  <c r="AQ43" i="9"/>
  <c r="BG43" i="9"/>
  <c r="L43" i="9"/>
  <c r="BO43" i="9" s="1"/>
  <c r="AJ43" i="9"/>
  <c r="AY43" i="9"/>
  <c r="AD43" i="9"/>
  <c r="AS43" i="9"/>
  <c r="BI43" i="9"/>
  <c r="N43" i="9"/>
  <c r="BQ43" i="9" s="1"/>
  <c r="AL43" i="9"/>
  <c r="BA43" i="9"/>
  <c r="P43" i="9"/>
  <c r="BS43" i="9" s="1"/>
  <c r="AF43" i="9"/>
  <c r="AU43" i="9"/>
  <c r="BK43" i="9"/>
  <c r="AN43" i="9"/>
  <c r="BC43" i="9"/>
  <c r="AI45" i="9"/>
  <c r="K45" i="9"/>
  <c r="BN45" i="9" s="1"/>
  <c r="AA45" i="9"/>
  <c r="AP45" i="9"/>
  <c r="AX45" i="9"/>
  <c r="BF45" i="9"/>
  <c r="AR45" i="9"/>
  <c r="AZ45" i="9"/>
  <c r="M45" i="9"/>
  <c r="BP45" i="9" s="1"/>
  <c r="AC45" i="9"/>
  <c r="AK45" i="9"/>
  <c r="BH45" i="9"/>
  <c r="AE45" i="9"/>
  <c r="AM45" i="9"/>
  <c r="BB45" i="9"/>
  <c r="O45" i="9"/>
  <c r="BR45" i="9" s="1"/>
  <c r="AT45" i="9"/>
  <c r="BJ45" i="9"/>
  <c r="AW45" i="9"/>
  <c r="J45" i="9"/>
  <c r="BM45" i="9" s="1"/>
  <c r="Z45" i="9"/>
  <c r="AH45" i="9"/>
  <c r="AO45" i="9"/>
  <c r="BE45" i="9"/>
  <c r="AJ45" i="9"/>
  <c r="AB45" i="9"/>
  <c r="AQ45" i="9"/>
  <c r="BG45" i="9"/>
  <c r="AY45" i="9"/>
  <c r="L45" i="9"/>
  <c r="BO45" i="9" s="1"/>
  <c r="N45" i="9"/>
  <c r="BQ45" i="9" s="1"/>
  <c r="AS45" i="9"/>
  <c r="BA45" i="9"/>
  <c r="AL45" i="9"/>
  <c r="AD45" i="9"/>
  <c r="BI45" i="9"/>
  <c r="AF45" i="9"/>
  <c r="P45" i="9"/>
  <c r="BS45" i="9" s="1"/>
  <c r="AU45" i="9"/>
  <c r="AN45" i="9"/>
  <c r="BC45" i="9"/>
  <c r="BK45" i="9"/>
  <c r="AA46" i="9"/>
  <c r="K46" i="9"/>
  <c r="BN46" i="9" s="1"/>
  <c r="AI46" i="9"/>
  <c r="AX46" i="9"/>
  <c r="AP46" i="9"/>
  <c r="BF46" i="9"/>
  <c r="AB46" i="9"/>
  <c r="AY46" i="9"/>
  <c r="AQ46" i="9"/>
  <c r="L46" i="9"/>
  <c r="BO46" i="9" s="1"/>
  <c r="BG46" i="9"/>
  <c r="AJ46" i="9"/>
  <c r="AL46" i="9"/>
  <c r="BI46" i="9"/>
  <c r="AS46" i="9"/>
  <c r="N46" i="9"/>
  <c r="BQ46" i="9" s="1"/>
  <c r="AD46" i="9"/>
  <c r="BA46" i="9"/>
  <c r="AH46" i="9"/>
  <c r="AO46" i="9"/>
  <c r="AW46" i="9"/>
  <c r="J46" i="9"/>
  <c r="BM46" i="9" s="1"/>
  <c r="Z46" i="9"/>
  <c r="BE46" i="9"/>
  <c r="AK46" i="9"/>
  <c r="BH46" i="9"/>
  <c r="AR46" i="9"/>
  <c r="AC46" i="9"/>
  <c r="M46" i="9"/>
  <c r="BP46" i="9" s="1"/>
  <c r="AZ46" i="9"/>
  <c r="BJ46" i="9"/>
  <c r="AE46" i="9"/>
  <c r="O46" i="9"/>
  <c r="BR46" i="9" s="1"/>
  <c r="AM46" i="9"/>
  <c r="AT46" i="9"/>
  <c r="BB46" i="9"/>
  <c r="AU46" i="9"/>
  <c r="P46" i="9"/>
  <c r="BS46" i="9" s="1"/>
  <c r="BC46" i="9"/>
  <c r="AF46" i="9"/>
  <c r="AN46" i="9"/>
  <c r="BK46" i="9"/>
  <c r="Z49" i="9"/>
  <c r="AW49" i="9"/>
  <c r="J49" i="9"/>
  <c r="BM49" i="9" s="1"/>
  <c r="AO49" i="9"/>
  <c r="AH49" i="9"/>
  <c r="BE49" i="9"/>
  <c r="K49" i="9"/>
  <c r="BN49" i="9" s="1"/>
  <c r="AX49" i="9"/>
  <c r="AP49" i="9"/>
  <c r="AI49" i="9"/>
  <c r="BF49" i="9"/>
  <c r="AA49" i="9"/>
  <c r="AB49" i="9"/>
  <c r="AY49" i="9"/>
  <c r="L49" i="9"/>
  <c r="BO49" i="9" s="1"/>
  <c r="BG49" i="9"/>
  <c r="AQ49" i="9"/>
  <c r="AJ49" i="9"/>
  <c r="AC49" i="9"/>
  <c r="AR49" i="9"/>
  <c r="AK49" i="9"/>
  <c r="M49" i="9"/>
  <c r="BP49" i="9" s="1"/>
  <c r="BH49" i="9"/>
  <c r="AZ49" i="9"/>
  <c r="AT49" i="9"/>
  <c r="AM49" i="9"/>
  <c r="BJ49" i="9"/>
  <c r="BB49" i="9"/>
  <c r="AE49" i="9"/>
  <c r="O49" i="9"/>
  <c r="BR49" i="9" s="1"/>
  <c r="AN49" i="9"/>
  <c r="AU49" i="9"/>
  <c r="BK49" i="9"/>
  <c r="AF49" i="9"/>
  <c r="P49" i="9"/>
  <c r="BS49" i="9" s="1"/>
  <c r="BC49" i="9"/>
  <c r="N49" i="9"/>
  <c r="BQ49" i="9" s="1"/>
  <c r="BA49" i="9"/>
  <c r="AL49" i="9"/>
  <c r="AS49" i="9"/>
  <c r="BI49" i="9"/>
  <c r="AD49" i="9"/>
  <c r="BI58" i="9"/>
  <c r="N58" i="9"/>
  <c r="BQ58" i="9" s="1"/>
  <c r="BA58" i="9"/>
  <c r="AL58" i="9"/>
  <c r="AD58" i="9"/>
  <c r="AS58" i="9"/>
  <c r="J58" i="9"/>
  <c r="BM58" i="9" s="1"/>
  <c r="BE58" i="9"/>
  <c r="AH58" i="9"/>
  <c r="AW58" i="9"/>
  <c r="AO58" i="9"/>
  <c r="Z58" i="9"/>
  <c r="BH58" i="9"/>
  <c r="M58" i="9"/>
  <c r="BP58" i="9" s="1"/>
  <c r="AK58" i="9"/>
  <c r="AC58" i="9"/>
  <c r="AZ58" i="9"/>
  <c r="AR58" i="9"/>
  <c r="BB58" i="9"/>
  <c r="AE58" i="9"/>
  <c r="O58" i="9"/>
  <c r="BR58" i="9" s="1"/>
  <c r="BJ58" i="9"/>
  <c r="AM58" i="9"/>
  <c r="AT58" i="9"/>
  <c r="AA58" i="9"/>
  <c r="BF58" i="9"/>
  <c r="AX58" i="9"/>
  <c r="K58" i="9"/>
  <c r="BN58" i="9" s="1"/>
  <c r="AP58" i="9"/>
  <c r="AI58" i="9"/>
  <c r="P58" i="9"/>
  <c r="BS58" i="9" s="1"/>
  <c r="BK58" i="9"/>
  <c r="AU58" i="9"/>
  <c r="AF58" i="9"/>
  <c r="AN58" i="9"/>
  <c r="BC58" i="9"/>
  <c r="AQ58" i="9"/>
  <c r="BG58" i="9"/>
  <c r="AY58" i="9"/>
  <c r="AJ58" i="9"/>
  <c r="AB58" i="9"/>
  <c r="L58" i="9"/>
  <c r="BO58" i="9" s="1"/>
  <c r="AA60" i="9"/>
  <c r="AX60" i="9"/>
  <c r="AP60" i="9"/>
  <c r="K60" i="9"/>
  <c r="BN60" i="9" s="1"/>
  <c r="AI60" i="9"/>
  <c r="BF60" i="9"/>
  <c r="AJ60" i="9"/>
  <c r="L60" i="9"/>
  <c r="BO60" i="9" s="1"/>
  <c r="AB60" i="9"/>
  <c r="BG60" i="9"/>
  <c r="AQ60" i="9"/>
  <c r="AY60" i="9"/>
  <c r="AE60" i="9"/>
  <c r="BJ60" i="9"/>
  <c r="BB60" i="9"/>
  <c r="AT60" i="9"/>
  <c r="AM60" i="9"/>
  <c r="O60" i="9"/>
  <c r="BR60" i="9" s="1"/>
  <c r="BH60" i="9"/>
  <c r="M60" i="9"/>
  <c r="BP60" i="9" s="1"/>
  <c r="AZ60" i="9"/>
  <c r="AR60" i="9"/>
  <c r="AK60" i="9"/>
  <c r="AC60" i="9"/>
  <c r="AN60" i="9"/>
  <c r="AU60" i="9"/>
  <c r="AF60" i="9"/>
  <c r="P60" i="9"/>
  <c r="BS60" i="9" s="1"/>
  <c r="BC60" i="9"/>
  <c r="BK60" i="9"/>
  <c r="AO60" i="9"/>
  <c r="AW60" i="9"/>
  <c r="J60" i="9"/>
  <c r="BM60" i="9" s="1"/>
  <c r="AH60" i="9"/>
  <c r="Z60" i="9"/>
  <c r="BE60" i="9"/>
  <c r="AD60" i="9"/>
  <c r="N60" i="9"/>
  <c r="BQ60" i="9" s="1"/>
  <c r="AS60" i="9"/>
  <c r="BI60" i="9"/>
  <c r="BA60" i="9"/>
  <c r="AL60" i="9"/>
  <c r="AA62" i="9"/>
  <c r="AX62" i="9"/>
  <c r="K62" i="9"/>
  <c r="BN62" i="9" s="1"/>
  <c r="AI62" i="9"/>
  <c r="AP62" i="9"/>
  <c r="BF62" i="9"/>
  <c r="AW62" i="9"/>
  <c r="AO62" i="9"/>
  <c r="Z62" i="9"/>
  <c r="J62" i="9"/>
  <c r="BM62" i="9" s="1"/>
  <c r="BE62" i="9"/>
  <c r="AH62" i="9"/>
  <c r="BA62" i="9"/>
  <c r="AS62" i="9"/>
  <c r="N62" i="9"/>
  <c r="BQ62" i="9" s="1"/>
  <c r="AL62" i="9"/>
  <c r="AD62" i="9"/>
  <c r="BI62" i="9"/>
  <c r="BH62" i="9"/>
  <c r="AC62" i="9"/>
  <c r="AK62" i="9"/>
  <c r="M62" i="9"/>
  <c r="BP62" i="9" s="1"/>
  <c r="AZ62" i="9"/>
  <c r="AR62" i="9"/>
  <c r="BK62" i="9"/>
  <c r="P62" i="9"/>
  <c r="BS62" i="9" s="1"/>
  <c r="AN62" i="9"/>
  <c r="AU62" i="9"/>
  <c r="BC62" i="9"/>
  <c r="AF62" i="9"/>
  <c r="L62" i="9"/>
  <c r="BO62" i="9" s="1"/>
  <c r="AY62" i="9"/>
  <c r="AJ62" i="9"/>
  <c r="AB62" i="9"/>
  <c r="AQ62" i="9"/>
  <c r="BG62" i="9"/>
  <c r="AT62" i="9"/>
  <c r="O62" i="9"/>
  <c r="BR62" i="9" s="1"/>
  <c r="BJ62" i="9"/>
  <c r="AM62" i="9"/>
  <c r="BB62" i="9"/>
  <c r="AE62" i="9"/>
  <c r="AX66" i="9"/>
  <c r="AA66" i="9"/>
  <c r="AI66" i="9"/>
  <c r="AP66" i="9"/>
  <c r="K66" i="9"/>
  <c r="BN66" i="9" s="1"/>
  <c r="BF66" i="9"/>
  <c r="AC66" i="9"/>
  <c r="BH66" i="9"/>
  <c r="AR66" i="9"/>
  <c r="AZ66" i="9"/>
  <c r="M66" i="9"/>
  <c r="BP66" i="9" s="1"/>
  <c r="AK66" i="9"/>
  <c r="AU66" i="9"/>
  <c r="P66" i="9"/>
  <c r="BS66" i="9" s="1"/>
  <c r="AF66" i="9"/>
  <c r="BK66" i="9"/>
  <c r="AN66" i="9"/>
  <c r="BC66" i="9"/>
  <c r="AO66" i="9"/>
  <c r="J66" i="9"/>
  <c r="BM66" i="9" s="1"/>
  <c r="AW66" i="9"/>
  <c r="Z66" i="9"/>
  <c r="BE66" i="9"/>
  <c r="AH66" i="9"/>
  <c r="AB66" i="9"/>
  <c r="AQ66" i="9"/>
  <c r="L66" i="9"/>
  <c r="BO66" i="9" s="1"/>
  <c r="AJ66" i="9"/>
  <c r="AY66" i="9"/>
  <c r="BG66" i="9"/>
  <c r="AS66" i="9"/>
  <c r="BA66" i="9"/>
  <c r="BI66" i="9"/>
  <c r="AD66" i="9"/>
  <c r="N66" i="9"/>
  <c r="BQ66" i="9" s="1"/>
  <c r="AL66" i="9"/>
  <c r="AM66" i="9"/>
  <c r="AE66" i="9"/>
  <c r="O66" i="9"/>
  <c r="BR66" i="9" s="1"/>
  <c r="BJ66" i="9"/>
  <c r="BB66" i="9"/>
  <c r="AT66" i="9"/>
  <c r="AA69" i="9"/>
  <c r="AX69" i="9"/>
  <c r="BF69" i="9"/>
  <c r="K69" i="9"/>
  <c r="BN69" i="9" s="1"/>
  <c r="AI69" i="9"/>
  <c r="AP69" i="9"/>
  <c r="Z69" i="9"/>
  <c r="AW69" i="9"/>
  <c r="BE69" i="9"/>
  <c r="AO69" i="9"/>
  <c r="AH69" i="9"/>
  <c r="J69" i="9"/>
  <c r="BM69" i="9" s="1"/>
  <c r="P69" i="9"/>
  <c r="BS69" i="9" s="1"/>
  <c r="BK69" i="9"/>
  <c r="AU69" i="9"/>
  <c r="AN69" i="9"/>
  <c r="AF69" i="9"/>
  <c r="BC69" i="9"/>
  <c r="AQ69" i="9"/>
  <c r="AJ69" i="9"/>
  <c r="L69" i="9"/>
  <c r="BO69" i="9" s="1"/>
  <c r="AY69" i="9"/>
  <c r="AB69" i="9"/>
  <c r="BG69" i="9"/>
  <c r="O69" i="9"/>
  <c r="BR69" i="9" s="1"/>
  <c r="AT69" i="9"/>
  <c r="AM69" i="9"/>
  <c r="BB69" i="9"/>
  <c r="AE69" i="9"/>
  <c r="BJ69" i="9"/>
  <c r="M69" i="9"/>
  <c r="BP69" i="9" s="1"/>
  <c r="AC69" i="9"/>
  <c r="AK69" i="9"/>
  <c r="AZ69" i="9"/>
  <c r="AR69" i="9"/>
  <c r="BH69" i="9"/>
  <c r="AD69" i="9"/>
  <c r="AL69" i="9"/>
  <c r="BI69" i="9"/>
  <c r="N69" i="9"/>
  <c r="BQ69" i="9" s="1"/>
  <c r="BA69" i="9"/>
  <c r="AS69" i="9"/>
  <c r="AP71" i="9"/>
  <c r="BF71" i="9"/>
  <c r="AI71" i="9"/>
  <c r="K71" i="9"/>
  <c r="BN71" i="9" s="1"/>
  <c r="AA71" i="9"/>
  <c r="AX71" i="9"/>
  <c r="AE71" i="9"/>
  <c r="BJ71" i="9"/>
  <c r="AM71" i="9"/>
  <c r="BB71" i="9"/>
  <c r="AT71" i="9"/>
  <c r="O71" i="9"/>
  <c r="BR71" i="9" s="1"/>
  <c r="J71" i="9"/>
  <c r="BM71" i="9" s="1"/>
  <c r="AW71" i="9"/>
  <c r="AO71" i="9"/>
  <c r="BE71" i="9"/>
  <c r="Z71" i="9"/>
  <c r="AH71" i="9"/>
  <c r="L71" i="9"/>
  <c r="BO71" i="9" s="1"/>
  <c r="AY71" i="9"/>
  <c r="AJ71" i="9"/>
  <c r="AQ71" i="9"/>
  <c r="AB71" i="9"/>
  <c r="BG71" i="9"/>
  <c r="M71" i="9"/>
  <c r="BP71" i="9" s="1"/>
  <c r="AR71" i="9"/>
  <c r="AZ71" i="9"/>
  <c r="AK71" i="9"/>
  <c r="AC71" i="9"/>
  <c r="BH71" i="9"/>
  <c r="N71" i="9"/>
  <c r="BQ71" i="9" s="1"/>
  <c r="AL71" i="9"/>
  <c r="BA71" i="9"/>
  <c r="AS71" i="9"/>
  <c r="AD71" i="9"/>
  <c r="BI71" i="9"/>
  <c r="P71" i="9"/>
  <c r="BS71" i="9" s="1"/>
  <c r="AU71" i="9"/>
  <c r="BK71" i="9"/>
  <c r="AN71" i="9"/>
  <c r="AF71" i="9"/>
  <c r="BC71" i="9"/>
  <c r="AB73" i="9"/>
  <c r="AQ73" i="9"/>
  <c r="BG73" i="9"/>
  <c r="AJ73" i="9"/>
  <c r="L73" i="9"/>
  <c r="BO73" i="9" s="1"/>
  <c r="AY73" i="9"/>
  <c r="AT73" i="9"/>
  <c r="BJ73" i="9"/>
  <c r="AE73" i="9"/>
  <c r="AM73" i="9"/>
  <c r="O73" i="9"/>
  <c r="BR73" i="9" s="1"/>
  <c r="BB73" i="9"/>
  <c r="J73" i="9"/>
  <c r="BM73" i="9" s="1"/>
  <c r="BE73" i="9"/>
  <c r="AO73" i="9"/>
  <c r="Z73" i="9"/>
  <c r="AW73" i="9"/>
  <c r="AH73" i="9"/>
  <c r="AI73" i="9"/>
  <c r="AP73" i="9"/>
  <c r="K73" i="9"/>
  <c r="BN73" i="9" s="1"/>
  <c r="BF73" i="9"/>
  <c r="AA73" i="9"/>
  <c r="AX73" i="9"/>
  <c r="AC73" i="9"/>
  <c r="AZ73" i="9"/>
  <c r="AR73" i="9"/>
  <c r="AK73" i="9"/>
  <c r="M73" i="9"/>
  <c r="BP73" i="9" s="1"/>
  <c r="BH73" i="9"/>
  <c r="N73" i="9"/>
  <c r="BQ73" i="9" s="1"/>
  <c r="AS73" i="9"/>
  <c r="BI73" i="9"/>
  <c r="AD73" i="9"/>
  <c r="BA73" i="9"/>
  <c r="AL73" i="9"/>
  <c r="AF73" i="9"/>
  <c r="AN73" i="9"/>
  <c r="BK73" i="9"/>
  <c r="AU73" i="9"/>
  <c r="P73" i="9"/>
  <c r="BS73" i="9" s="1"/>
  <c r="BC73" i="9"/>
  <c r="AB75" i="9"/>
  <c r="AY75" i="9"/>
  <c r="AJ75" i="9"/>
  <c r="AQ75" i="9"/>
  <c r="L75" i="9"/>
  <c r="BO75" i="9" s="1"/>
  <c r="BG75" i="9"/>
  <c r="N75" i="9"/>
  <c r="BQ75" i="9" s="1"/>
  <c r="AS75" i="9"/>
  <c r="AL75" i="9"/>
  <c r="BA75" i="9"/>
  <c r="AD75" i="9"/>
  <c r="BI75" i="9"/>
  <c r="P75" i="9"/>
  <c r="BS75" i="9" s="1"/>
  <c r="BK75" i="9"/>
  <c r="AU75" i="9"/>
  <c r="AN75" i="9"/>
  <c r="AF75" i="9"/>
  <c r="BC75" i="9"/>
  <c r="Z75" i="9"/>
  <c r="AH75" i="9"/>
  <c r="BE75" i="9"/>
  <c r="AW75" i="9"/>
  <c r="J75" i="9"/>
  <c r="BM75" i="9" s="1"/>
  <c r="AO75" i="9"/>
  <c r="K75" i="9"/>
  <c r="BN75" i="9" s="1"/>
  <c r="AX75" i="9"/>
  <c r="AI75" i="9"/>
  <c r="AP75" i="9"/>
  <c r="AA75" i="9"/>
  <c r="BF75" i="9"/>
  <c r="M75" i="9"/>
  <c r="BP75" i="9" s="1"/>
  <c r="AZ75" i="9"/>
  <c r="AR75" i="9"/>
  <c r="AC75" i="9"/>
  <c r="BH75" i="9"/>
  <c r="AK75" i="9"/>
  <c r="AE75" i="9"/>
  <c r="BB75" i="9"/>
  <c r="BJ75" i="9"/>
  <c r="AM75" i="9"/>
  <c r="O75" i="9"/>
  <c r="BR75" i="9" s="1"/>
  <c r="AT75" i="9"/>
  <c r="AA78" i="9"/>
  <c r="AI78" i="9"/>
  <c r="AP78" i="9"/>
  <c r="AX78" i="9"/>
  <c r="K78" i="9"/>
  <c r="BN78" i="9" s="1"/>
  <c r="BF78" i="9"/>
  <c r="AC78" i="9"/>
  <c r="BH78" i="9"/>
  <c r="AZ78" i="9"/>
  <c r="AK78" i="9"/>
  <c r="M78" i="9"/>
  <c r="BP78" i="9" s="1"/>
  <c r="AR78" i="9"/>
  <c r="AE78" i="9"/>
  <c r="AT78" i="9"/>
  <c r="AM78" i="9"/>
  <c r="O78" i="9"/>
  <c r="BR78" i="9" s="1"/>
  <c r="BJ78" i="9"/>
  <c r="BB78" i="9"/>
  <c r="J78" i="9"/>
  <c r="BM78" i="9" s="1"/>
  <c r="BE78" i="9"/>
  <c r="AW78" i="9"/>
  <c r="AO78" i="9"/>
  <c r="AH78" i="9"/>
  <c r="Z78" i="9"/>
  <c r="L78" i="9"/>
  <c r="BO78" i="9" s="1"/>
  <c r="AY78" i="9"/>
  <c r="AJ78" i="9"/>
  <c r="AQ78" i="9"/>
  <c r="AB78" i="9"/>
  <c r="BG78" i="9"/>
  <c r="N78" i="9"/>
  <c r="BQ78" i="9" s="1"/>
  <c r="AL78" i="9"/>
  <c r="AD78" i="9"/>
  <c r="BA78" i="9"/>
  <c r="BI78" i="9"/>
  <c r="AS78" i="9"/>
  <c r="AF78" i="9"/>
  <c r="BK78" i="9"/>
  <c r="BC78" i="9"/>
  <c r="P78" i="9"/>
  <c r="BS78" i="9" s="1"/>
  <c r="AU78" i="9"/>
  <c r="AN78" i="9"/>
  <c r="AI81" i="9"/>
  <c r="AP81" i="9"/>
  <c r="K81" i="9"/>
  <c r="BN81" i="9" s="1"/>
  <c r="AA81" i="9"/>
  <c r="AX81" i="9"/>
  <c r="BF81" i="9"/>
  <c r="AR81" i="9"/>
  <c r="M81" i="9"/>
  <c r="BP81" i="9" s="1"/>
  <c r="AK81" i="9"/>
  <c r="BH81" i="9"/>
  <c r="AC81" i="9"/>
  <c r="AZ81" i="9"/>
  <c r="AL81" i="9"/>
  <c r="BA81" i="9"/>
  <c r="AS81" i="9"/>
  <c r="AD81" i="9"/>
  <c r="N81" i="9"/>
  <c r="BQ81" i="9" s="1"/>
  <c r="BI81" i="9"/>
  <c r="AN81" i="9"/>
  <c r="AU81" i="9"/>
  <c r="BK81" i="9"/>
  <c r="AF81" i="9"/>
  <c r="BC81" i="9"/>
  <c r="P81" i="9"/>
  <c r="BS81" i="9" s="1"/>
  <c r="J81" i="9"/>
  <c r="BM81" i="9" s="1"/>
  <c r="AO81" i="9"/>
  <c r="BE81" i="9"/>
  <c r="AH81" i="9"/>
  <c r="AW81" i="9"/>
  <c r="Z81" i="9"/>
  <c r="BG81" i="9"/>
  <c r="AQ81" i="9"/>
  <c r="AJ81" i="9"/>
  <c r="AB81" i="9"/>
  <c r="AY81" i="9"/>
  <c r="L81" i="9"/>
  <c r="BO81" i="9" s="1"/>
  <c r="AM81" i="9"/>
  <c r="AT81" i="9"/>
  <c r="BJ81" i="9"/>
  <c r="AE81" i="9"/>
  <c r="BB81" i="9"/>
  <c r="O81" i="9"/>
  <c r="BR81" i="9" s="1"/>
  <c r="AA85" i="9"/>
  <c r="BF85" i="9"/>
  <c r="AI85" i="9"/>
  <c r="K85" i="9"/>
  <c r="BN85" i="9" s="1"/>
  <c r="AX85" i="9"/>
  <c r="AP85" i="9"/>
  <c r="AR85" i="9"/>
  <c r="AK85" i="9"/>
  <c r="AZ85" i="9"/>
  <c r="AC85" i="9"/>
  <c r="M85" i="9"/>
  <c r="BP85" i="9" s="1"/>
  <c r="BH85" i="9"/>
  <c r="BJ85" i="9"/>
  <c r="BB85" i="9"/>
  <c r="AE85" i="9"/>
  <c r="AT85" i="9"/>
  <c r="O85" i="9"/>
  <c r="BR85" i="9" s="1"/>
  <c r="AM85" i="9"/>
  <c r="Z85" i="9"/>
  <c r="BE85" i="9"/>
  <c r="AW85" i="9"/>
  <c r="J85" i="9"/>
  <c r="BM85" i="9" s="1"/>
  <c r="AH85" i="9"/>
  <c r="AO85" i="9"/>
  <c r="AY85" i="9"/>
  <c r="BG85" i="9"/>
  <c r="AB85" i="9"/>
  <c r="AJ85" i="9"/>
  <c r="L85" i="9"/>
  <c r="BO85" i="9" s="1"/>
  <c r="AQ85" i="9"/>
  <c r="AD85" i="9"/>
  <c r="BI85" i="9"/>
  <c r="AL85" i="9"/>
  <c r="BA85" i="9"/>
  <c r="N85" i="9"/>
  <c r="BQ85" i="9" s="1"/>
  <c r="AS85" i="9"/>
  <c r="P85" i="9"/>
  <c r="BS85" i="9" s="1"/>
  <c r="AU85" i="9"/>
  <c r="AN85" i="9"/>
  <c r="BC85" i="9"/>
  <c r="AF85" i="9"/>
  <c r="BK85" i="9"/>
  <c r="AO17" i="9"/>
  <c r="BE17" i="9"/>
  <c r="Z17" i="9"/>
  <c r="AW17" i="9"/>
  <c r="J17" i="9"/>
  <c r="BM17" i="9" s="1"/>
  <c r="AH17" i="9"/>
  <c r="C14" i="9"/>
  <c r="C14" i="2" s="1"/>
  <c r="BF17" i="9"/>
  <c r="K17" i="9"/>
  <c r="BN17" i="9" s="1"/>
  <c r="AA17" i="9"/>
  <c r="AI17" i="9"/>
  <c r="AP17" i="9"/>
  <c r="AX17" i="9"/>
  <c r="AY17" i="9"/>
  <c r="AB17" i="9"/>
  <c r="AJ17" i="9"/>
  <c r="L17" i="9"/>
  <c r="BO17" i="9" s="1"/>
  <c r="AQ17" i="9"/>
  <c r="BG17" i="9"/>
  <c r="E14" i="9"/>
  <c r="E14" i="2" s="1"/>
  <c r="M17" i="9"/>
  <c r="BP17" i="9" s="1"/>
  <c r="AR17" i="9"/>
  <c r="BH17" i="9"/>
  <c r="AC17" i="9"/>
  <c r="AK17" i="9"/>
  <c r="AZ17" i="9"/>
  <c r="F14" i="9"/>
  <c r="F14" i="2" s="1"/>
  <c r="N17" i="9"/>
  <c r="BQ17" i="9" s="1"/>
  <c r="AL17" i="9"/>
  <c r="AD17" i="9"/>
  <c r="AS17" i="9"/>
  <c r="BA17" i="9"/>
  <c r="BI17" i="9"/>
  <c r="AM17" i="9"/>
  <c r="BB17" i="9"/>
  <c r="AE17" i="9"/>
  <c r="BJ17" i="9"/>
  <c r="O17" i="9"/>
  <c r="BR17" i="9" s="1"/>
  <c r="AT17" i="9"/>
  <c r="G14" i="9"/>
  <c r="G14" i="2" s="1"/>
  <c r="AF17" i="9"/>
  <c r="BC17" i="9"/>
  <c r="P17" i="9"/>
  <c r="BS17" i="9" s="1"/>
  <c r="AN17" i="9"/>
  <c r="AU17" i="9"/>
  <c r="H14" i="9"/>
  <c r="H14" i="2" s="1"/>
  <c r="BK17" i="9"/>
  <c r="AB19" i="9"/>
  <c r="L19" i="9"/>
  <c r="BO19" i="9" s="1"/>
  <c r="AY19" i="9"/>
  <c r="AQ19" i="9"/>
  <c r="AJ19" i="9"/>
  <c r="BG19" i="9"/>
  <c r="K19" i="9"/>
  <c r="BN19" i="9" s="1"/>
  <c r="AI19" i="9"/>
  <c r="AP19" i="9"/>
  <c r="AX19" i="9"/>
  <c r="AA19" i="9"/>
  <c r="BF19" i="9"/>
  <c r="AM19" i="9"/>
  <c r="BJ19" i="9"/>
  <c r="BB19" i="9"/>
  <c r="O19" i="9"/>
  <c r="BR19" i="9" s="1"/>
  <c r="AE19" i="9"/>
  <c r="AT19" i="9"/>
  <c r="BA19" i="9"/>
  <c r="AS19" i="9"/>
  <c r="AD19" i="9"/>
  <c r="N19" i="9"/>
  <c r="BQ19" i="9" s="1"/>
  <c r="AL19" i="9"/>
  <c r="BI19" i="9"/>
  <c r="AR19" i="9"/>
  <c r="AZ19" i="9"/>
  <c r="AC19" i="9"/>
  <c r="BH19" i="9"/>
  <c r="M19" i="9"/>
  <c r="BP19" i="9" s="1"/>
  <c r="AK19" i="9"/>
  <c r="P19" i="9"/>
  <c r="BS19" i="9" s="1"/>
  <c r="BC19" i="9"/>
  <c r="BK19" i="9"/>
  <c r="AF19" i="9"/>
  <c r="AU19" i="9"/>
  <c r="AN19" i="9"/>
  <c r="AO19" i="9"/>
  <c r="BE19" i="9"/>
  <c r="Z19" i="9"/>
  <c r="J19" i="9"/>
  <c r="BM19" i="9" s="1"/>
  <c r="AH19" i="9"/>
  <c r="AW19" i="9"/>
  <c r="AH51" i="9"/>
  <c r="J51" i="9"/>
  <c r="BM51" i="9" s="1"/>
  <c r="Z51" i="9"/>
  <c r="AO51" i="9"/>
  <c r="AW51" i="9"/>
  <c r="BE51" i="9"/>
  <c r="AX51" i="9"/>
  <c r="K51" i="9"/>
  <c r="BN51" i="9" s="1"/>
  <c r="AA51" i="9"/>
  <c r="AI51" i="9"/>
  <c r="AP51" i="9"/>
  <c r="BF51" i="9"/>
  <c r="AL51" i="9"/>
  <c r="AS51" i="9"/>
  <c r="BA51" i="9"/>
  <c r="N51" i="9"/>
  <c r="BQ51" i="9" s="1"/>
  <c r="AD51" i="9"/>
  <c r="BI51" i="9"/>
  <c r="AT51" i="9"/>
  <c r="BB51" i="9"/>
  <c r="O51" i="9"/>
  <c r="BR51" i="9" s="1"/>
  <c r="AE51" i="9"/>
  <c r="AM51" i="9"/>
  <c r="BJ51" i="9"/>
  <c r="AK51" i="9"/>
  <c r="AZ51" i="9"/>
  <c r="M51" i="9"/>
  <c r="BP51" i="9" s="1"/>
  <c r="AC51" i="9"/>
  <c r="AR51" i="9"/>
  <c r="BH51" i="9"/>
  <c r="AJ51" i="9"/>
  <c r="AY51" i="9"/>
  <c r="L51" i="9"/>
  <c r="BO51" i="9" s="1"/>
  <c r="AB51" i="9"/>
  <c r="AQ51" i="9"/>
  <c r="BG51" i="9"/>
  <c r="AN51" i="9"/>
  <c r="AU51" i="9"/>
  <c r="BC51" i="9"/>
  <c r="P51" i="9"/>
  <c r="BS51" i="9" s="1"/>
  <c r="AF51" i="9"/>
  <c r="BK51" i="9"/>
  <c r="P52" i="9"/>
  <c r="BS52" i="9" s="1"/>
  <c r="AF52" i="9"/>
  <c r="AU52" i="9"/>
  <c r="AN52" i="9"/>
  <c r="BC52" i="9"/>
  <c r="BK52" i="9"/>
  <c r="AE52" i="9"/>
  <c r="AT52" i="9"/>
  <c r="BB52" i="9"/>
  <c r="O52" i="9"/>
  <c r="BR52" i="9" s="1"/>
  <c r="AM52" i="9"/>
  <c r="BJ52" i="9"/>
  <c r="AS52" i="9"/>
  <c r="BA52" i="9"/>
  <c r="N52" i="9"/>
  <c r="BQ52" i="9" s="1"/>
  <c r="AD52" i="9"/>
  <c r="AL52" i="9"/>
  <c r="BI52" i="9"/>
  <c r="AK52" i="9"/>
  <c r="AR52" i="9"/>
  <c r="AZ52" i="9"/>
  <c r="M52" i="9"/>
  <c r="BP52" i="9" s="1"/>
  <c r="AC52" i="9"/>
  <c r="BH52" i="9"/>
  <c r="K52" i="9"/>
  <c r="BN52" i="9" s="1"/>
  <c r="AA52" i="9"/>
  <c r="AX52" i="9"/>
  <c r="AI52" i="9"/>
  <c r="AP52" i="9"/>
  <c r="BF52" i="9"/>
  <c r="L52" i="9"/>
  <c r="BO52" i="9" s="1"/>
  <c r="AB52" i="9"/>
  <c r="AJ52" i="9"/>
  <c r="AQ52" i="9"/>
  <c r="AY52" i="9"/>
  <c r="BG52" i="9"/>
  <c r="J52" i="9"/>
  <c r="BM52" i="9" s="1"/>
  <c r="Z52" i="9"/>
  <c r="AW52" i="9"/>
  <c r="AH52" i="9"/>
  <c r="AO52" i="9"/>
  <c r="BE52" i="9"/>
  <c r="AC53" i="9"/>
  <c r="AZ53" i="9"/>
  <c r="M53" i="9"/>
  <c r="BP53" i="9" s="1"/>
  <c r="AK53" i="9"/>
  <c r="AR53" i="9"/>
  <c r="BH53" i="9"/>
  <c r="AB53" i="9"/>
  <c r="AY53" i="9"/>
  <c r="L53" i="9"/>
  <c r="BO53" i="9" s="1"/>
  <c r="AJ53" i="9"/>
  <c r="AQ53" i="9"/>
  <c r="BG53" i="9"/>
  <c r="Z53" i="9"/>
  <c r="J53" i="9"/>
  <c r="BM53" i="9" s="1"/>
  <c r="AH53" i="9"/>
  <c r="AO53" i="9"/>
  <c r="AW53" i="9"/>
  <c r="BE53" i="9"/>
  <c r="AA53" i="9"/>
  <c r="AX53" i="9"/>
  <c r="K53" i="9"/>
  <c r="BN53" i="9" s="1"/>
  <c r="AI53" i="9"/>
  <c r="AP53" i="9"/>
  <c r="BF53" i="9"/>
  <c r="AD53" i="9"/>
  <c r="AS53" i="9"/>
  <c r="BA53" i="9"/>
  <c r="N53" i="9"/>
  <c r="BQ53" i="9" s="1"/>
  <c r="AL53" i="9"/>
  <c r="BI53" i="9"/>
  <c r="AE53" i="9"/>
  <c r="AM53" i="9"/>
  <c r="AT53" i="9"/>
  <c r="BB53" i="9"/>
  <c r="O53" i="9"/>
  <c r="BR53" i="9" s="1"/>
  <c r="BJ53" i="9"/>
  <c r="AF53" i="9"/>
  <c r="AN53" i="9"/>
  <c r="AU53" i="9"/>
  <c r="BC53" i="9"/>
  <c r="P53" i="9"/>
  <c r="BS53" i="9" s="1"/>
  <c r="BK53" i="9"/>
  <c r="K54" i="9"/>
  <c r="BN54" i="9" s="1"/>
  <c r="AA54" i="9"/>
  <c r="AP54" i="9"/>
  <c r="AI54" i="9"/>
  <c r="AX54" i="9"/>
  <c r="BF54" i="9"/>
  <c r="M54" i="9"/>
  <c r="BP54" i="9" s="1"/>
  <c r="AC54" i="9"/>
  <c r="AZ54" i="9"/>
  <c r="AK54" i="9"/>
  <c r="AR54" i="9"/>
  <c r="BH54" i="9"/>
  <c r="O54" i="9"/>
  <c r="BR54" i="9" s="1"/>
  <c r="AE54" i="9"/>
  <c r="AM54" i="9"/>
  <c r="AT54" i="9"/>
  <c r="BB54" i="9"/>
  <c r="BJ54" i="9"/>
  <c r="AN54" i="9"/>
  <c r="AU54" i="9"/>
  <c r="BC54" i="9"/>
  <c r="BK54" i="9"/>
  <c r="P54" i="9"/>
  <c r="BS54" i="9" s="1"/>
  <c r="AF54" i="9"/>
  <c r="J54" i="9"/>
  <c r="BM54" i="9" s="1"/>
  <c r="Z54" i="9"/>
  <c r="AO54" i="9"/>
  <c r="AW54" i="9"/>
  <c r="AH54" i="9"/>
  <c r="BE54" i="9"/>
  <c r="BG54" i="9"/>
  <c r="L54" i="9"/>
  <c r="BO54" i="9" s="1"/>
  <c r="AB54" i="9"/>
  <c r="AJ54" i="9"/>
  <c r="AQ54" i="9"/>
  <c r="AY54" i="9"/>
  <c r="N54" i="9"/>
  <c r="BQ54" i="9" s="1"/>
  <c r="BA54" i="9"/>
  <c r="AS54" i="9"/>
  <c r="AD54" i="9"/>
  <c r="AL54" i="9"/>
  <c r="BI54" i="9"/>
  <c r="K55" i="9"/>
  <c r="BN55" i="9" s="1"/>
  <c r="AP55" i="9"/>
  <c r="AA55" i="9"/>
  <c r="AX55" i="9"/>
  <c r="AI55" i="9"/>
  <c r="BF55" i="9"/>
  <c r="BG55" i="9"/>
  <c r="AQ55" i="9"/>
  <c r="AJ55" i="9"/>
  <c r="L55" i="9"/>
  <c r="BO55" i="9" s="1"/>
  <c r="AB55" i="9"/>
  <c r="AY55" i="9"/>
  <c r="AL55" i="9"/>
  <c r="N55" i="9"/>
  <c r="BQ55" i="9" s="1"/>
  <c r="AS55" i="9"/>
  <c r="BI55" i="9"/>
  <c r="AD55" i="9"/>
  <c r="BA55" i="9"/>
  <c r="O55" i="9"/>
  <c r="BR55" i="9" s="1"/>
  <c r="BB55" i="9"/>
  <c r="AE55" i="9"/>
  <c r="AT55" i="9"/>
  <c r="AM55" i="9"/>
  <c r="BJ55" i="9"/>
  <c r="Z55" i="9"/>
  <c r="BE55" i="9"/>
  <c r="AO55" i="9"/>
  <c r="AW55" i="9"/>
  <c r="J55" i="9"/>
  <c r="BM55" i="9" s="1"/>
  <c r="AH55" i="9"/>
  <c r="AK55" i="9"/>
  <c r="AR55" i="9"/>
  <c r="BH55" i="9"/>
  <c r="M55" i="9"/>
  <c r="BP55" i="9" s="1"/>
  <c r="AC55" i="9"/>
  <c r="AZ55" i="9"/>
  <c r="P55" i="9"/>
  <c r="BS55" i="9" s="1"/>
  <c r="AU55" i="9"/>
  <c r="AN55" i="9"/>
  <c r="AF55" i="9"/>
  <c r="BC55" i="9"/>
  <c r="BK55" i="9"/>
  <c r="AA56" i="9"/>
  <c r="AX56" i="9"/>
  <c r="AI56" i="9"/>
  <c r="K56" i="9"/>
  <c r="BN56" i="9" s="1"/>
  <c r="AP56" i="9"/>
  <c r="BF56" i="9"/>
  <c r="L56" i="9"/>
  <c r="BO56" i="9" s="1"/>
  <c r="AJ56" i="9"/>
  <c r="AY56" i="9"/>
  <c r="AB56" i="9"/>
  <c r="AQ56" i="9"/>
  <c r="BG56" i="9"/>
  <c r="M56" i="9"/>
  <c r="BP56" i="9" s="1"/>
  <c r="BH56" i="9"/>
  <c r="AK56" i="9"/>
  <c r="AR56" i="9"/>
  <c r="AC56" i="9"/>
  <c r="AZ56" i="9"/>
  <c r="N56" i="9"/>
  <c r="BQ56" i="9" s="1"/>
  <c r="AS56" i="9"/>
  <c r="BI56" i="9"/>
  <c r="AD56" i="9"/>
  <c r="AL56" i="9"/>
  <c r="BA56" i="9"/>
  <c r="O56" i="9"/>
  <c r="BR56" i="9" s="1"/>
  <c r="BB56" i="9"/>
  <c r="BJ56" i="9"/>
  <c r="AE56" i="9"/>
  <c r="AM56" i="9"/>
  <c r="AT56" i="9"/>
  <c r="AF56" i="9"/>
  <c r="AU56" i="9"/>
  <c r="P56" i="9"/>
  <c r="BS56" i="9" s="1"/>
  <c r="AN56" i="9"/>
  <c r="BC56" i="9"/>
  <c r="BK56" i="9"/>
  <c r="Z56" i="9"/>
  <c r="AH56" i="9"/>
  <c r="AW56" i="9"/>
  <c r="BE56" i="9"/>
  <c r="J56" i="9"/>
  <c r="BM56" i="9" s="1"/>
  <c r="AO56" i="9"/>
  <c r="K59" i="9"/>
  <c r="BN59" i="9" s="1"/>
  <c r="AA59" i="9"/>
  <c r="AI59" i="9"/>
  <c r="AP59" i="9"/>
  <c r="AX59" i="9"/>
  <c r="BF59" i="9"/>
  <c r="AY59" i="9"/>
  <c r="BG59" i="9"/>
  <c r="L59" i="9"/>
  <c r="BO59" i="9" s="1"/>
  <c r="AB59" i="9"/>
  <c r="AJ59" i="9"/>
  <c r="AQ59" i="9"/>
  <c r="N59" i="9"/>
  <c r="BQ59" i="9" s="1"/>
  <c r="AD59" i="9"/>
  <c r="AL59" i="9"/>
  <c r="AS59" i="9"/>
  <c r="BA59" i="9"/>
  <c r="BI59" i="9"/>
  <c r="AF59" i="9"/>
  <c r="BK59" i="9"/>
  <c r="P59" i="9"/>
  <c r="BS59" i="9" s="1"/>
  <c r="AN59" i="9"/>
  <c r="AU59" i="9"/>
  <c r="BC59" i="9"/>
  <c r="J59" i="9"/>
  <c r="BM59" i="9" s="1"/>
  <c r="Z59" i="9"/>
  <c r="AH59" i="9"/>
  <c r="AO59" i="9"/>
  <c r="AW59" i="9"/>
  <c r="BE59" i="9"/>
  <c r="M59" i="9"/>
  <c r="BP59" i="9" s="1"/>
  <c r="AC59" i="9"/>
  <c r="BH59" i="9"/>
  <c r="AK59" i="9"/>
  <c r="AR59" i="9"/>
  <c r="AZ59" i="9"/>
  <c r="AE59" i="9"/>
  <c r="O59" i="9"/>
  <c r="BR59" i="9" s="1"/>
  <c r="AM59" i="9"/>
  <c r="AT59" i="9"/>
  <c r="BB59" i="9"/>
  <c r="BJ59" i="9"/>
  <c r="K63" i="9"/>
  <c r="BN63" i="9" s="1"/>
  <c r="AA63" i="9"/>
  <c r="AP63" i="9"/>
  <c r="BF63" i="9"/>
  <c r="AI63" i="9"/>
  <c r="AX63" i="9"/>
  <c r="AJ63" i="9"/>
  <c r="L63" i="9"/>
  <c r="BO63" i="9" s="1"/>
  <c r="AB63" i="9"/>
  <c r="AQ63" i="9"/>
  <c r="AY63" i="9"/>
  <c r="BG63" i="9"/>
  <c r="N63" i="9"/>
  <c r="BQ63" i="9" s="1"/>
  <c r="AL63" i="9"/>
  <c r="AD63" i="9"/>
  <c r="AS63" i="9"/>
  <c r="BA63" i="9"/>
  <c r="BI63" i="9"/>
  <c r="AN63" i="9"/>
  <c r="AU63" i="9"/>
  <c r="P63" i="9"/>
  <c r="BS63" i="9" s="1"/>
  <c r="AF63" i="9"/>
  <c r="BC63" i="9"/>
  <c r="BK63" i="9"/>
  <c r="J63" i="9"/>
  <c r="BM63" i="9" s="1"/>
  <c r="Z63" i="9"/>
  <c r="AO63" i="9"/>
  <c r="AW63" i="9"/>
  <c r="BE63" i="9"/>
  <c r="AH63" i="9"/>
  <c r="M63" i="9"/>
  <c r="BP63" i="9" s="1"/>
  <c r="AK63" i="9"/>
  <c r="AZ63" i="9"/>
  <c r="AC63" i="9"/>
  <c r="AR63" i="9"/>
  <c r="BH63" i="9"/>
  <c r="AM63" i="9"/>
  <c r="AT63" i="9"/>
  <c r="BB63" i="9"/>
  <c r="O63" i="9"/>
  <c r="BR63" i="9" s="1"/>
  <c r="AE63" i="9"/>
  <c r="BJ63" i="9"/>
  <c r="J65" i="9"/>
  <c r="BM65" i="9" s="1"/>
  <c r="Z65" i="9"/>
  <c r="AH65" i="9"/>
  <c r="AO65" i="9"/>
  <c r="AW65" i="9"/>
  <c r="BE65" i="9"/>
  <c r="K65" i="9"/>
  <c r="BN65" i="9" s="1"/>
  <c r="AA65" i="9"/>
  <c r="AI65" i="9"/>
  <c r="AP65" i="9"/>
  <c r="AX65" i="9"/>
  <c r="BF65" i="9"/>
  <c r="L65" i="9"/>
  <c r="BO65" i="9" s="1"/>
  <c r="AB65" i="9"/>
  <c r="AJ65" i="9"/>
  <c r="AQ65" i="9"/>
  <c r="AY65" i="9"/>
  <c r="BG65" i="9"/>
  <c r="M65" i="9"/>
  <c r="BP65" i="9" s="1"/>
  <c r="AC65" i="9"/>
  <c r="AK65" i="9"/>
  <c r="AR65" i="9"/>
  <c r="AZ65" i="9"/>
  <c r="BH65" i="9"/>
  <c r="N65" i="9"/>
  <c r="BQ65" i="9" s="1"/>
  <c r="AD65" i="9"/>
  <c r="AL65" i="9"/>
  <c r="AS65" i="9"/>
  <c r="BA65" i="9"/>
  <c r="BI65" i="9"/>
  <c r="O65" i="9"/>
  <c r="BR65" i="9" s="1"/>
  <c r="AE65" i="9"/>
  <c r="AM65" i="9"/>
  <c r="AT65" i="9"/>
  <c r="BB65" i="9"/>
  <c r="BJ65" i="9"/>
  <c r="P65" i="9"/>
  <c r="BS65" i="9" s="1"/>
  <c r="AF65" i="9"/>
  <c r="AN65" i="9"/>
  <c r="AU65" i="9"/>
  <c r="BC65" i="9"/>
  <c r="BK65" i="9"/>
  <c r="AA68" i="9"/>
  <c r="AP68" i="9"/>
  <c r="BF68" i="9"/>
  <c r="K68" i="9"/>
  <c r="BN68" i="9" s="1"/>
  <c r="AI68" i="9"/>
  <c r="AX68" i="9"/>
  <c r="AJ68" i="9"/>
  <c r="AY68" i="9"/>
  <c r="L68" i="9"/>
  <c r="BO68" i="9" s="1"/>
  <c r="AB68" i="9"/>
  <c r="AQ68" i="9"/>
  <c r="BG68" i="9"/>
  <c r="N68" i="9"/>
  <c r="BQ68" i="9" s="1"/>
  <c r="AD68" i="9"/>
  <c r="AL68" i="9"/>
  <c r="AS68" i="9"/>
  <c r="BA68" i="9"/>
  <c r="BI68" i="9"/>
  <c r="AU68" i="9"/>
  <c r="BC68" i="9"/>
  <c r="P68" i="9"/>
  <c r="BS68" i="9" s="1"/>
  <c r="AF68" i="9"/>
  <c r="AN68" i="9"/>
  <c r="BK68" i="9"/>
  <c r="Z68" i="9"/>
  <c r="AW68" i="9"/>
  <c r="BE68" i="9"/>
  <c r="J68" i="9"/>
  <c r="BM68" i="9" s="1"/>
  <c r="AH68" i="9"/>
  <c r="AO68" i="9"/>
  <c r="M68" i="9"/>
  <c r="BP68" i="9" s="1"/>
  <c r="AK68" i="9"/>
  <c r="AZ68" i="9"/>
  <c r="AC68" i="9"/>
  <c r="AR68" i="9"/>
  <c r="BH68" i="9"/>
  <c r="O68" i="9"/>
  <c r="BR68" i="9" s="1"/>
  <c r="AE68" i="9"/>
  <c r="AM68" i="9"/>
  <c r="AT68" i="9"/>
  <c r="BB68" i="9"/>
  <c r="BJ68" i="9"/>
  <c r="K70" i="9"/>
  <c r="BN70" i="9" s="1"/>
  <c r="AA70" i="9"/>
  <c r="AI70" i="9"/>
  <c r="AP70" i="9"/>
  <c r="AX70" i="9"/>
  <c r="BF70" i="9"/>
  <c r="L70" i="9"/>
  <c r="BO70" i="9" s="1"/>
  <c r="AB70" i="9"/>
  <c r="AJ70" i="9"/>
  <c r="AQ70" i="9"/>
  <c r="AY70" i="9"/>
  <c r="BG70" i="9"/>
  <c r="N70" i="9"/>
  <c r="BQ70" i="9" s="1"/>
  <c r="AD70" i="9"/>
  <c r="AL70" i="9"/>
  <c r="AS70" i="9"/>
  <c r="BA70" i="9"/>
  <c r="BI70" i="9"/>
  <c r="P70" i="9"/>
  <c r="BS70" i="9" s="1"/>
  <c r="AF70" i="9"/>
  <c r="AN70" i="9"/>
  <c r="AU70" i="9"/>
  <c r="BC70" i="9"/>
  <c r="BK70" i="9"/>
  <c r="J70" i="9"/>
  <c r="BM70" i="9" s="1"/>
  <c r="Z70" i="9"/>
  <c r="AH70" i="9"/>
  <c r="AO70" i="9"/>
  <c r="AW70" i="9"/>
  <c r="BE70" i="9"/>
  <c r="AC70" i="9"/>
  <c r="AK70" i="9"/>
  <c r="AR70" i="9"/>
  <c r="AZ70" i="9"/>
  <c r="BH70" i="9"/>
  <c r="M70" i="9"/>
  <c r="BP70" i="9" s="1"/>
  <c r="O70" i="9"/>
  <c r="BR70" i="9" s="1"/>
  <c r="AE70" i="9"/>
  <c r="AM70" i="9"/>
  <c r="AT70" i="9"/>
  <c r="BB70" i="9"/>
  <c r="BJ70" i="9"/>
  <c r="AA77" i="9"/>
  <c r="AI77" i="9"/>
  <c r="BF77" i="9"/>
  <c r="K77" i="9"/>
  <c r="BN77" i="9" s="1"/>
  <c r="AP77" i="9"/>
  <c r="AX77" i="9"/>
  <c r="AJ77" i="9"/>
  <c r="AQ77" i="9"/>
  <c r="AY77" i="9"/>
  <c r="L77" i="9"/>
  <c r="BO77" i="9" s="1"/>
  <c r="AB77" i="9"/>
  <c r="BG77" i="9"/>
  <c r="N77" i="9"/>
  <c r="BQ77" i="9" s="1"/>
  <c r="AD77" i="9"/>
  <c r="AS77" i="9"/>
  <c r="BA77" i="9"/>
  <c r="AL77" i="9"/>
  <c r="BI77" i="9"/>
  <c r="Z77" i="9"/>
  <c r="BE77" i="9"/>
  <c r="J77" i="9"/>
  <c r="BM77" i="9" s="1"/>
  <c r="AH77" i="9"/>
  <c r="AO77" i="9"/>
  <c r="AW77" i="9"/>
  <c r="AC77" i="9"/>
  <c r="AR77" i="9"/>
  <c r="AZ77" i="9"/>
  <c r="M77" i="9"/>
  <c r="BP77" i="9" s="1"/>
  <c r="AK77" i="9"/>
  <c r="BH77" i="9"/>
  <c r="O77" i="9"/>
  <c r="BR77" i="9" s="1"/>
  <c r="AE77" i="9"/>
  <c r="AT77" i="9"/>
  <c r="BB77" i="9"/>
  <c r="AM77" i="9"/>
  <c r="BJ77" i="9"/>
  <c r="AF77" i="9"/>
  <c r="AN77" i="9"/>
  <c r="BK77" i="9"/>
  <c r="P77" i="9"/>
  <c r="BS77" i="9" s="1"/>
  <c r="AU77" i="9"/>
  <c r="BC77" i="9"/>
  <c r="AI79" i="9"/>
  <c r="BF79" i="9"/>
  <c r="K79" i="9"/>
  <c r="BN79" i="9" s="1"/>
  <c r="AA79" i="9"/>
  <c r="AP79" i="9"/>
  <c r="AX79" i="9"/>
  <c r="L79" i="9"/>
  <c r="BO79" i="9" s="1"/>
  <c r="AB79" i="9"/>
  <c r="AQ79" i="9"/>
  <c r="AY79" i="9"/>
  <c r="AJ79" i="9"/>
  <c r="BG79" i="9"/>
  <c r="N79" i="9"/>
  <c r="BQ79" i="9" s="1"/>
  <c r="AD79" i="9"/>
  <c r="AL79" i="9"/>
  <c r="AS79" i="9"/>
  <c r="BA79" i="9"/>
  <c r="BI79" i="9"/>
  <c r="P79" i="9"/>
  <c r="BS79" i="9" s="1"/>
  <c r="BC79" i="9"/>
  <c r="AF79" i="9"/>
  <c r="AN79" i="9"/>
  <c r="AU79" i="9"/>
  <c r="BK79" i="9"/>
  <c r="J79" i="9"/>
  <c r="BM79" i="9" s="1"/>
  <c r="BE79" i="9"/>
  <c r="Z79" i="9"/>
  <c r="AH79" i="9"/>
  <c r="AO79" i="9"/>
  <c r="AW79" i="9"/>
  <c r="M79" i="9"/>
  <c r="BP79" i="9" s="1"/>
  <c r="AR79" i="9"/>
  <c r="AZ79" i="9"/>
  <c r="AC79" i="9"/>
  <c r="AK79" i="9"/>
  <c r="BH79" i="9"/>
  <c r="O79" i="9"/>
  <c r="BR79" i="9" s="1"/>
  <c r="BB79" i="9"/>
  <c r="AE79" i="9"/>
  <c r="AM79" i="9"/>
  <c r="AT79" i="9"/>
  <c r="BJ79" i="9"/>
  <c r="N80" i="9"/>
  <c r="BQ80" i="9" s="1"/>
  <c r="AD80" i="9"/>
  <c r="AL80" i="9"/>
  <c r="AS80" i="9"/>
  <c r="BA80" i="9"/>
  <c r="BI80" i="9"/>
  <c r="AF80" i="9"/>
  <c r="AN80" i="9"/>
  <c r="BC80" i="9"/>
  <c r="BK80" i="9"/>
  <c r="P80" i="9"/>
  <c r="BS80" i="9" s="1"/>
  <c r="AU80" i="9"/>
  <c r="M80" i="9"/>
  <c r="BP80" i="9" s="1"/>
  <c r="AC80" i="9"/>
  <c r="AK80" i="9"/>
  <c r="AR80" i="9"/>
  <c r="AZ80" i="9"/>
  <c r="BH80" i="9"/>
  <c r="AT80" i="9"/>
  <c r="BB80" i="9"/>
  <c r="BJ80" i="9"/>
  <c r="O80" i="9"/>
  <c r="BR80" i="9" s="1"/>
  <c r="AE80" i="9"/>
  <c r="AM80" i="9"/>
  <c r="K80" i="9"/>
  <c r="BN80" i="9" s="1"/>
  <c r="AA80" i="9"/>
  <c r="AP80" i="9"/>
  <c r="AI80" i="9"/>
  <c r="AX80" i="9"/>
  <c r="BF80" i="9"/>
  <c r="J80" i="9"/>
  <c r="BM80" i="9" s="1"/>
  <c r="Z80" i="9"/>
  <c r="AH80" i="9"/>
  <c r="AO80" i="9"/>
  <c r="AW80" i="9"/>
  <c r="BE80" i="9"/>
  <c r="L80" i="9"/>
  <c r="BO80" i="9" s="1"/>
  <c r="AB80" i="9"/>
  <c r="AJ80" i="9"/>
  <c r="AQ80" i="9"/>
  <c r="AY80" i="9"/>
  <c r="BG80" i="9"/>
  <c r="AP82" i="9"/>
  <c r="BF82" i="9"/>
  <c r="K82" i="9"/>
  <c r="BN82" i="9" s="1"/>
  <c r="AA82" i="9"/>
  <c r="AI82" i="9"/>
  <c r="AX82" i="9"/>
  <c r="P82" i="9"/>
  <c r="BS82" i="9" s="1"/>
  <c r="AF82" i="9"/>
  <c r="AN82" i="9"/>
  <c r="AU82" i="9"/>
  <c r="BC82" i="9"/>
  <c r="BK82" i="9"/>
  <c r="O82" i="9"/>
  <c r="BR82" i="9" s="1"/>
  <c r="AE82" i="9"/>
  <c r="AM82" i="9"/>
  <c r="AT82" i="9"/>
  <c r="BB82" i="9"/>
  <c r="BJ82" i="9"/>
  <c r="AQ82" i="9"/>
  <c r="BG82" i="9"/>
  <c r="L82" i="9"/>
  <c r="BO82" i="9" s="1"/>
  <c r="AB82" i="9"/>
  <c r="AJ82" i="9"/>
  <c r="AY82" i="9"/>
  <c r="J82" i="9"/>
  <c r="BM82" i="9" s="1"/>
  <c r="Z82" i="9"/>
  <c r="AH82" i="9"/>
  <c r="AW82" i="9"/>
  <c r="AO82" i="9"/>
  <c r="BE82" i="9"/>
  <c r="AD82" i="9"/>
  <c r="AL82" i="9"/>
  <c r="AS82" i="9"/>
  <c r="BA82" i="9"/>
  <c r="BI82" i="9"/>
  <c r="N82" i="9"/>
  <c r="BQ82" i="9" s="1"/>
  <c r="M82" i="9"/>
  <c r="BP82" i="9" s="1"/>
  <c r="AR82" i="9"/>
  <c r="AZ82" i="9"/>
  <c r="BH82" i="9"/>
  <c r="AC82" i="9"/>
  <c r="AK82" i="9"/>
  <c r="F23" i="3"/>
  <c r="E23" i="3"/>
  <c r="H23" i="3"/>
  <c r="G23" i="3"/>
  <c r="C23" i="3"/>
  <c r="B23" i="3"/>
  <c r="D23" i="3"/>
  <c r="D19" i="3"/>
  <c r="G19" i="3"/>
  <c r="C19" i="3"/>
  <c r="B19" i="3"/>
  <c r="E19" i="3"/>
  <c r="H19" i="3"/>
  <c r="F19" i="3"/>
  <c r="B64" i="3"/>
  <c r="C64" i="3"/>
  <c r="E64" i="3"/>
  <c r="D64" i="3"/>
  <c r="F64" i="3"/>
  <c r="G64" i="3"/>
  <c r="H64" i="3"/>
  <c r="B63" i="3"/>
  <c r="E63" i="3"/>
  <c r="G63" i="3"/>
  <c r="F63" i="3"/>
  <c r="H63" i="3"/>
  <c r="C63" i="3"/>
  <c r="D63" i="3"/>
  <c r="B62" i="3"/>
  <c r="E62" i="3"/>
  <c r="C62" i="3"/>
  <c r="G62" i="3"/>
  <c r="D62" i="3"/>
  <c r="F62" i="3"/>
  <c r="H62" i="3"/>
  <c r="B61" i="3"/>
  <c r="E61" i="3"/>
  <c r="D61" i="3"/>
  <c r="G61" i="3"/>
  <c r="F61" i="3"/>
  <c r="H61" i="3"/>
  <c r="C61" i="3"/>
  <c r="E60" i="3"/>
  <c r="B60" i="3"/>
  <c r="G60" i="3"/>
  <c r="H60" i="3"/>
  <c r="F60" i="3"/>
  <c r="C60" i="3"/>
  <c r="D60" i="3"/>
  <c r="B59" i="3"/>
  <c r="E59" i="3"/>
  <c r="F59" i="3"/>
  <c r="C59" i="3"/>
  <c r="D59" i="3"/>
  <c r="G59" i="3"/>
  <c r="H59" i="3"/>
  <c r="B58" i="3"/>
  <c r="E58" i="3"/>
  <c r="F58" i="3"/>
  <c r="C58" i="3"/>
  <c r="G58" i="3"/>
  <c r="H58" i="3"/>
  <c r="D58" i="3"/>
  <c r="B57" i="3"/>
  <c r="C57" i="3"/>
  <c r="E57" i="3"/>
  <c r="D57" i="3"/>
  <c r="G57" i="3"/>
  <c r="H57" i="3"/>
  <c r="F57" i="3"/>
  <c r="B55" i="3"/>
  <c r="E55" i="3"/>
  <c r="F55" i="3"/>
  <c r="G55" i="3"/>
  <c r="H55" i="3"/>
  <c r="C55" i="3"/>
  <c r="D55" i="3"/>
  <c r="B54" i="3"/>
  <c r="E54" i="3"/>
  <c r="G54" i="3"/>
  <c r="D54" i="3"/>
  <c r="C54" i="3"/>
  <c r="H54" i="3"/>
  <c r="F54" i="3"/>
  <c r="B53" i="3"/>
  <c r="E53" i="3"/>
  <c r="G53" i="3"/>
  <c r="F53" i="3"/>
  <c r="C53" i="3"/>
  <c r="D53" i="3"/>
  <c r="H53" i="3"/>
  <c r="E52" i="3"/>
  <c r="D52" i="3"/>
  <c r="G52" i="3"/>
  <c r="B52" i="3"/>
  <c r="H52" i="3"/>
  <c r="F52" i="3"/>
  <c r="C52" i="3"/>
  <c r="B51" i="3"/>
  <c r="E51" i="3"/>
  <c r="F51" i="3"/>
  <c r="G51" i="3"/>
  <c r="H51" i="3"/>
  <c r="D51" i="3"/>
  <c r="C51" i="3"/>
  <c r="B50" i="3"/>
  <c r="E50" i="3"/>
  <c r="F50" i="3"/>
  <c r="G50" i="3"/>
  <c r="D50" i="3"/>
  <c r="C50" i="3"/>
  <c r="H50" i="3"/>
  <c r="B49" i="3"/>
  <c r="C49" i="3"/>
  <c r="E49" i="3"/>
  <c r="F49" i="3"/>
  <c r="G49" i="3"/>
  <c r="H49" i="3"/>
  <c r="D49" i="3"/>
  <c r="B48" i="3"/>
  <c r="E48" i="3"/>
  <c r="F48" i="3"/>
  <c r="D48" i="3"/>
  <c r="G48" i="3"/>
  <c r="H48" i="3"/>
  <c r="C48" i="3"/>
  <c r="B42" i="3"/>
  <c r="E42" i="3"/>
  <c r="F42" i="3"/>
  <c r="G42" i="3"/>
  <c r="C42" i="3"/>
  <c r="D42" i="3"/>
  <c r="H42" i="3"/>
  <c r="B40" i="3"/>
  <c r="C40" i="3"/>
  <c r="G40" i="3"/>
  <c r="E40" i="3"/>
  <c r="H40" i="3"/>
  <c r="D40" i="3"/>
  <c r="F40" i="3"/>
  <c r="B37" i="3"/>
  <c r="E37" i="3"/>
  <c r="F37" i="3"/>
  <c r="C37" i="3"/>
  <c r="D37" i="3"/>
  <c r="G37" i="3"/>
  <c r="H37" i="3"/>
  <c r="B36" i="3"/>
  <c r="C36" i="3"/>
  <c r="G36" i="3"/>
  <c r="F36" i="3"/>
  <c r="D36" i="3"/>
  <c r="H36" i="3"/>
  <c r="E36" i="3"/>
  <c r="F34" i="3"/>
  <c r="B34" i="3"/>
  <c r="E34" i="3"/>
  <c r="D34" i="3"/>
  <c r="G34" i="3"/>
  <c r="H34" i="3"/>
  <c r="C34" i="3"/>
  <c r="C32" i="3"/>
  <c r="D32" i="3"/>
  <c r="G32" i="3"/>
  <c r="H32" i="3"/>
  <c r="F32" i="3"/>
  <c r="B32" i="3"/>
  <c r="E32" i="3"/>
  <c r="B31" i="3"/>
  <c r="E31" i="3"/>
  <c r="G31" i="3"/>
  <c r="D31" i="3"/>
  <c r="H31" i="3"/>
  <c r="C31" i="3"/>
  <c r="F31" i="3"/>
  <c r="E30" i="3"/>
  <c r="C30" i="3"/>
  <c r="D30" i="3"/>
  <c r="G30" i="3"/>
  <c r="H30" i="3"/>
  <c r="B30" i="3"/>
  <c r="F30" i="3"/>
  <c r="B29" i="3"/>
  <c r="C29" i="3"/>
  <c r="E29" i="3"/>
  <c r="G29" i="3"/>
  <c r="H29" i="3"/>
  <c r="D29" i="3"/>
  <c r="F29" i="3"/>
  <c r="D26" i="3"/>
  <c r="H26" i="3"/>
  <c r="E26" i="3"/>
  <c r="C26" i="3"/>
  <c r="F26" i="3"/>
  <c r="B26" i="3"/>
  <c r="G26" i="3"/>
  <c r="E17" i="3"/>
  <c r="B17" i="3"/>
  <c r="C17" i="3"/>
  <c r="G17" i="3"/>
  <c r="F17" i="3"/>
  <c r="D17" i="3"/>
  <c r="H17" i="3"/>
  <c r="B56" i="3"/>
  <c r="C56" i="3"/>
  <c r="D56" i="3"/>
  <c r="G56" i="3"/>
  <c r="H56" i="3"/>
  <c r="E56" i="3"/>
  <c r="F56" i="3"/>
  <c r="B35" i="3"/>
  <c r="C35" i="3"/>
  <c r="H35" i="3"/>
  <c r="F35" i="3"/>
  <c r="G35" i="3"/>
  <c r="D35" i="3"/>
  <c r="E35" i="3"/>
  <c r="B28" i="3"/>
  <c r="C28" i="3"/>
  <c r="E28" i="3"/>
  <c r="D28" i="3"/>
  <c r="F28" i="3"/>
  <c r="G28" i="3"/>
  <c r="H28" i="3"/>
  <c r="E25" i="3"/>
  <c r="G25" i="3"/>
  <c r="B25" i="3"/>
  <c r="D25" i="3"/>
  <c r="H25" i="3"/>
  <c r="C25" i="3"/>
  <c r="F25" i="3"/>
  <c r="F47" i="3"/>
  <c r="B47" i="3"/>
  <c r="C47" i="3"/>
  <c r="G47" i="3"/>
  <c r="D47" i="3"/>
  <c r="H47" i="3"/>
  <c r="E47" i="3"/>
  <c r="B46" i="3"/>
  <c r="E46" i="3"/>
  <c r="F46" i="3"/>
  <c r="C46" i="3"/>
  <c r="G46" i="3"/>
  <c r="H46" i="3"/>
  <c r="D46" i="3"/>
  <c r="B45" i="3"/>
  <c r="E45" i="3"/>
  <c r="C45" i="3"/>
  <c r="F45" i="3"/>
  <c r="D45" i="3"/>
  <c r="G45" i="3"/>
  <c r="H45" i="3"/>
  <c r="B44" i="3"/>
  <c r="C44" i="3"/>
  <c r="E44" i="3"/>
  <c r="F44" i="3"/>
  <c r="G44" i="3"/>
  <c r="H44" i="3"/>
  <c r="D44" i="3"/>
  <c r="C43" i="3"/>
  <c r="E43" i="3"/>
  <c r="F43" i="3"/>
  <c r="G43" i="3"/>
  <c r="D43" i="3"/>
  <c r="H43" i="3"/>
  <c r="B43" i="3"/>
  <c r="B41" i="3"/>
  <c r="E41" i="3"/>
  <c r="D41" i="3"/>
  <c r="G41" i="3"/>
  <c r="H41" i="3"/>
  <c r="C41" i="3"/>
  <c r="F41" i="3"/>
  <c r="B39" i="3"/>
  <c r="E39" i="3"/>
  <c r="G39" i="3"/>
  <c r="H39" i="3"/>
  <c r="D39" i="3"/>
  <c r="F39" i="3"/>
  <c r="C39" i="3"/>
  <c r="B38" i="3"/>
  <c r="E38" i="3"/>
  <c r="G38" i="3"/>
  <c r="H38" i="3"/>
  <c r="F38" i="3"/>
  <c r="C38" i="3"/>
  <c r="D38" i="3"/>
  <c r="B33" i="3"/>
  <c r="E33" i="3"/>
  <c r="C33" i="3"/>
  <c r="F33" i="3"/>
  <c r="G33" i="3"/>
  <c r="D33" i="3"/>
  <c r="H33" i="3"/>
  <c r="C40" i="2"/>
  <c r="F40" i="2"/>
  <c r="B40" i="2"/>
  <c r="H40" i="2"/>
  <c r="D40" i="2"/>
  <c r="E40" i="2"/>
  <c r="G40" i="2"/>
  <c r="B27" i="3"/>
  <c r="G27" i="3"/>
  <c r="H27" i="3"/>
  <c r="C27" i="3"/>
  <c r="D27" i="3"/>
  <c r="E27" i="3"/>
  <c r="F27" i="3"/>
  <c r="F24" i="3"/>
  <c r="D24" i="3"/>
  <c r="B24" i="3"/>
  <c r="G24" i="3"/>
  <c r="E24" i="3"/>
  <c r="C24" i="3"/>
  <c r="H24" i="3"/>
  <c r="D22" i="3"/>
  <c r="H22" i="3"/>
  <c r="E22" i="3"/>
  <c r="C22" i="3"/>
  <c r="B22" i="3"/>
  <c r="F22" i="3"/>
  <c r="G22" i="3"/>
  <c r="B21" i="3"/>
  <c r="C21" i="3"/>
  <c r="D21" i="3"/>
  <c r="E21" i="3"/>
  <c r="F21" i="3"/>
  <c r="G21" i="3"/>
  <c r="H21" i="3"/>
  <c r="B20" i="3"/>
  <c r="C20" i="3"/>
  <c r="D20" i="3"/>
  <c r="E20" i="3"/>
  <c r="F20" i="3"/>
  <c r="G20" i="3"/>
  <c r="H20" i="3"/>
  <c r="C38" i="2"/>
  <c r="F38" i="2"/>
  <c r="E38" i="2"/>
  <c r="D38" i="2"/>
  <c r="B38" i="2"/>
  <c r="H38" i="2"/>
  <c r="G38" i="2"/>
  <c r="B37" i="2"/>
  <c r="E37" i="2"/>
  <c r="D37" i="2"/>
  <c r="C37" i="2"/>
  <c r="F37" i="2"/>
  <c r="H37" i="2"/>
  <c r="G37" i="2"/>
  <c r="B36" i="2"/>
  <c r="C36" i="2"/>
  <c r="E36" i="2"/>
  <c r="G36" i="2"/>
  <c r="H36" i="2"/>
  <c r="F36" i="2"/>
  <c r="D36" i="2"/>
  <c r="B35" i="2"/>
  <c r="C35" i="2"/>
  <c r="E35" i="2"/>
  <c r="G35" i="2"/>
  <c r="H35" i="2"/>
  <c r="D35" i="2"/>
  <c r="F35" i="2"/>
  <c r="B34" i="2"/>
  <c r="D34" i="2"/>
  <c r="C34" i="2"/>
  <c r="G34" i="2"/>
  <c r="H34" i="2"/>
  <c r="E34" i="2"/>
  <c r="F34" i="2"/>
  <c r="B33" i="2"/>
  <c r="D33" i="2"/>
  <c r="G33" i="2"/>
  <c r="E33" i="2"/>
  <c r="C33" i="2"/>
  <c r="H33" i="2"/>
  <c r="F33" i="2"/>
  <c r="B32" i="2"/>
  <c r="E32" i="2"/>
  <c r="G32" i="2"/>
  <c r="H32" i="2"/>
  <c r="C32" i="2"/>
  <c r="D32" i="2"/>
  <c r="F32" i="2"/>
  <c r="B31" i="2"/>
  <c r="E31" i="2"/>
  <c r="G31" i="2"/>
  <c r="H31" i="2"/>
  <c r="C31" i="2"/>
  <c r="F31" i="2"/>
  <c r="D31" i="2"/>
  <c r="F30" i="2"/>
  <c r="G30" i="2"/>
  <c r="B30" i="2"/>
  <c r="H30" i="2"/>
  <c r="C30" i="2"/>
  <c r="E30" i="2"/>
  <c r="D30" i="2"/>
  <c r="B29" i="2"/>
  <c r="E29" i="2"/>
  <c r="F29" i="2"/>
  <c r="G29" i="2"/>
  <c r="H29" i="2"/>
  <c r="C29" i="2"/>
  <c r="D29" i="2"/>
  <c r="B18" i="2"/>
  <c r="F18" i="2"/>
  <c r="G18" i="2"/>
  <c r="H18" i="2"/>
  <c r="E18" i="2"/>
  <c r="C18" i="2"/>
  <c r="D18" i="2"/>
  <c r="B28" i="2"/>
  <c r="E28" i="2"/>
  <c r="F28" i="2"/>
  <c r="G28" i="2"/>
  <c r="D28" i="2"/>
  <c r="H28" i="2"/>
  <c r="C28" i="2"/>
  <c r="B27" i="2"/>
  <c r="D27" i="2"/>
  <c r="G27" i="2"/>
  <c r="E27" i="2"/>
  <c r="H27" i="2"/>
  <c r="C27" i="2"/>
  <c r="F27" i="2"/>
  <c r="E26" i="2"/>
  <c r="F26" i="2"/>
  <c r="G26" i="2"/>
  <c r="D26" i="2"/>
  <c r="H26" i="2"/>
  <c r="B26" i="2"/>
  <c r="C26" i="2"/>
  <c r="E25" i="2"/>
  <c r="F25" i="2"/>
  <c r="C25" i="2"/>
  <c r="G25" i="2"/>
  <c r="D25" i="2"/>
  <c r="H25" i="2"/>
  <c r="B25" i="2"/>
  <c r="B24" i="2"/>
  <c r="E24" i="2"/>
  <c r="D24" i="2"/>
  <c r="G24" i="2"/>
  <c r="H24" i="2"/>
  <c r="F24" i="2"/>
  <c r="C24" i="2"/>
  <c r="B23" i="2"/>
  <c r="E23" i="2"/>
  <c r="G23" i="2"/>
  <c r="C23" i="2"/>
  <c r="H23" i="2"/>
  <c r="D23" i="2"/>
  <c r="F23" i="2"/>
  <c r="B22" i="2"/>
  <c r="E22" i="2"/>
  <c r="C22" i="2"/>
  <c r="G22" i="2"/>
  <c r="D22" i="2"/>
  <c r="F22" i="2"/>
  <c r="H22" i="2"/>
  <c r="B21" i="2"/>
  <c r="C21" i="2"/>
  <c r="E21" i="2"/>
  <c r="F21" i="2"/>
  <c r="D21" i="2"/>
  <c r="G21" i="2"/>
  <c r="H21" i="2"/>
  <c r="B20" i="2"/>
  <c r="C20" i="2"/>
  <c r="E20" i="2"/>
  <c r="G20" i="2"/>
  <c r="D20" i="2"/>
  <c r="H20" i="2"/>
  <c r="F20" i="2"/>
  <c r="B19" i="2"/>
  <c r="F19" i="2"/>
  <c r="G19" i="2"/>
  <c r="H19" i="2"/>
  <c r="D19" i="2"/>
  <c r="C19" i="2"/>
  <c r="E19" i="2"/>
  <c r="C17" i="2"/>
  <c r="E17" i="2"/>
  <c r="F17" i="2"/>
  <c r="D17" i="2"/>
  <c r="H17" i="2"/>
  <c r="B17" i="2"/>
  <c r="G17" i="2"/>
  <c r="H18" i="3"/>
  <c r="E18" i="3"/>
  <c r="D18" i="3"/>
  <c r="C18" i="3"/>
  <c r="F18" i="3"/>
  <c r="G18" i="3"/>
  <c r="B18" i="3"/>
  <c r="G39" i="2"/>
  <c r="E39" i="2"/>
  <c r="C39" i="2"/>
  <c r="D39" i="2"/>
  <c r="H39" i="2"/>
  <c r="F39" i="2"/>
  <c r="B39" i="2"/>
  <c r="V85" i="9" l="1"/>
  <c r="N61" i="3" s="1"/>
  <c r="V88" i="9"/>
  <c r="N64" i="3" s="1"/>
  <c r="W66" i="9"/>
  <c r="O42" i="3" s="1"/>
  <c r="S69" i="9"/>
  <c r="K45" i="3" s="1"/>
  <c r="V69" i="9"/>
  <c r="N45" i="3" s="1"/>
  <c r="R68" i="9"/>
  <c r="J44" i="3" s="1"/>
  <c r="S85" i="9"/>
  <c r="K61" i="3" s="1"/>
  <c r="S83" i="9"/>
  <c r="K59" i="3" s="1"/>
  <c r="R72" i="9"/>
  <c r="J48" i="3" s="1"/>
  <c r="X23" i="9"/>
  <c r="P23" i="2" s="1"/>
  <c r="T18" i="9"/>
  <c r="L18" i="2" s="1"/>
  <c r="R18" i="9"/>
  <c r="J18" i="2" s="1"/>
  <c r="V18" i="9"/>
  <c r="N18" i="2" s="1"/>
  <c r="S18" i="9"/>
  <c r="K18" i="2" s="1"/>
  <c r="T85" i="9"/>
  <c r="L61" i="3" s="1"/>
  <c r="W34" i="9"/>
  <c r="O34" i="2" s="1"/>
  <c r="X47" i="9"/>
  <c r="P23" i="3" s="1"/>
  <c r="W83" i="9"/>
  <c r="O59" i="3" s="1"/>
  <c r="R75" i="9"/>
  <c r="J51" i="3" s="1"/>
  <c r="R85" i="9"/>
  <c r="J61" i="3" s="1"/>
  <c r="V61" i="9"/>
  <c r="N37" i="3" s="1"/>
  <c r="U34" i="9"/>
  <c r="M34" i="2" s="1"/>
  <c r="S67" i="9"/>
  <c r="K43" i="3" s="1"/>
  <c r="U48" i="9"/>
  <c r="M24" i="3" s="1"/>
  <c r="T61" i="9"/>
  <c r="L37" i="3" s="1"/>
  <c r="T50" i="9"/>
  <c r="L26" i="3" s="1"/>
  <c r="W67" i="9"/>
  <c r="O43" i="3" s="1"/>
  <c r="X33" i="9"/>
  <c r="P33" i="2" s="1"/>
  <c r="R64" i="9"/>
  <c r="J40" i="3" s="1"/>
  <c r="T74" i="9"/>
  <c r="L50" i="3" s="1"/>
  <c r="U58" i="9"/>
  <c r="M34" i="3" s="1"/>
  <c r="R56" i="9"/>
  <c r="J32" i="3" s="1"/>
  <c r="X80" i="9"/>
  <c r="P56" i="3" s="1"/>
  <c r="W33" i="9"/>
  <c r="O33" i="2" s="1"/>
  <c r="V62" i="9"/>
  <c r="N38" i="3" s="1"/>
  <c r="W75" i="9"/>
  <c r="O51" i="3" s="1"/>
  <c r="X19" i="9"/>
  <c r="P19" i="2" s="1"/>
  <c r="V35" i="9"/>
  <c r="N35" i="2" s="1"/>
  <c r="T59" i="9"/>
  <c r="L35" i="3" s="1"/>
  <c r="V58" i="9"/>
  <c r="N34" i="3" s="1"/>
  <c r="W58" i="9"/>
  <c r="O34" i="3" s="1"/>
  <c r="U62" i="9"/>
  <c r="M38" i="3" s="1"/>
  <c r="V78" i="9"/>
  <c r="N54" i="3" s="1"/>
  <c r="W56" i="9"/>
  <c r="O32" i="3" s="1"/>
  <c r="T17" i="9"/>
  <c r="L17" i="2" s="1"/>
  <c r="T28" i="9"/>
  <c r="L28" i="2" s="1"/>
  <c r="V44" i="9"/>
  <c r="N20" i="3" s="1"/>
  <c r="X44" i="9"/>
  <c r="P20" i="3" s="1"/>
  <c r="U41" i="9"/>
  <c r="M17" i="3" s="1"/>
  <c r="X41" i="9"/>
  <c r="P17" i="3" s="1"/>
  <c r="R28" i="9"/>
  <c r="J28" i="2" s="1"/>
  <c r="W28" i="9"/>
  <c r="O28" i="2" s="1"/>
  <c r="S28" i="9"/>
  <c r="K28" i="2" s="1"/>
  <c r="V28" i="9"/>
  <c r="N28" i="2" s="1"/>
  <c r="U28" i="9"/>
  <c r="M28" i="2" s="1"/>
  <c r="X57" i="9"/>
  <c r="P33" i="3" s="1"/>
  <c r="W57" i="9"/>
  <c r="O33" i="3" s="1"/>
  <c r="W61" i="9"/>
  <c r="O37" i="3" s="1"/>
  <c r="S61" i="9"/>
  <c r="K37" i="3" s="1"/>
  <c r="X61" i="9"/>
  <c r="P37" i="3" s="1"/>
  <c r="X64" i="9"/>
  <c r="P40" i="3" s="1"/>
  <c r="U64" i="9"/>
  <c r="M40" i="3" s="1"/>
  <c r="T64" i="9"/>
  <c r="L40" i="3" s="1"/>
  <c r="V64" i="9"/>
  <c r="N40" i="3" s="1"/>
  <c r="S64" i="9"/>
  <c r="K40" i="3" s="1"/>
  <c r="W64" i="9"/>
  <c r="O40" i="3" s="1"/>
  <c r="V67" i="9"/>
  <c r="N43" i="3" s="1"/>
  <c r="U67" i="9"/>
  <c r="M43" i="3" s="1"/>
  <c r="T67" i="9"/>
  <c r="L43" i="3" s="1"/>
  <c r="X67" i="9"/>
  <c r="P43" i="3" s="1"/>
  <c r="X28" i="9"/>
  <c r="P28" i="2" s="1"/>
  <c r="S30" i="9"/>
  <c r="K30" i="2" s="1"/>
  <c r="W30" i="9"/>
  <c r="O30" i="2" s="1"/>
  <c r="V30" i="9"/>
  <c r="N30" i="2" s="1"/>
  <c r="T30" i="9"/>
  <c r="L30" i="2" s="1"/>
  <c r="X30" i="9"/>
  <c r="P30" i="2" s="1"/>
  <c r="R30" i="9"/>
  <c r="J30" i="2" s="1"/>
  <c r="U30" i="9"/>
  <c r="M30" i="2" s="1"/>
  <c r="S41" i="9"/>
  <c r="K17" i="3" s="1"/>
  <c r="V41" i="9"/>
  <c r="N17" i="3" s="1"/>
  <c r="R41" i="9"/>
  <c r="J17" i="3" s="1"/>
  <c r="W41" i="9"/>
  <c r="O17" i="3" s="1"/>
  <c r="T41" i="9"/>
  <c r="L17" i="3" s="1"/>
  <c r="S44" i="9"/>
  <c r="K20" i="3" s="1"/>
  <c r="T44" i="9"/>
  <c r="L20" i="3" s="1"/>
  <c r="U44" i="9"/>
  <c r="M20" i="3" s="1"/>
  <c r="W44" i="9"/>
  <c r="O20" i="3" s="1"/>
  <c r="R44" i="9"/>
  <c r="J20" i="3" s="1"/>
  <c r="S48" i="9"/>
  <c r="K24" i="3" s="1"/>
  <c r="T48" i="9"/>
  <c r="L24" i="3" s="1"/>
  <c r="V48" i="9"/>
  <c r="N24" i="3" s="1"/>
  <c r="W48" i="9"/>
  <c r="O24" i="3" s="1"/>
  <c r="X48" i="9"/>
  <c r="P24" i="3" s="1"/>
  <c r="R48" i="9"/>
  <c r="J24" i="3" s="1"/>
  <c r="R57" i="9"/>
  <c r="J33" i="3" s="1"/>
  <c r="T57" i="9"/>
  <c r="L33" i="3" s="1"/>
  <c r="V57" i="9"/>
  <c r="N33" i="3" s="1"/>
  <c r="S57" i="9"/>
  <c r="K33" i="3" s="1"/>
  <c r="U57" i="9"/>
  <c r="M33" i="3" s="1"/>
  <c r="U38" i="9"/>
  <c r="M38" i="2" s="1"/>
  <c r="X39" i="9"/>
  <c r="P39" i="2" s="1"/>
  <c r="T39" i="9"/>
  <c r="L39" i="2" s="1"/>
  <c r="V22" i="9"/>
  <c r="N22" i="2" s="1"/>
  <c r="T19" i="9"/>
  <c r="L19" i="2" s="1"/>
  <c r="S19" i="9"/>
  <c r="K19" i="2" s="1"/>
  <c r="W19" i="9"/>
  <c r="O19" i="2" s="1"/>
  <c r="V51" i="9"/>
  <c r="N27" i="3" s="1"/>
  <c r="U61" i="9"/>
  <c r="M37" i="3" s="1"/>
  <c r="R61" i="9"/>
  <c r="J37" i="3" s="1"/>
  <c r="R67" i="9"/>
  <c r="J43" i="3" s="1"/>
  <c r="T72" i="9"/>
  <c r="L48" i="3" s="1"/>
  <c r="T76" i="9"/>
  <c r="L52" i="3" s="1"/>
  <c r="R31" i="9"/>
  <c r="J31" i="2" s="1"/>
  <c r="W31" i="9"/>
  <c r="O31" i="2" s="1"/>
  <c r="T31" i="9"/>
  <c r="L31" i="2" s="1"/>
  <c r="S31" i="9"/>
  <c r="K31" i="2" s="1"/>
  <c r="U31" i="9"/>
  <c r="M31" i="2" s="1"/>
  <c r="S33" i="9"/>
  <c r="K33" i="2" s="1"/>
  <c r="W38" i="9"/>
  <c r="O38" i="2" s="1"/>
  <c r="U39" i="9"/>
  <c r="M39" i="2" s="1"/>
  <c r="V39" i="9"/>
  <c r="N39" i="2" s="1"/>
  <c r="S40" i="9"/>
  <c r="K40" i="2" s="1"/>
  <c r="X40" i="9"/>
  <c r="P40" i="2" s="1"/>
  <c r="W40" i="9"/>
  <c r="O40" i="2" s="1"/>
  <c r="V40" i="9"/>
  <c r="N40" i="2" s="1"/>
  <c r="U40" i="9"/>
  <c r="M40" i="2" s="1"/>
  <c r="S50" i="9"/>
  <c r="K26" i="3" s="1"/>
  <c r="U50" i="9"/>
  <c r="M26" i="3" s="1"/>
  <c r="V84" i="9"/>
  <c r="N60" i="3" s="1"/>
  <c r="X84" i="9"/>
  <c r="P60" i="3" s="1"/>
  <c r="R84" i="9"/>
  <c r="J60" i="3" s="1"/>
  <c r="U84" i="9"/>
  <c r="M60" i="3" s="1"/>
  <c r="W84" i="9"/>
  <c r="O60" i="3" s="1"/>
  <c r="S88" i="9"/>
  <c r="K64" i="3" s="1"/>
  <c r="U88" i="9"/>
  <c r="M64" i="3" s="1"/>
  <c r="W88" i="9"/>
  <c r="O64" i="3" s="1"/>
  <c r="R88" i="9"/>
  <c r="J64" i="3" s="1"/>
  <c r="T88" i="9"/>
  <c r="L64" i="3" s="1"/>
  <c r="X88" i="9"/>
  <c r="P64" i="3" s="1"/>
  <c r="X18" i="9"/>
  <c r="P18" i="2" s="1"/>
  <c r="U18" i="9"/>
  <c r="M18" i="2" s="1"/>
  <c r="W18" i="9"/>
  <c r="O18" i="2" s="1"/>
  <c r="U24" i="9"/>
  <c r="M24" i="2" s="1"/>
  <c r="X24" i="9"/>
  <c r="P24" i="2" s="1"/>
  <c r="W24" i="9"/>
  <c r="O24" i="2" s="1"/>
  <c r="S24" i="9"/>
  <c r="K24" i="2" s="1"/>
  <c r="T24" i="9"/>
  <c r="L24" i="2" s="1"/>
  <c r="R24" i="9"/>
  <c r="J24" i="2" s="1"/>
  <c r="V24" i="9"/>
  <c r="N24" i="2" s="1"/>
  <c r="V31" i="9"/>
  <c r="N31" i="2" s="1"/>
  <c r="T33" i="9"/>
  <c r="L33" i="2" s="1"/>
  <c r="R33" i="9"/>
  <c r="J33" i="2" s="1"/>
  <c r="U33" i="9"/>
  <c r="M33" i="2" s="1"/>
  <c r="V33" i="9"/>
  <c r="N33" i="2" s="1"/>
  <c r="T34" i="9"/>
  <c r="L34" i="2" s="1"/>
  <c r="R34" i="9"/>
  <c r="J34" i="2" s="1"/>
  <c r="X34" i="9"/>
  <c r="P34" i="2" s="1"/>
  <c r="V34" i="9"/>
  <c r="N34" i="2" s="1"/>
  <c r="S34" i="9"/>
  <c r="K34" i="2" s="1"/>
  <c r="R35" i="9"/>
  <c r="J35" i="2" s="1"/>
  <c r="W35" i="9"/>
  <c r="O35" i="2" s="1"/>
  <c r="R42" i="9"/>
  <c r="J18" i="3" s="1"/>
  <c r="X42" i="9"/>
  <c r="P18" i="3" s="1"/>
  <c r="V42" i="9"/>
  <c r="N18" i="3" s="1"/>
  <c r="W42" i="9"/>
  <c r="O18" i="3" s="1"/>
  <c r="S42" i="9"/>
  <c r="K18" i="3" s="1"/>
  <c r="T42" i="9"/>
  <c r="L18" i="3" s="1"/>
  <c r="U42" i="9"/>
  <c r="M18" i="3" s="1"/>
  <c r="T47" i="9"/>
  <c r="L23" i="3" s="1"/>
  <c r="V47" i="9"/>
  <c r="N23" i="3" s="1"/>
  <c r="R47" i="9"/>
  <c r="J23" i="3" s="1"/>
  <c r="S47" i="9"/>
  <c r="K23" i="3" s="1"/>
  <c r="W47" i="9"/>
  <c r="O23" i="3" s="1"/>
  <c r="U47" i="9"/>
  <c r="M23" i="3" s="1"/>
  <c r="T23" i="9"/>
  <c r="L23" i="2" s="1"/>
  <c r="R23" i="9"/>
  <c r="J23" i="2" s="1"/>
  <c r="U23" i="9"/>
  <c r="M23" i="2" s="1"/>
  <c r="W23" i="9"/>
  <c r="O23" i="2" s="1"/>
  <c r="S23" i="9"/>
  <c r="K23" i="2" s="1"/>
  <c r="V23" i="9"/>
  <c r="N23" i="2" s="1"/>
  <c r="V20" i="9"/>
  <c r="N20" i="2" s="1"/>
  <c r="X20" i="9"/>
  <c r="P20" i="2" s="1"/>
  <c r="S20" i="9"/>
  <c r="K20" i="2" s="1"/>
  <c r="T22" i="9"/>
  <c r="L22" i="2" s="1"/>
  <c r="W22" i="9"/>
  <c r="O22" i="2" s="1"/>
  <c r="S17" i="9"/>
  <c r="K17" i="2" s="1"/>
  <c r="U17" i="9"/>
  <c r="M17" i="2" s="1"/>
  <c r="W51" i="9"/>
  <c r="O27" i="3" s="1"/>
  <c r="R22" i="9"/>
  <c r="J22" i="2" s="1"/>
  <c r="U22" i="9"/>
  <c r="M22" i="2" s="1"/>
  <c r="T25" i="9"/>
  <c r="L25" i="2" s="1"/>
  <c r="W25" i="9"/>
  <c r="O25" i="2" s="1"/>
  <c r="S25" i="9"/>
  <c r="K25" i="2" s="1"/>
  <c r="V25" i="9"/>
  <c r="N25" i="2" s="1"/>
  <c r="X25" i="9"/>
  <c r="P25" i="2" s="1"/>
  <c r="R25" i="9"/>
  <c r="J25" i="2" s="1"/>
  <c r="U25" i="9"/>
  <c r="M25" i="2" s="1"/>
  <c r="U27" i="9"/>
  <c r="M27" i="2" s="1"/>
  <c r="V27" i="9"/>
  <c r="N27" i="2" s="1"/>
  <c r="S27" i="9"/>
  <c r="K27" i="2" s="1"/>
  <c r="W27" i="9"/>
  <c r="O27" i="2" s="1"/>
  <c r="R27" i="9"/>
  <c r="J27" i="2" s="1"/>
  <c r="T27" i="9"/>
  <c r="L27" i="2" s="1"/>
  <c r="X27" i="9"/>
  <c r="P27" i="2" s="1"/>
  <c r="U29" i="9"/>
  <c r="M29" i="2" s="1"/>
  <c r="S29" i="9"/>
  <c r="K29" i="2" s="1"/>
  <c r="X29" i="9"/>
  <c r="P29" i="2" s="1"/>
  <c r="R29" i="9"/>
  <c r="J29" i="2" s="1"/>
  <c r="V29" i="9"/>
  <c r="N29" i="2" s="1"/>
  <c r="T29" i="9"/>
  <c r="L29" i="2" s="1"/>
  <c r="W29" i="9"/>
  <c r="O29" i="2" s="1"/>
  <c r="T36" i="9"/>
  <c r="L36" i="2" s="1"/>
  <c r="X36" i="9"/>
  <c r="P36" i="2" s="1"/>
  <c r="S36" i="9"/>
  <c r="K36" i="2" s="1"/>
  <c r="W36" i="9"/>
  <c r="O36" i="2" s="1"/>
  <c r="V36" i="9"/>
  <c r="N36" i="2" s="1"/>
  <c r="R36" i="9"/>
  <c r="J36" i="2" s="1"/>
  <c r="U36" i="9"/>
  <c r="M36" i="2" s="1"/>
  <c r="S37" i="9"/>
  <c r="K37" i="2" s="1"/>
  <c r="U37" i="9"/>
  <c r="M37" i="2" s="1"/>
  <c r="W37" i="9"/>
  <c r="O37" i="2" s="1"/>
  <c r="R37" i="9"/>
  <c r="J37" i="2" s="1"/>
  <c r="T37" i="9"/>
  <c r="L37" i="2" s="1"/>
  <c r="V37" i="9"/>
  <c r="N37" i="2" s="1"/>
  <c r="X37" i="9"/>
  <c r="P37" i="2" s="1"/>
  <c r="S43" i="9"/>
  <c r="K19" i="3" s="1"/>
  <c r="U43" i="9"/>
  <c r="M19" i="3" s="1"/>
  <c r="W43" i="9"/>
  <c r="O19" i="3" s="1"/>
  <c r="R43" i="9"/>
  <c r="J19" i="3" s="1"/>
  <c r="S60" i="9"/>
  <c r="K36" i="3" s="1"/>
  <c r="T60" i="9"/>
  <c r="L36" i="3" s="1"/>
  <c r="W60" i="9"/>
  <c r="O36" i="3" s="1"/>
  <c r="U60" i="9"/>
  <c r="M36" i="3" s="1"/>
  <c r="X60" i="9"/>
  <c r="P36" i="3" s="1"/>
  <c r="R60" i="9"/>
  <c r="J36" i="3" s="1"/>
  <c r="V60" i="9"/>
  <c r="N36" i="3" s="1"/>
  <c r="T43" i="9"/>
  <c r="L19" i="3" s="1"/>
  <c r="V43" i="9"/>
  <c r="N19" i="3" s="1"/>
  <c r="X43" i="9"/>
  <c r="P19" i="3" s="1"/>
  <c r="S45" i="9"/>
  <c r="K21" i="3" s="1"/>
  <c r="U45" i="9"/>
  <c r="M21" i="3" s="1"/>
  <c r="W45" i="9"/>
  <c r="O21" i="3" s="1"/>
  <c r="R45" i="9"/>
  <c r="J21" i="3" s="1"/>
  <c r="T45" i="9"/>
  <c r="L21" i="3" s="1"/>
  <c r="V45" i="9"/>
  <c r="N21" i="3" s="1"/>
  <c r="X45" i="9"/>
  <c r="P21" i="3" s="1"/>
  <c r="S46" i="9"/>
  <c r="K22" i="3" s="1"/>
  <c r="T46" i="9"/>
  <c r="L22" i="3" s="1"/>
  <c r="V46" i="9"/>
  <c r="N22" i="3" s="1"/>
  <c r="R46" i="9"/>
  <c r="J22" i="3" s="1"/>
  <c r="U46" i="9"/>
  <c r="M22" i="3" s="1"/>
  <c r="W46" i="9"/>
  <c r="O22" i="3" s="1"/>
  <c r="X46" i="9"/>
  <c r="P22" i="3" s="1"/>
  <c r="R49" i="9"/>
  <c r="J25" i="3" s="1"/>
  <c r="S49" i="9"/>
  <c r="K25" i="3" s="1"/>
  <c r="T49" i="9"/>
  <c r="L25" i="3" s="1"/>
  <c r="U49" i="9"/>
  <c r="M25" i="3" s="1"/>
  <c r="W49" i="9"/>
  <c r="O25" i="3" s="1"/>
  <c r="X49" i="9"/>
  <c r="P25" i="3" s="1"/>
  <c r="V49" i="9"/>
  <c r="N25" i="3" s="1"/>
  <c r="R58" i="9"/>
  <c r="J34" i="3" s="1"/>
  <c r="S58" i="9"/>
  <c r="K34" i="3" s="1"/>
  <c r="X58" i="9"/>
  <c r="P34" i="3" s="1"/>
  <c r="T58" i="9"/>
  <c r="L34" i="3" s="1"/>
  <c r="S62" i="9"/>
  <c r="K38" i="3" s="1"/>
  <c r="R62" i="9"/>
  <c r="J38" i="3" s="1"/>
  <c r="S73" i="9"/>
  <c r="K49" i="3" s="1"/>
  <c r="U73" i="9"/>
  <c r="M49" i="3" s="1"/>
  <c r="V73" i="9"/>
  <c r="N49" i="3" s="1"/>
  <c r="X73" i="9"/>
  <c r="P49" i="3" s="1"/>
  <c r="T75" i="9"/>
  <c r="L51" i="3" s="1"/>
  <c r="V75" i="9"/>
  <c r="N51" i="3" s="1"/>
  <c r="U75" i="9"/>
  <c r="M51" i="3" s="1"/>
  <c r="S78" i="9"/>
  <c r="K54" i="3" s="1"/>
  <c r="U85" i="9"/>
  <c r="M61" i="3" s="1"/>
  <c r="W85" i="9"/>
  <c r="O61" i="3" s="1"/>
  <c r="X85" i="9"/>
  <c r="P61" i="3" s="1"/>
  <c r="R17" i="9"/>
  <c r="J17" i="2" s="1"/>
  <c r="W17" i="9"/>
  <c r="O17" i="2" s="1"/>
  <c r="X62" i="9"/>
  <c r="P38" i="3" s="1"/>
  <c r="T62" i="9"/>
  <c r="L38" i="3" s="1"/>
  <c r="W62" i="9"/>
  <c r="O38" i="3" s="1"/>
  <c r="S66" i="9"/>
  <c r="K42" i="3" s="1"/>
  <c r="U66" i="9"/>
  <c r="M42" i="3" s="1"/>
  <c r="X66" i="9"/>
  <c r="P42" i="3" s="1"/>
  <c r="R66" i="9"/>
  <c r="J42" i="3" s="1"/>
  <c r="T66" i="9"/>
  <c r="L42" i="3" s="1"/>
  <c r="V66" i="9"/>
  <c r="N42" i="3" s="1"/>
  <c r="R69" i="9"/>
  <c r="J45" i="3" s="1"/>
  <c r="X69" i="9"/>
  <c r="P45" i="3" s="1"/>
  <c r="T69" i="9"/>
  <c r="L45" i="3" s="1"/>
  <c r="W69" i="9"/>
  <c r="O45" i="3" s="1"/>
  <c r="U69" i="9"/>
  <c r="M45" i="3" s="1"/>
  <c r="S71" i="9"/>
  <c r="K47" i="3" s="1"/>
  <c r="W71" i="9"/>
  <c r="O47" i="3" s="1"/>
  <c r="R71" i="9"/>
  <c r="J47" i="3" s="1"/>
  <c r="T71" i="9"/>
  <c r="L47" i="3" s="1"/>
  <c r="U71" i="9"/>
  <c r="M47" i="3" s="1"/>
  <c r="V71" i="9"/>
  <c r="N47" i="3" s="1"/>
  <c r="X71" i="9"/>
  <c r="P47" i="3" s="1"/>
  <c r="T73" i="9"/>
  <c r="L49" i="3" s="1"/>
  <c r="W73" i="9"/>
  <c r="O49" i="3" s="1"/>
  <c r="R73" i="9"/>
  <c r="J49" i="3" s="1"/>
  <c r="X75" i="9"/>
  <c r="P51" i="3" s="1"/>
  <c r="S75" i="9"/>
  <c r="K51" i="3" s="1"/>
  <c r="U78" i="9"/>
  <c r="M54" i="3" s="1"/>
  <c r="W78" i="9"/>
  <c r="O54" i="3" s="1"/>
  <c r="R78" i="9"/>
  <c r="J54" i="3" s="1"/>
  <c r="T78" i="9"/>
  <c r="L54" i="3" s="1"/>
  <c r="X78" i="9"/>
  <c r="P54" i="3" s="1"/>
  <c r="S81" i="9"/>
  <c r="K57" i="3" s="1"/>
  <c r="U81" i="9"/>
  <c r="M57" i="3" s="1"/>
  <c r="V81" i="9"/>
  <c r="N57" i="3" s="1"/>
  <c r="X81" i="9"/>
  <c r="P57" i="3" s="1"/>
  <c r="R81" i="9"/>
  <c r="J57" i="3" s="1"/>
  <c r="T81" i="9"/>
  <c r="L57" i="3" s="1"/>
  <c r="W81" i="9"/>
  <c r="O57" i="3" s="1"/>
  <c r="T51" i="9"/>
  <c r="L27" i="3" s="1"/>
  <c r="X51" i="9"/>
  <c r="P27" i="3" s="1"/>
  <c r="X52" i="9"/>
  <c r="P28" i="3" s="1"/>
  <c r="W52" i="9"/>
  <c r="O28" i="3" s="1"/>
  <c r="V52" i="9"/>
  <c r="N28" i="3" s="1"/>
  <c r="U52" i="9"/>
  <c r="M28" i="3" s="1"/>
  <c r="S52" i="9"/>
  <c r="K28" i="3" s="1"/>
  <c r="T52" i="9"/>
  <c r="L28" i="3" s="1"/>
  <c r="R52" i="9"/>
  <c r="J28" i="3" s="1"/>
  <c r="U53" i="9"/>
  <c r="M29" i="3" s="1"/>
  <c r="T53" i="9"/>
  <c r="L29" i="3" s="1"/>
  <c r="R53" i="9"/>
  <c r="J29" i="3" s="1"/>
  <c r="S53" i="9"/>
  <c r="K29" i="3" s="1"/>
  <c r="V53" i="9"/>
  <c r="N29" i="3" s="1"/>
  <c r="W53" i="9"/>
  <c r="O29" i="3" s="1"/>
  <c r="X53" i="9"/>
  <c r="P29" i="3" s="1"/>
  <c r="S54" i="9"/>
  <c r="K30" i="3" s="1"/>
  <c r="U54" i="9"/>
  <c r="M30" i="3" s="1"/>
  <c r="W54" i="9"/>
  <c r="O30" i="3" s="1"/>
  <c r="X54" i="9"/>
  <c r="P30" i="3" s="1"/>
  <c r="R54" i="9"/>
  <c r="J30" i="3" s="1"/>
  <c r="T54" i="9"/>
  <c r="L30" i="3" s="1"/>
  <c r="V54" i="9"/>
  <c r="N30" i="3" s="1"/>
  <c r="S55" i="9"/>
  <c r="K31" i="3" s="1"/>
  <c r="T55" i="9"/>
  <c r="L31" i="3" s="1"/>
  <c r="V55" i="9"/>
  <c r="N31" i="3" s="1"/>
  <c r="W55" i="9"/>
  <c r="O31" i="3" s="1"/>
  <c r="R55" i="9"/>
  <c r="J31" i="3" s="1"/>
  <c r="U55" i="9"/>
  <c r="M31" i="3" s="1"/>
  <c r="X55" i="9"/>
  <c r="P31" i="3" s="1"/>
  <c r="S56" i="9"/>
  <c r="K32" i="3" s="1"/>
  <c r="T56" i="9"/>
  <c r="L32" i="3" s="1"/>
  <c r="U56" i="9"/>
  <c r="M32" i="3" s="1"/>
  <c r="V56" i="9"/>
  <c r="N32" i="3" s="1"/>
  <c r="X56" i="9"/>
  <c r="P32" i="3" s="1"/>
  <c r="S59" i="9"/>
  <c r="K35" i="3" s="1"/>
  <c r="V59" i="9"/>
  <c r="N35" i="3" s="1"/>
  <c r="X59" i="9"/>
  <c r="P35" i="3" s="1"/>
  <c r="S79" i="9"/>
  <c r="K55" i="3" s="1"/>
  <c r="T79" i="9"/>
  <c r="L55" i="3" s="1"/>
  <c r="V79" i="9"/>
  <c r="N55" i="3" s="1"/>
  <c r="U76" i="9"/>
  <c r="M52" i="3" s="1"/>
  <c r="X76" i="9"/>
  <c r="P52" i="3" s="1"/>
  <c r="R59" i="9"/>
  <c r="J35" i="3" s="1"/>
  <c r="U59" i="9"/>
  <c r="M35" i="3" s="1"/>
  <c r="W59" i="9"/>
  <c r="O35" i="3" s="1"/>
  <c r="S63" i="9"/>
  <c r="K39" i="3" s="1"/>
  <c r="T63" i="9"/>
  <c r="L39" i="3" s="1"/>
  <c r="V63" i="9"/>
  <c r="N39" i="3" s="1"/>
  <c r="X63" i="9"/>
  <c r="P39" i="3" s="1"/>
  <c r="R63" i="9"/>
  <c r="J39" i="3" s="1"/>
  <c r="U63" i="9"/>
  <c r="M39" i="3" s="1"/>
  <c r="W63" i="9"/>
  <c r="O39" i="3" s="1"/>
  <c r="R65" i="9"/>
  <c r="J41" i="3" s="1"/>
  <c r="S65" i="9"/>
  <c r="K41" i="3" s="1"/>
  <c r="T65" i="9"/>
  <c r="L41" i="3" s="1"/>
  <c r="U65" i="9"/>
  <c r="M41" i="3" s="1"/>
  <c r="V65" i="9"/>
  <c r="N41" i="3" s="1"/>
  <c r="W65" i="9"/>
  <c r="O41" i="3" s="1"/>
  <c r="X65" i="9"/>
  <c r="P41" i="3" s="1"/>
  <c r="S68" i="9"/>
  <c r="K44" i="3" s="1"/>
  <c r="T68" i="9"/>
  <c r="L44" i="3" s="1"/>
  <c r="V68" i="9"/>
  <c r="N44" i="3" s="1"/>
  <c r="X68" i="9"/>
  <c r="P44" i="3" s="1"/>
  <c r="U68" i="9"/>
  <c r="M44" i="3" s="1"/>
  <c r="W68" i="9"/>
  <c r="O44" i="3" s="1"/>
  <c r="S70" i="9"/>
  <c r="K46" i="3" s="1"/>
  <c r="T70" i="9"/>
  <c r="L46" i="3" s="1"/>
  <c r="V70" i="9"/>
  <c r="N46" i="3" s="1"/>
  <c r="X70" i="9"/>
  <c r="P46" i="3" s="1"/>
  <c r="R70" i="9"/>
  <c r="J46" i="3" s="1"/>
  <c r="U70" i="9"/>
  <c r="M46" i="3" s="1"/>
  <c r="W70" i="9"/>
  <c r="O46" i="3" s="1"/>
  <c r="S77" i="9"/>
  <c r="K53" i="3" s="1"/>
  <c r="T77" i="9"/>
  <c r="L53" i="3" s="1"/>
  <c r="V77" i="9"/>
  <c r="N53" i="3" s="1"/>
  <c r="R77" i="9"/>
  <c r="J53" i="3" s="1"/>
  <c r="U77" i="9"/>
  <c r="M53" i="3" s="1"/>
  <c r="W77" i="9"/>
  <c r="O53" i="3" s="1"/>
  <c r="X77" i="9"/>
  <c r="P53" i="3" s="1"/>
  <c r="V76" i="9"/>
  <c r="N52" i="3" s="1"/>
  <c r="S84" i="9"/>
  <c r="K60" i="3" s="1"/>
  <c r="V32" i="9"/>
  <c r="N32" i="2" s="1"/>
  <c r="T32" i="9"/>
  <c r="L32" i="2" s="1"/>
  <c r="X38" i="9"/>
  <c r="P38" i="2" s="1"/>
  <c r="T38" i="9"/>
  <c r="L38" i="2" s="1"/>
  <c r="W39" i="9"/>
  <c r="O39" i="2" s="1"/>
  <c r="S39" i="9"/>
  <c r="K39" i="2" s="1"/>
  <c r="R39" i="9"/>
  <c r="J39" i="2" s="1"/>
  <c r="R40" i="9"/>
  <c r="J40" i="2" s="1"/>
  <c r="T40" i="9"/>
  <c r="L40" i="2" s="1"/>
  <c r="W50" i="9"/>
  <c r="O26" i="3" s="1"/>
  <c r="R50" i="9"/>
  <c r="J26" i="3" s="1"/>
  <c r="X50" i="9"/>
  <c r="P26" i="3" s="1"/>
  <c r="X22" i="9"/>
  <c r="P22" i="2" s="1"/>
  <c r="X17" i="9"/>
  <c r="P17" i="2" s="1"/>
  <c r="V19" i="9"/>
  <c r="N19" i="2" s="1"/>
  <c r="U19" i="9"/>
  <c r="M19" i="2" s="1"/>
  <c r="U51" i="9"/>
  <c r="M27" i="3" s="1"/>
  <c r="X79" i="9"/>
  <c r="P55" i="3" s="1"/>
  <c r="R79" i="9"/>
  <c r="J55" i="3" s="1"/>
  <c r="U79" i="9"/>
  <c r="M55" i="3" s="1"/>
  <c r="W79" i="9"/>
  <c r="O55" i="3" s="1"/>
  <c r="V80" i="9"/>
  <c r="N56" i="3" s="1"/>
  <c r="U80" i="9"/>
  <c r="M56" i="3" s="1"/>
  <c r="W80" i="9"/>
  <c r="O56" i="3" s="1"/>
  <c r="S80" i="9"/>
  <c r="K56" i="3" s="1"/>
  <c r="R80" i="9"/>
  <c r="J56" i="3" s="1"/>
  <c r="T80" i="9"/>
  <c r="L56" i="3" s="1"/>
  <c r="S82" i="9"/>
  <c r="K58" i="3" s="1"/>
  <c r="X82" i="9"/>
  <c r="P58" i="3" s="1"/>
  <c r="W82" i="9"/>
  <c r="O58" i="3" s="1"/>
  <c r="T82" i="9"/>
  <c r="L58" i="3" s="1"/>
  <c r="R82" i="9"/>
  <c r="J58" i="3" s="1"/>
  <c r="V82" i="9"/>
  <c r="N58" i="3" s="1"/>
  <c r="U82" i="9"/>
  <c r="M58" i="3" s="1"/>
  <c r="X72" i="9"/>
  <c r="P48" i="3" s="1"/>
  <c r="S72" i="9"/>
  <c r="K48" i="3" s="1"/>
  <c r="V72" i="9"/>
  <c r="N48" i="3" s="1"/>
  <c r="V74" i="9"/>
  <c r="N50" i="3" s="1"/>
  <c r="U74" i="9"/>
  <c r="M50" i="3" s="1"/>
  <c r="W74" i="9"/>
  <c r="O50" i="3" s="1"/>
  <c r="S76" i="9"/>
  <c r="K52" i="3" s="1"/>
  <c r="T84" i="9"/>
  <c r="L60" i="3" s="1"/>
  <c r="X31" i="9"/>
  <c r="P31" i="2" s="1"/>
  <c r="S32" i="9"/>
  <c r="K32" i="2" s="1"/>
  <c r="X32" i="9"/>
  <c r="P32" i="2" s="1"/>
  <c r="R32" i="9"/>
  <c r="J32" i="2" s="1"/>
  <c r="W32" i="9"/>
  <c r="O32" i="2" s="1"/>
  <c r="U35" i="9"/>
  <c r="M35" i="2" s="1"/>
  <c r="S35" i="9"/>
  <c r="K35" i="2" s="1"/>
  <c r="X35" i="9"/>
  <c r="P35" i="2" s="1"/>
  <c r="T35" i="9"/>
  <c r="L35" i="2" s="1"/>
  <c r="R38" i="9"/>
  <c r="J38" i="2" s="1"/>
  <c r="V83" i="9"/>
  <c r="N59" i="3" s="1"/>
  <c r="X83" i="9"/>
  <c r="P59" i="3" s="1"/>
  <c r="R83" i="9"/>
  <c r="J59" i="3" s="1"/>
  <c r="T83" i="9"/>
  <c r="L59" i="3" s="1"/>
  <c r="U83" i="9"/>
  <c r="M59" i="3" s="1"/>
  <c r="R86" i="9"/>
  <c r="J62" i="3" s="1"/>
  <c r="S86" i="9"/>
  <c r="K62" i="3" s="1"/>
  <c r="X86" i="9"/>
  <c r="P62" i="3" s="1"/>
  <c r="W86" i="9"/>
  <c r="O62" i="3" s="1"/>
  <c r="V86" i="9"/>
  <c r="N62" i="3" s="1"/>
  <c r="U86" i="9"/>
  <c r="M62" i="3" s="1"/>
  <c r="T86" i="9"/>
  <c r="L62" i="3" s="1"/>
  <c r="V87" i="9"/>
  <c r="N63" i="3" s="1"/>
  <c r="U87" i="9"/>
  <c r="M63" i="3" s="1"/>
  <c r="W87" i="9"/>
  <c r="O63" i="3" s="1"/>
  <c r="R87" i="9"/>
  <c r="J63" i="3" s="1"/>
  <c r="S87" i="9"/>
  <c r="K63" i="3" s="1"/>
  <c r="X87" i="9"/>
  <c r="P63" i="3" s="1"/>
  <c r="T87" i="9"/>
  <c r="L63" i="3" s="1"/>
  <c r="T21" i="9"/>
  <c r="L21" i="2" s="1"/>
  <c r="W21" i="9"/>
  <c r="O21" i="2" s="1"/>
  <c r="R21" i="9"/>
  <c r="J21" i="2" s="1"/>
  <c r="U21" i="9"/>
  <c r="M21" i="2" s="1"/>
  <c r="S21" i="9"/>
  <c r="K21" i="2" s="1"/>
  <c r="V21" i="9"/>
  <c r="N21" i="2" s="1"/>
  <c r="X21" i="9"/>
  <c r="P21" i="2" s="1"/>
  <c r="R26" i="9"/>
  <c r="J26" i="2" s="1"/>
  <c r="S26" i="9"/>
  <c r="K26" i="2" s="1"/>
  <c r="V26" i="9"/>
  <c r="N26" i="2" s="1"/>
  <c r="X26" i="9"/>
  <c r="P26" i="2" s="1"/>
  <c r="U26" i="9"/>
  <c r="M26" i="2" s="1"/>
  <c r="T26" i="9"/>
  <c r="L26" i="2" s="1"/>
  <c r="W26" i="9"/>
  <c r="O26" i="2" s="1"/>
  <c r="U72" i="9"/>
  <c r="M48" i="3" s="1"/>
  <c r="W72" i="9"/>
  <c r="O48" i="3" s="1"/>
  <c r="R74" i="9"/>
  <c r="J50" i="3" s="1"/>
  <c r="X74" i="9"/>
  <c r="P50" i="3" s="1"/>
  <c r="S74" i="9"/>
  <c r="K50" i="3" s="1"/>
  <c r="R76" i="9"/>
  <c r="J52" i="3" s="1"/>
  <c r="W76" i="9"/>
  <c r="O52" i="3" s="1"/>
  <c r="U32" i="9"/>
  <c r="M32" i="2" s="1"/>
  <c r="V38" i="9"/>
  <c r="N38" i="2" s="1"/>
  <c r="S38" i="9"/>
  <c r="K38" i="2" s="1"/>
  <c r="V50" i="9"/>
  <c r="N26" i="3" s="1"/>
  <c r="T20" i="9"/>
  <c r="L20" i="2" s="1"/>
  <c r="W20" i="9"/>
  <c r="O20" i="2" s="1"/>
  <c r="R20" i="9"/>
  <c r="J20" i="2" s="1"/>
  <c r="U20" i="9"/>
  <c r="M20" i="2" s="1"/>
  <c r="S22" i="9"/>
  <c r="K22" i="2" s="1"/>
  <c r="V17" i="9"/>
  <c r="N17" i="2" s="1"/>
  <c r="R19" i="9"/>
  <c r="J19" i="2" s="1"/>
  <c r="R51" i="9"/>
  <c r="J27" i="3" s="1"/>
  <c r="S51" i="9"/>
  <c r="K27" i="3" s="1"/>
  <c r="V23" i="3"/>
  <c r="U23" i="3"/>
  <c r="X23" i="3"/>
  <c r="W23" i="3"/>
  <c r="S23" i="3"/>
  <c r="R23" i="3"/>
  <c r="T23" i="3"/>
  <c r="T19" i="3"/>
  <c r="W19" i="3"/>
  <c r="S19" i="3"/>
  <c r="R19" i="3"/>
  <c r="U19" i="3"/>
  <c r="X19" i="3"/>
  <c r="V19" i="3"/>
  <c r="R64" i="3"/>
  <c r="S64" i="3"/>
  <c r="U64" i="3"/>
  <c r="T64" i="3"/>
  <c r="V64" i="3"/>
  <c r="W64" i="3"/>
  <c r="X64" i="3"/>
  <c r="R63" i="3"/>
  <c r="U63" i="3"/>
  <c r="W63" i="3"/>
  <c r="V63" i="3"/>
  <c r="X63" i="3"/>
  <c r="S63" i="3"/>
  <c r="T63" i="3"/>
  <c r="R62" i="3"/>
  <c r="U62" i="3"/>
  <c r="S62" i="3"/>
  <c r="W62" i="3"/>
  <c r="T62" i="3"/>
  <c r="V62" i="3"/>
  <c r="X62" i="3"/>
  <c r="R61" i="3"/>
  <c r="U61" i="3"/>
  <c r="T61" i="3"/>
  <c r="W61" i="3"/>
  <c r="V61" i="3"/>
  <c r="X61" i="3"/>
  <c r="S61" i="3"/>
  <c r="U60" i="3"/>
  <c r="R60" i="3"/>
  <c r="W60" i="3"/>
  <c r="X60" i="3"/>
  <c r="V60" i="3"/>
  <c r="S60" i="3"/>
  <c r="T60" i="3"/>
  <c r="R59" i="3"/>
  <c r="U59" i="3"/>
  <c r="V59" i="3"/>
  <c r="S59" i="3"/>
  <c r="T59" i="3"/>
  <c r="W59" i="3"/>
  <c r="X59" i="3"/>
  <c r="R58" i="3"/>
  <c r="U58" i="3"/>
  <c r="V58" i="3"/>
  <c r="S58" i="3"/>
  <c r="W58" i="3"/>
  <c r="X58" i="3"/>
  <c r="T58" i="3"/>
  <c r="R57" i="3"/>
  <c r="S57" i="3"/>
  <c r="U57" i="3"/>
  <c r="T57" i="3"/>
  <c r="W57" i="3"/>
  <c r="X57" i="3"/>
  <c r="V57" i="3"/>
  <c r="R55" i="3"/>
  <c r="U55" i="3"/>
  <c r="V55" i="3"/>
  <c r="W55" i="3"/>
  <c r="X55" i="3"/>
  <c r="S55" i="3"/>
  <c r="T55" i="3"/>
  <c r="R54" i="3"/>
  <c r="U54" i="3"/>
  <c r="W54" i="3"/>
  <c r="T54" i="3"/>
  <c r="S54" i="3"/>
  <c r="X54" i="3"/>
  <c r="V54" i="3"/>
  <c r="R53" i="3"/>
  <c r="U53" i="3"/>
  <c r="W53" i="3"/>
  <c r="V53" i="3"/>
  <c r="S53" i="3"/>
  <c r="T53" i="3"/>
  <c r="X53" i="3"/>
  <c r="U52" i="3"/>
  <c r="T52" i="3"/>
  <c r="W52" i="3"/>
  <c r="R52" i="3"/>
  <c r="X52" i="3"/>
  <c r="V52" i="3"/>
  <c r="S52" i="3"/>
  <c r="R51" i="3"/>
  <c r="U51" i="3"/>
  <c r="V51" i="3"/>
  <c r="W51" i="3"/>
  <c r="X51" i="3"/>
  <c r="T51" i="3"/>
  <c r="S51" i="3"/>
  <c r="R50" i="3"/>
  <c r="U50" i="3"/>
  <c r="V50" i="3"/>
  <c r="W50" i="3"/>
  <c r="T50" i="3"/>
  <c r="S50" i="3"/>
  <c r="X50" i="3"/>
  <c r="R49" i="3"/>
  <c r="S49" i="3"/>
  <c r="U49" i="3"/>
  <c r="V49" i="3"/>
  <c r="W49" i="3"/>
  <c r="X49" i="3"/>
  <c r="T49" i="3"/>
  <c r="R48" i="3"/>
  <c r="U48" i="3"/>
  <c r="V48" i="3"/>
  <c r="T48" i="3"/>
  <c r="W48" i="3"/>
  <c r="X48" i="3"/>
  <c r="S48" i="3"/>
  <c r="R42" i="3"/>
  <c r="U42" i="3"/>
  <c r="V42" i="3"/>
  <c r="W42" i="3"/>
  <c r="S42" i="3"/>
  <c r="T42" i="3"/>
  <c r="X42" i="3"/>
  <c r="R40" i="3"/>
  <c r="S40" i="3"/>
  <c r="W40" i="3"/>
  <c r="U40" i="3"/>
  <c r="X40" i="3"/>
  <c r="T40" i="3"/>
  <c r="V40" i="3"/>
  <c r="R37" i="3"/>
  <c r="U37" i="3"/>
  <c r="V37" i="3"/>
  <c r="S37" i="3"/>
  <c r="T37" i="3"/>
  <c r="W37" i="3"/>
  <c r="X37" i="3"/>
  <c r="R36" i="3"/>
  <c r="S36" i="3"/>
  <c r="W36" i="3"/>
  <c r="V36" i="3"/>
  <c r="T36" i="3"/>
  <c r="X36" i="3"/>
  <c r="U36" i="3"/>
  <c r="V34" i="3"/>
  <c r="R34" i="3"/>
  <c r="U34" i="3"/>
  <c r="T34" i="3"/>
  <c r="W34" i="3"/>
  <c r="X34" i="3"/>
  <c r="S34" i="3"/>
  <c r="S32" i="3"/>
  <c r="T32" i="3"/>
  <c r="W32" i="3"/>
  <c r="X32" i="3"/>
  <c r="V32" i="3"/>
  <c r="R32" i="3"/>
  <c r="U32" i="3"/>
  <c r="R31" i="3"/>
  <c r="U31" i="3"/>
  <c r="W31" i="3"/>
  <c r="T31" i="3"/>
  <c r="X31" i="3"/>
  <c r="S31" i="3"/>
  <c r="V31" i="3"/>
  <c r="U30" i="3"/>
  <c r="S30" i="3"/>
  <c r="T30" i="3"/>
  <c r="W30" i="3"/>
  <c r="X30" i="3"/>
  <c r="R30" i="3"/>
  <c r="V30" i="3"/>
  <c r="R29" i="3"/>
  <c r="S29" i="3"/>
  <c r="U29" i="3"/>
  <c r="W29" i="3"/>
  <c r="X29" i="3"/>
  <c r="T29" i="3"/>
  <c r="V29" i="3"/>
  <c r="T26" i="3"/>
  <c r="X26" i="3"/>
  <c r="U26" i="3"/>
  <c r="S26" i="3"/>
  <c r="V26" i="3"/>
  <c r="R26" i="3"/>
  <c r="W26" i="3"/>
  <c r="U17" i="3"/>
  <c r="R17" i="3"/>
  <c r="S17" i="3"/>
  <c r="W17" i="3"/>
  <c r="V17" i="3"/>
  <c r="T17" i="3"/>
  <c r="X17" i="3"/>
  <c r="R56" i="3"/>
  <c r="S56" i="3"/>
  <c r="T56" i="3"/>
  <c r="W56" i="3"/>
  <c r="X56" i="3"/>
  <c r="U56" i="3"/>
  <c r="V56" i="3"/>
  <c r="R35" i="3"/>
  <c r="S35" i="3"/>
  <c r="X35" i="3"/>
  <c r="V35" i="3"/>
  <c r="W35" i="3"/>
  <c r="T35" i="3"/>
  <c r="U35" i="3"/>
  <c r="R28" i="3"/>
  <c r="S28" i="3"/>
  <c r="U28" i="3"/>
  <c r="T28" i="3"/>
  <c r="V28" i="3"/>
  <c r="W28" i="3"/>
  <c r="X28" i="3"/>
  <c r="U25" i="3"/>
  <c r="W25" i="3"/>
  <c r="R25" i="3"/>
  <c r="T25" i="3"/>
  <c r="X25" i="3"/>
  <c r="S25" i="3"/>
  <c r="V25" i="3"/>
  <c r="V47" i="3"/>
  <c r="R47" i="3"/>
  <c r="S47" i="3"/>
  <c r="W47" i="3"/>
  <c r="T47" i="3"/>
  <c r="X47" i="3"/>
  <c r="U47" i="3"/>
  <c r="R46" i="3"/>
  <c r="U46" i="3"/>
  <c r="V46" i="3"/>
  <c r="S46" i="3"/>
  <c r="W46" i="3"/>
  <c r="X46" i="3"/>
  <c r="T46" i="3"/>
  <c r="R45" i="3"/>
  <c r="U45" i="3"/>
  <c r="S45" i="3"/>
  <c r="V45" i="3"/>
  <c r="T45" i="3"/>
  <c r="W45" i="3"/>
  <c r="X45" i="3"/>
  <c r="R44" i="3"/>
  <c r="S44" i="3"/>
  <c r="U44" i="3"/>
  <c r="V44" i="3"/>
  <c r="W44" i="3"/>
  <c r="X44" i="3"/>
  <c r="T44" i="3"/>
  <c r="S43" i="3"/>
  <c r="U43" i="3"/>
  <c r="V43" i="3"/>
  <c r="W43" i="3"/>
  <c r="T43" i="3"/>
  <c r="X43" i="3"/>
  <c r="R43" i="3"/>
  <c r="R41" i="3"/>
  <c r="U41" i="3"/>
  <c r="T41" i="3"/>
  <c r="W41" i="3"/>
  <c r="X41" i="3"/>
  <c r="S41" i="3"/>
  <c r="V41" i="3"/>
  <c r="R39" i="3"/>
  <c r="U39" i="3"/>
  <c r="W39" i="3"/>
  <c r="X39" i="3"/>
  <c r="T39" i="3"/>
  <c r="V39" i="3"/>
  <c r="S39" i="3"/>
  <c r="R38" i="3"/>
  <c r="U38" i="3"/>
  <c r="W38" i="3"/>
  <c r="X38" i="3"/>
  <c r="V38" i="3"/>
  <c r="S38" i="3"/>
  <c r="T38" i="3"/>
  <c r="R33" i="3"/>
  <c r="U33" i="3"/>
  <c r="S33" i="3"/>
  <c r="V33" i="3"/>
  <c r="W33" i="3"/>
  <c r="T33" i="3"/>
  <c r="X33" i="3"/>
  <c r="S40" i="2"/>
  <c r="V40" i="2"/>
  <c r="R40" i="2"/>
  <c r="X40" i="2"/>
  <c r="T40" i="2"/>
  <c r="U40" i="2"/>
  <c r="W40" i="2"/>
  <c r="R27" i="3"/>
  <c r="W27" i="3"/>
  <c r="X27" i="3"/>
  <c r="S27" i="3"/>
  <c r="T27" i="3"/>
  <c r="U27" i="3"/>
  <c r="V27" i="3"/>
  <c r="V24" i="3"/>
  <c r="T24" i="3"/>
  <c r="R24" i="3"/>
  <c r="W24" i="3"/>
  <c r="U24" i="3"/>
  <c r="S24" i="3"/>
  <c r="X24" i="3"/>
  <c r="T22" i="3"/>
  <c r="X22" i="3"/>
  <c r="U22" i="3"/>
  <c r="S22" i="3"/>
  <c r="R22" i="3"/>
  <c r="V22" i="3"/>
  <c r="W22" i="3"/>
  <c r="R21" i="3"/>
  <c r="S21" i="3"/>
  <c r="T21" i="3"/>
  <c r="U21" i="3"/>
  <c r="V21" i="3"/>
  <c r="W21" i="3"/>
  <c r="X21" i="3"/>
  <c r="R20" i="3"/>
  <c r="S20" i="3"/>
  <c r="T20" i="3"/>
  <c r="U20" i="3"/>
  <c r="V20" i="3"/>
  <c r="W20" i="3"/>
  <c r="X20" i="3"/>
  <c r="S38" i="2"/>
  <c r="V38" i="2"/>
  <c r="U38" i="2"/>
  <c r="T38" i="2"/>
  <c r="R38" i="2"/>
  <c r="X38" i="2"/>
  <c r="W38" i="2"/>
  <c r="R37" i="2"/>
  <c r="U37" i="2"/>
  <c r="T37" i="2"/>
  <c r="S37" i="2"/>
  <c r="V37" i="2"/>
  <c r="X37" i="2"/>
  <c r="W37" i="2"/>
  <c r="R36" i="2"/>
  <c r="S36" i="2"/>
  <c r="U36" i="2"/>
  <c r="W36" i="2"/>
  <c r="X36" i="2"/>
  <c r="V36" i="2"/>
  <c r="T36" i="2"/>
  <c r="R35" i="2"/>
  <c r="S35" i="2"/>
  <c r="U35" i="2"/>
  <c r="W35" i="2"/>
  <c r="X35" i="2"/>
  <c r="T35" i="2"/>
  <c r="V35" i="2"/>
  <c r="R34" i="2"/>
  <c r="T34" i="2"/>
  <c r="S34" i="2"/>
  <c r="W34" i="2"/>
  <c r="X34" i="2"/>
  <c r="U34" i="2"/>
  <c r="V34" i="2"/>
  <c r="R33" i="2"/>
  <c r="T33" i="2"/>
  <c r="W33" i="2"/>
  <c r="U33" i="2"/>
  <c r="S33" i="2"/>
  <c r="X33" i="2"/>
  <c r="V33" i="2"/>
  <c r="R32" i="2"/>
  <c r="U32" i="2"/>
  <c r="W32" i="2"/>
  <c r="X32" i="2"/>
  <c r="S32" i="2"/>
  <c r="T32" i="2"/>
  <c r="V32" i="2"/>
  <c r="R31" i="2"/>
  <c r="U31" i="2"/>
  <c r="W31" i="2"/>
  <c r="X31" i="2"/>
  <c r="S31" i="2"/>
  <c r="V31" i="2"/>
  <c r="T31" i="2"/>
  <c r="V30" i="2"/>
  <c r="W30" i="2"/>
  <c r="R30" i="2"/>
  <c r="X30" i="2"/>
  <c r="S30" i="2"/>
  <c r="U30" i="2"/>
  <c r="T30" i="2"/>
  <c r="R29" i="2"/>
  <c r="U29" i="2"/>
  <c r="V29" i="2"/>
  <c r="W29" i="2"/>
  <c r="X29" i="2"/>
  <c r="S29" i="2"/>
  <c r="T29" i="2"/>
  <c r="R18" i="2"/>
  <c r="V18" i="2"/>
  <c r="W18" i="2"/>
  <c r="X18" i="2"/>
  <c r="U18" i="2"/>
  <c r="S18" i="2"/>
  <c r="T18" i="2"/>
  <c r="R28" i="2"/>
  <c r="U28" i="2"/>
  <c r="V28" i="2"/>
  <c r="W28" i="2"/>
  <c r="T28" i="2"/>
  <c r="X28" i="2"/>
  <c r="S28" i="2"/>
  <c r="R27" i="2"/>
  <c r="T27" i="2"/>
  <c r="W27" i="2"/>
  <c r="U27" i="2"/>
  <c r="X27" i="2"/>
  <c r="S27" i="2"/>
  <c r="V27" i="2"/>
  <c r="U26" i="2"/>
  <c r="V26" i="2"/>
  <c r="W26" i="2"/>
  <c r="T26" i="2"/>
  <c r="X26" i="2"/>
  <c r="R26" i="2"/>
  <c r="S26" i="2"/>
  <c r="U25" i="2"/>
  <c r="V25" i="2"/>
  <c r="S25" i="2"/>
  <c r="W25" i="2"/>
  <c r="T25" i="2"/>
  <c r="X25" i="2"/>
  <c r="R25" i="2"/>
  <c r="R24" i="2"/>
  <c r="U24" i="2"/>
  <c r="T24" i="2"/>
  <c r="W24" i="2"/>
  <c r="X24" i="2"/>
  <c r="V24" i="2"/>
  <c r="S24" i="2"/>
  <c r="R23" i="2"/>
  <c r="U23" i="2"/>
  <c r="W23" i="2"/>
  <c r="S23" i="2"/>
  <c r="X23" i="2"/>
  <c r="T23" i="2"/>
  <c r="V23" i="2"/>
  <c r="R22" i="2"/>
  <c r="U22" i="2"/>
  <c r="S22" i="2"/>
  <c r="W22" i="2"/>
  <c r="T22" i="2"/>
  <c r="V22" i="2"/>
  <c r="X22" i="2"/>
  <c r="R21" i="2"/>
  <c r="S21" i="2"/>
  <c r="U21" i="2"/>
  <c r="V21" i="2"/>
  <c r="T21" i="2"/>
  <c r="W21" i="2"/>
  <c r="X21" i="2"/>
  <c r="R20" i="2"/>
  <c r="S20" i="2"/>
  <c r="U20" i="2"/>
  <c r="W20" i="2"/>
  <c r="T20" i="2"/>
  <c r="X20" i="2"/>
  <c r="V20" i="2"/>
  <c r="R19" i="2"/>
  <c r="V19" i="2"/>
  <c r="W19" i="2"/>
  <c r="X19" i="2"/>
  <c r="T19" i="2"/>
  <c r="S19" i="2"/>
  <c r="U19" i="2"/>
  <c r="S17" i="2"/>
  <c r="U17" i="2"/>
  <c r="V17" i="2"/>
  <c r="T17" i="2"/>
  <c r="X17" i="2"/>
  <c r="R17" i="2"/>
  <c r="W17" i="2"/>
  <c r="X18" i="3"/>
  <c r="U18" i="3"/>
  <c r="T18" i="3"/>
  <c r="S18" i="3"/>
  <c r="V18" i="3"/>
  <c r="W18" i="3"/>
  <c r="R18" i="3"/>
  <c r="W39" i="2"/>
  <c r="U39" i="2"/>
  <c r="S39" i="2"/>
  <c r="T39" i="2"/>
  <c r="X39" i="2"/>
  <c r="V39" i="2"/>
  <c r="R39" i="2"/>
  <c r="A7" i="2" l="1"/>
  <c r="A7" i="3"/>
</calcChain>
</file>

<file path=xl/connections.xml><?xml version="1.0" encoding="utf-8"?>
<connections xmlns="http://schemas.openxmlformats.org/spreadsheetml/2006/main" xmlns:mc="http://schemas.openxmlformats.org/Tuekup-compatibility/2006" xmlns:xr16="http://schemas.microsoft.com/office/spreadsheetml/2017/revision16" mc:Ignorable="xr16">
  <connection id="1" xr16:uid="{213A1B43-3E41-420B-A98C-F43EF65EFCBF}" keepAlive="1" name="Connessione" type="5" refreshedVersion="8" saveData="1">
    <dbPr connection="Provider=Microsoft.Mashup.OleDb.1;Data Source=$Workbook$;Location=ImportedHolidays;Extended Properties=&quot;&quot;" command="SELECT * FROM [ImportedHolidays]"/>
  </connection>
  <connection id="2" xr16:uid="{A6115616-6A32-46A9-9DAF-1CEA4C3FBCDA}" keepAlive="1" name="Connessione1" type="5" refreshedVersion="8" saveData="1">
    <dbPr connection="Provider=Microsoft.Mashup.OleDb.1;Data Source=$Workbook$;Location=ZoneCatalog;Extended Properties=&quot;&quot;" command="SELECT * FROM [ZoneCatalog]"/>
  </connection>
  <connection id="3" xr16:uid="{3BDF2DFE-BB2F-46DF-805E-AA1FDB8D68BA}" keepAlive="1" name="Connessione2" type="5" refreshedVersion="8" saveData="1">
    <dbPr connection="Provider=Microsoft.Mashup.OleDb.1;Data Source=$Workbook$;Location=ZonePeriods;Extended Properties=&quot;&quot;" command="SELECT * FROM [ZonePeriods]"/>
  </connection>
  <connection id="4" xr16:uid="{02CCBF9C-6836-44A5-BB89-E77D499426D6}" keepAlive="1" name="Connessione3" type="5" refreshedVersion="8" saveData="1">
    <dbPr connection="Provider=Microsoft.Mashup.OleDb.1;Data Source=$Workbook$;Location=Saints;Extended Properties=&quot;&quot;" command="SELECT * FROM [Saints]"/>
  </connection>
  <connection id="5" xr16:uid="{69076E79-3901-4014-A41F-072666D9843F}" keepAlive="1" name="Connessione4" type="5" refreshedVersion="8" saveData="1">
    <dbPr connection="Provider=Microsoft.Mashup.OleDb.1;Data Source=$Workbook$;Location=MoonPhases;Extended Properties=&quot;&quot;" command="SELECT * FROM [MoonPhases]"/>
  </connection>
  <connection id="6" xr16:uid="{589CCDDB-AC31-4E7D-AABE-B66C47AB38F6}" keepAlive="1" name="Connessione5" type="5" refreshedVersion="8" saveData="1">
    <dbPr connection="Provider=Microsoft.Mashup.OleDb.1;Data Source=$Workbook$;Location=Weather;Extended Properties=&quot;&quot;" command="SELECT * FROM [Weather]"/>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Wed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<sst xmlns="http://schemas.openxmlformats.org/spreadsheetml/2006/main" count="7077" uniqueCount="1489">
  <si>
    <t>Your planning panel</t>
  </si>
  <si>
    <t>Edit the cream cells. The Planner updates immediately. Print from the Planner sheet.</t>
  </si>
  <si>
    <t>01  DAY AND DISPLAY</t>
  </si>
  <si>
    <t>02  ON-CALL WITH RESERVE</t>
  </si>
  <si>
    <t>Home date</t>
  </si>
  <si>
    <t>Hours before activity</t>
  </si>
  <si>
    <t>View start</t>
  </si>
  <si>
    <t>Hours after activity</t>
  </si>
  <si>
    <t>Extended step (min)</t>
  </si>
  <si>
    <t>Extended duration (h)</t>
  </si>
  <si>
    <t>Example: 09–18, 2/2 margins → reserve 07–09 and 18–20.</t>
  </si>
  <si>
    <t>03  YOUR COLUMNS  ·  first row = home time zone</t>
  </si>
  <si>
    <t>No.</t>
  </si>
  <si>
    <t>Location</t>
  </si>
  <si>
    <t>Time zone</t>
  </si>
  <si>
    <t>Calendar</t>
  </si>
  <si>
    <t>From</t>
  </si>
  <si>
    <t>To</t>
  </si>
  <si>
    <t>Mon</t>
  </si>
  <si>
    <t>Tue</t>
  </si>
  <si>
    <t>Wed</t>
  </si>
  <si>
    <t>Thu</t>
  </si>
  <si>
    <t>Fri</t>
  </si>
  <si>
    <t>Sat</t>
  </si>
  <si>
    <t>Sun</t>
  </si>
  <si>
    <t>Hanoi</t>
  </si>
  <si>
    <t>hanoi</t>
  </si>
  <si>
    <t>VN</t>
  </si>
  <si>
    <t>Mumbai</t>
  </si>
  <si>
    <t>mumbai</t>
  </si>
  <si>
    <t>IN</t>
  </si>
  <si>
    <t>Minsk</t>
  </si>
  <si>
    <t>minsk</t>
  </si>
  <si>
    <t>BY</t>
  </si>
  <si>
    <t>Rome</t>
  </si>
  <si>
    <t>rome</t>
  </si>
  <si>
    <t>IT</t>
  </si>
  <si>
    <t>London</t>
  </si>
  <si>
    <t>london</t>
  </si>
  <si>
    <t>GB-ENG</t>
  </si>
  <si>
    <t>New York</t>
  </si>
  <si>
    <t>new-york</t>
  </si>
  <si>
    <t>US</t>
  </si>
  <si>
    <t>Los Angeles</t>
  </si>
  <si>
    <t>los-angeles</t>
  </si>
  <si>
    <t>Days of the week: 1 = rest, 0 = apply the hours. You can choose any combination.</t>
  </si>
  <si>
    <t>Bangladesh example: dhaka time zone, BD calendar, Fri = 1 if Friday is a rest day. Choose the other days yourself.</t>
  </si>
  <si>
    <t>04  CALENDARS FROM FILES  ·  Data → Refresh All</t>
  </si>
  <si>
    <t>Folder</t>
  </si>
  <si>
    <t>Refresh All rereads the CSV files. It does not monitor the disk in real time; without a refresh, the last loaded copy remains.</t>
  </si>
  <si>
    <t>You can edit the path if you move the files. For import errors, check Data → Queries and Connections.</t>
  </si>
  <si>
    <t>Availability and time zones</t>
  </si>
  <si>
    <t>Home date</t>
  </si>
  <si>
    <t>Extended (min)</t>
  </si>
  <si>
    <t>Extended hours</t>
  </si>
  <si>
    <t>Reserve before (h)</t>
  </si>
  <si>
    <t>After (h)</t>
  </si>
  <si>
    <t>Availability</t>
  </si>
  <si>
    <t>Local hours by column</t>
  </si>
  <si>
    <t>AVAILABLE</t>
  </si>
  <si>
    <t>WITH RESERVE</t>
  </si>
  <si>
    <t>NOT AVAILABLE</t>
  </si>
  <si>
    <t>F = local holiday</t>
  </si>
  <si>
    <t>Time zone (code)</t>
  </si>
  <si>
    <t>Activity from</t>
  </si>
  <si>
    <t>Activity to</t>
  </si>
  <si>
    <t>Rest days</t>
  </si>
  <si>
    <t>Holiday coverage</t>
  </si>
  <si>
    <t>UTC</t>
  </si>
  <si>
    <t>Availability and time zones — extended view</t>
  </si>
  <si>
    <t>Holiday calendars</t>
  </si>
  <si>
    <t>Codice</t>
  </si>
  <si>
    <t>Paese / reThun</t>
  </si>
  <si>
    <t>Dal</t>
  </si>
  <si>
    <t>Al</t>
  </si>
  <si>
    <t>Source / notes</t>
  </si>
  <si>
    <t>Nessuno</t>
  </si>
  <si>
    <t>Holidays disattivate</t>
  </si>
  <si>
    <t>No calendar applied.</t>
  </si>
  <si>
    <t>Vietnam</t>
  </si>
  <si>
    <t>Inserire calendario ufficiale nazionale/locale.</t>
  </si>
  <si>
    <t>India</t>
  </si>
  <si>
    <t>Bielorussia</t>
  </si>
  <si>
    <t>Inserire calendario ufficiale.</t>
  </si>
  <si>
    <t>Italia</t>
  </si>
  <si>
    <t>Inghilterra e Galles</t>
  </si>
  <si>
    <t>https://www.gov.uk/bank-holidays</t>
  </si>
  <si>
    <t>Stati Uniti</t>
  </si>
  <si>
    <t>BD</t>
  </si>
  <si>
    <t>Bangladesh</t>
  </si>
  <si>
    <t>Local date</t>
  </si>
  <si>
    <t>Holidays / chiusura</t>
  </si>
  <si>
    <t>Active 0/1</t>
  </si>
  <si>
    <t>Fonte</t>
  </si>
  <si>
    <t>Holidays importate dal CSV</t>
  </si>
  <si>
    <t>Non modificare questa tabella: Refresh tutto la sostituisce con il contenuto del file indicato in Parametri.</t>
  </si>
  <si>
    <t>Calendar</t>
  </si>
  <si>
    <t>Date</t>
  </si>
  <si>
    <t>Name</t>
  </si>
  <si>
    <t>Active</t>
  </si>
  <si>
    <t>Source</t>
  </si>
  <si>
    <t>New Year’s Day</t>
  </si>
  <si>
    <t>Good Friday</t>
  </si>
  <si>
    <t>Easter Monday</t>
  </si>
  <si>
    <t>Early May bank holiday</t>
  </si>
  <si>
    <t>Spring bank holiday</t>
  </si>
  <si>
    <t>SumWed bank holiday</t>
  </si>
  <si>
    <t>Christmas Day</t>
  </si>
  <si>
    <t>Boxing Day</t>
  </si>
  <si>
    <t>Informazioni del Thurno e fasi Moon phases</t>
  </si>
  <si>
    <t>Information does not close availability. To close a day, add an active date in Calendars or in the CSV.</t>
  </si>
  <si>
    <t>USNO PRIMARY PHASES 2025–2029. Instants in universal time; no effect on available hours.</t>
  </si>
  <si>
    <t>Key</t>
  </si>
  <si>
    <t>Month</t>
  </si>
  <si>
    <t>Day</t>
  </si>
  <si>
    <t>Utc</t>
  </si>
  <si>
    <t>Phase</t>
  </si>
  <si>
    <t>Between</t>
  </si>
  <si>
    <t>Blessed Virgin Mary of Mercy</t>
  </si>
  <si>
    <t>https://www.vaticannews.va/en/saints/09/24/b--v--Tuey-of-the--Wedcy.html</t>
  </si>
  <si>
    <t>First quarter</t>
  </si>
  <si>
    <t>Waxing gibbous</t>
  </si>
  <si>
    <t>https://aa.usno.navy.mil/api/moon/phases/year?year=2025</t>
  </si>
  <si>
    <t>Saint Francesco d’Assisi</t>
  </si>
  <si>
    <t>Full moon</t>
  </si>
  <si>
    <t>Waning gibbous</t>
  </si>
  <si>
    <t>Last quarter</t>
  </si>
  <si>
    <t>Waning crescent</t>
  </si>
  <si>
    <t>New moon</t>
  </si>
  <si>
    <t>Waxing crescent</t>
  </si>
  <si>
    <t>https://aa.usno.navy.mil/api/moon/phases/year?year=2026</t>
  </si>
  <si>
    <t>https://aa.usno.navy.mil/api/moon/phases/year?year=2027</t>
  </si>
  <si>
    <t>https://aa.usno.navy.mil/api/moon/phases/year?year=2028</t>
  </si>
  <si>
    <t>https://aa.usno.navy.mil/api/moon/phases/year?year=2029</t>
  </si>
  <si>
    <t>Fusi orari e ora legale</t>
  </si>
  <si>
    <t>Regole Windows estratte il 24/09/2026. Intervallo UTC: 01/01/2026 incluso – 01/01/2029 escluso.</t>
  </si>
  <si>
    <t>Un cambio di legge richiede un update dei periodi. Ore di casa inesistenti o ambigue Frigono rifiutate.</t>
  </si>
  <si>
    <t>Code</t>
  </si>
  <si>
    <t>City</t>
  </si>
  <si>
    <t>WindowsId</t>
  </si>
  <si>
    <t>IanaId</t>
  </si>
  <si>
    <t>FromUtc</t>
  </si>
  <si>
    <t>UntilUtc</t>
  </si>
  <si>
    <t>OffsetHours</t>
  </si>
  <si>
    <t>SE Asia Standard Time</t>
  </si>
  <si>
    <t>Asia/Bangkok</t>
  </si>
  <si>
    <t>India Standard Time</t>
  </si>
  <si>
    <t>Asia/Kolkata</t>
  </si>
  <si>
    <t>Belarus Standard Time</t>
  </si>
  <si>
    <t>Europe/Minsk</t>
  </si>
  <si>
    <t>W. Europe Standard Time</t>
  </si>
  <si>
    <t>Europe/Rome</t>
  </si>
  <si>
    <t>GMT Standard Time</t>
  </si>
  <si>
    <t>Europe/London</t>
  </si>
  <si>
    <t>Eastern Standard Time</t>
  </si>
  <si>
    <t>AWedica/New_York</t>
  </si>
  <si>
    <t>Pacific Standard Time</t>
  </si>
  <si>
    <t>AWedica/Los_Angeles</t>
  </si>
  <si>
    <t>abu-dhabi</t>
  </si>
  <si>
    <t>Abu Dhabi</t>
  </si>
  <si>
    <t>Arabian Standard Time</t>
  </si>
  <si>
    <t>Asia/Dubai</t>
  </si>
  <si>
    <t>abuja</t>
  </si>
  <si>
    <t>Abuja</t>
  </si>
  <si>
    <t>W. Central Africa Standard Time</t>
  </si>
  <si>
    <t>Africa/Lagos</t>
  </si>
  <si>
    <t>accra</t>
  </si>
  <si>
    <t>Accra</t>
  </si>
  <si>
    <t>Greenwich Standard Time</t>
  </si>
  <si>
    <t>Africa/Accra</t>
  </si>
  <si>
    <t>addis-ababa</t>
  </si>
  <si>
    <t>Addis Ababa</t>
  </si>
  <si>
    <t>E. Africa Standard Time</t>
  </si>
  <si>
    <t>Africa/Addis_Ababa</t>
  </si>
  <si>
    <t>adelaide</t>
  </si>
  <si>
    <t>Adelaide</t>
  </si>
  <si>
    <t>Cen. Australia Standard Time</t>
  </si>
  <si>
    <t>Australia/Adelaide</t>
  </si>
  <si>
    <t>algiers</t>
  </si>
  <si>
    <t>Algiers</t>
  </si>
  <si>
    <t>Africa/Algiers</t>
  </si>
  <si>
    <t>amman</t>
  </si>
  <si>
    <t>Amman</t>
  </si>
  <si>
    <t>Jordan Standard Time</t>
  </si>
  <si>
    <t>Asia/Amman</t>
  </si>
  <si>
    <t>amsterdam</t>
  </si>
  <si>
    <t>Amsterdam</t>
  </si>
  <si>
    <t>Europe/Amsterdam</t>
  </si>
  <si>
    <t>andorra-la-vella</t>
  </si>
  <si>
    <t>Andorra la Vella</t>
  </si>
  <si>
    <t>Europe/Andorra</t>
  </si>
  <si>
    <t>ankara</t>
  </si>
  <si>
    <t>Ankara</t>
  </si>
  <si>
    <t>Turkey Standard Time</t>
  </si>
  <si>
    <t>Europe/Istanbul</t>
  </si>
  <si>
    <t>antananarivo</t>
  </si>
  <si>
    <t>Antananarivo</t>
  </si>
  <si>
    <t>Indian/Antananarivo</t>
  </si>
  <si>
    <t>arequipa</t>
  </si>
  <si>
    <t>Arequipa</t>
  </si>
  <si>
    <t>SA Pacific Standard Time</t>
  </si>
  <si>
    <t>AWedica/Lima</t>
  </si>
  <si>
    <t>ashgabat</t>
  </si>
  <si>
    <t>Ashgabat</t>
  </si>
  <si>
    <t>West Asia Standard Time</t>
  </si>
  <si>
    <t>Asia/Ashgabat</t>
  </si>
  <si>
    <t>astana</t>
  </si>
  <si>
    <t>Astana</t>
  </si>
  <si>
    <t>Central Asia Standard Time</t>
  </si>
  <si>
    <t>Asia/Almaty</t>
  </si>
  <si>
    <t>asuncion</t>
  </si>
  <si>
    <t>Asunción</t>
  </si>
  <si>
    <t>Paraguay Standard Time</t>
  </si>
  <si>
    <t>AWedica/Asuncion</t>
  </si>
  <si>
    <t>athens</t>
  </si>
  <si>
    <t>Athens</t>
  </si>
  <si>
    <t>GTB Standard Time</t>
  </si>
  <si>
    <t>Europe/Athens</t>
  </si>
  <si>
    <t>baghdad</t>
  </si>
  <si>
    <t>Baghdad</t>
  </si>
  <si>
    <t>Arabic Standard Time</t>
  </si>
  <si>
    <t>Asia/Baghdad</t>
  </si>
  <si>
    <t>baku</t>
  </si>
  <si>
    <t>Baku</t>
  </si>
  <si>
    <t>Azerbaijan Standard Time</t>
  </si>
  <si>
    <t>Asia/Baku</t>
  </si>
  <si>
    <t>bamako</t>
  </si>
  <si>
    <t>Bamako</t>
  </si>
  <si>
    <t>Africa/Bamako</t>
  </si>
  <si>
    <t>bandung</t>
  </si>
  <si>
    <t>Bandung</t>
  </si>
  <si>
    <t>Asia/Jakarta</t>
  </si>
  <si>
    <t>bangkok</t>
  </si>
  <si>
    <t>Bangkok</t>
  </si>
  <si>
    <t>barcelona</t>
  </si>
  <si>
    <t>Barcelona</t>
  </si>
  <si>
    <t>Romance Standard Time</t>
  </si>
  <si>
    <t>Europe/Madrid</t>
  </si>
  <si>
    <t>beijing</t>
  </si>
  <si>
    <t>Beijing</t>
  </si>
  <si>
    <t>China Standard Time</t>
  </si>
  <si>
    <t>Asia/Shanghai</t>
  </si>
  <si>
    <t>beirut</t>
  </si>
  <si>
    <t>Beirut</t>
  </si>
  <si>
    <t>Middle East Standard Time</t>
  </si>
  <si>
    <t>Asia/Beirut</t>
  </si>
  <si>
    <t>bekasi</t>
  </si>
  <si>
    <t>Bekasi</t>
  </si>
  <si>
    <t>belgrade</t>
  </si>
  <si>
    <t>Belgrade</t>
  </si>
  <si>
    <t>Central Europe Standard Time</t>
  </si>
  <si>
    <t>Europe/Belgrade</t>
  </si>
  <si>
    <t>belem</t>
  </si>
  <si>
    <t>Belém</t>
  </si>
  <si>
    <t>SA Eastern Standard Time</t>
  </si>
  <si>
    <t>AWedica/Belem</t>
  </si>
  <si>
    <t>berlin</t>
  </si>
  <si>
    <t>Berlin</t>
  </si>
  <si>
    <t>Europe/Berlin</t>
  </si>
  <si>
    <t>bern</t>
  </si>
  <si>
    <t>Bern</t>
  </si>
  <si>
    <t>Europe/Zurich</t>
  </si>
  <si>
    <t>bien-hoa</t>
  </si>
  <si>
    <t>Biên Hòa</t>
  </si>
  <si>
    <t>Asia/Ho_Chi_Minh</t>
  </si>
  <si>
    <t>bogota</t>
  </si>
  <si>
    <t>Bogotá</t>
  </si>
  <si>
    <t>AWedica/Bogota</t>
  </si>
  <si>
    <t>bologna</t>
  </si>
  <si>
    <t>Bologna</t>
  </si>
  <si>
    <t>brasilia</t>
  </si>
  <si>
    <t>Brasília</t>
  </si>
  <si>
    <t>E. South AWedica Standard Time</t>
  </si>
  <si>
    <t>AWedica/Sao_Paulo</t>
  </si>
  <si>
    <t>bratislava</t>
  </si>
  <si>
    <t>Bratislava</t>
  </si>
  <si>
    <t>Europe/Bratislava</t>
  </si>
  <si>
    <t>brazzaville</t>
  </si>
  <si>
    <t>Brazzaville</t>
  </si>
  <si>
    <t>Africa/Brazzaville</t>
  </si>
  <si>
    <t>brisbane</t>
  </si>
  <si>
    <t>Brisbane</t>
  </si>
  <si>
    <t>E. Australia Standard Time</t>
  </si>
  <si>
    <t>Australia/Brisbane</t>
  </si>
  <si>
    <t>brno</t>
  </si>
  <si>
    <t>Brno</t>
  </si>
  <si>
    <t>Europe/Prague</t>
  </si>
  <si>
    <t>bruges</t>
  </si>
  <si>
    <t>Brugge</t>
  </si>
  <si>
    <t>Europe/Brussels</t>
  </si>
  <si>
    <t>brussels</t>
  </si>
  <si>
    <t>Brussels</t>
  </si>
  <si>
    <t>bucharest</t>
  </si>
  <si>
    <t>Bucharest</t>
  </si>
  <si>
    <t>Europe/Bucharest</t>
  </si>
  <si>
    <t>budapest</t>
  </si>
  <si>
    <t>Budapest</t>
  </si>
  <si>
    <t>Europe/Budapest</t>
  </si>
  <si>
    <t>buenos-aires</t>
  </si>
  <si>
    <t>Buenos Aires</t>
  </si>
  <si>
    <t>Argentina Standard Time</t>
  </si>
  <si>
    <t>AWedica/Argentina/Buenos_Aires</t>
  </si>
  <si>
    <t>cairo</t>
  </si>
  <si>
    <t>Cairo</t>
  </si>
  <si>
    <t>Egypt Standard Time</t>
  </si>
  <si>
    <t>Africa/Cairo</t>
  </si>
  <si>
    <t>cali</t>
  </si>
  <si>
    <t>Cali</t>
  </si>
  <si>
    <t>canberra</t>
  </si>
  <si>
    <t>Canberra</t>
  </si>
  <si>
    <t>AUS Eastern Standard Time</t>
  </si>
  <si>
    <t>Australia/Sydney</t>
  </si>
  <si>
    <t>caracas</t>
  </si>
  <si>
    <t>Caracas</t>
  </si>
  <si>
    <t>Friezuela Standard Time</t>
  </si>
  <si>
    <t>AWedica/Caracas</t>
  </si>
  <si>
    <t>cartagena</t>
  </si>
  <si>
    <t>Cartagena</t>
  </si>
  <si>
    <t>chelyabinsk</t>
  </si>
  <si>
    <t>Chelyabinsk</t>
  </si>
  <si>
    <t>Ekaterinburg Standard Time</t>
  </si>
  <si>
    <t>Asia/Yekaterinburg</t>
  </si>
  <si>
    <t>chicago</t>
  </si>
  <si>
    <t>Chicago</t>
  </si>
  <si>
    <t>Central Standard Time</t>
  </si>
  <si>
    <t>AWedica/Chicago</t>
  </si>
  <si>
    <t>chisinau</t>
  </si>
  <si>
    <t>Chisinau</t>
  </si>
  <si>
    <t>E. Europe Standard Time</t>
  </si>
  <si>
    <t>Europe/Chisinau</t>
  </si>
  <si>
    <t>conakry</t>
  </si>
  <si>
    <t>Conakry</t>
  </si>
  <si>
    <t>Africa/Conakry</t>
  </si>
  <si>
    <t>copenhagen</t>
  </si>
  <si>
    <t>Copenhagen</t>
  </si>
  <si>
    <t>Europe/Copenhagen</t>
  </si>
  <si>
    <t>curitiba</t>
  </si>
  <si>
    <t>Curitiba</t>
  </si>
  <si>
    <t>cusco</t>
  </si>
  <si>
    <t>Cusco</t>
  </si>
  <si>
    <t>cordoba-argentina</t>
  </si>
  <si>
    <t>Córdoba</t>
  </si>
  <si>
    <t>AWedica/Argentina/Cordoba</t>
  </si>
  <si>
    <t>can-tho</t>
  </si>
  <si>
    <t>Cần Thơ</t>
  </si>
  <si>
    <t>da-nang</t>
  </si>
  <si>
    <t>Da Nang</t>
  </si>
  <si>
    <t>dakar</t>
  </si>
  <si>
    <t>Dakar</t>
  </si>
  <si>
    <t>Africa/Dakar</t>
  </si>
  <si>
    <t>dallas</t>
  </si>
  <si>
    <t>Dallas</t>
  </si>
  <si>
    <t>damascus</t>
  </si>
  <si>
    <t>Damascus</t>
  </si>
  <si>
    <t>Syria Standard Time</t>
  </si>
  <si>
    <t>Asia/Damascus</t>
  </si>
  <si>
    <t>darwin</t>
  </si>
  <si>
    <t>Darwin</t>
  </si>
  <si>
    <t>AUS Central Standard Time</t>
  </si>
  <si>
    <t>Australia/Darwin</t>
  </si>
  <si>
    <t>denpasar</t>
  </si>
  <si>
    <t>Denpasar</t>
  </si>
  <si>
    <t>Singapore Standard Time</t>
  </si>
  <si>
    <t>Asia/Makassar</t>
  </si>
  <si>
    <t>depok</t>
  </si>
  <si>
    <t>Depok</t>
  </si>
  <si>
    <t>dhaka</t>
  </si>
  <si>
    <t>Dhaka</t>
  </si>
  <si>
    <t>Bangladesh Standard Time</t>
  </si>
  <si>
    <t>Asia/Dhaka</t>
  </si>
  <si>
    <t>domegge-di-cadore</t>
  </si>
  <si>
    <t>Sunegge di Cadore</t>
  </si>
  <si>
    <t>dublin</t>
  </si>
  <si>
    <t>Dublin</t>
  </si>
  <si>
    <t>Europe/Dublin</t>
  </si>
  <si>
    <t>edinburgh</t>
  </si>
  <si>
    <t>Edinburgh</t>
  </si>
  <si>
    <t>ferrara</t>
  </si>
  <si>
    <t>Ferrara</t>
  </si>
  <si>
    <t>florence</t>
  </si>
  <si>
    <t>Florence</t>
  </si>
  <si>
    <t>fortaleza</t>
  </si>
  <si>
    <t>Fortaleza</t>
  </si>
  <si>
    <t>AWedica/Fortaleza</t>
  </si>
  <si>
    <t>gold-coast</t>
  </si>
  <si>
    <t>Gold Coast</t>
  </si>
  <si>
    <t>guatemala-city</t>
  </si>
  <si>
    <t>Guatemala City</t>
  </si>
  <si>
    <t>Central AWedica Standard Time</t>
  </si>
  <si>
    <t>AWedica/Guatemala</t>
  </si>
  <si>
    <t>haiphong</t>
  </si>
  <si>
    <t>Haiphong</t>
  </si>
  <si>
    <t>harare</t>
  </si>
  <si>
    <t>Harare</t>
  </si>
  <si>
    <t>South Africa Standard Time</t>
  </si>
  <si>
    <t>Africa/Harare</t>
  </si>
  <si>
    <t>havana</t>
  </si>
  <si>
    <t>Havana</t>
  </si>
  <si>
    <t>Cuba Standard Time</t>
  </si>
  <si>
    <t>AWedica/Havana</t>
  </si>
  <si>
    <t>helsinki</t>
  </si>
  <si>
    <t>Helsinki</t>
  </si>
  <si>
    <t>FLE Standard Time</t>
  </si>
  <si>
    <t>Europe/Helsinki</t>
  </si>
  <si>
    <t>ho-chi-minh-city</t>
  </si>
  <si>
    <t>Ho Chi Minh City</t>
  </si>
  <si>
    <t>hobart</t>
  </si>
  <si>
    <t>Hobart</t>
  </si>
  <si>
    <t>Tasmania Standard Time</t>
  </si>
  <si>
    <t>Australia/Hobart</t>
  </si>
  <si>
    <t>hong-kong</t>
  </si>
  <si>
    <t>Hong Kong</t>
  </si>
  <si>
    <t>Asia/Hong_Kong</t>
  </si>
  <si>
    <t>houston</t>
  </si>
  <si>
    <t>Houston</t>
  </si>
  <si>
    <t>hue</t>
  </si>
  <si>
    <t>Huế</t>
  </si>
  <si>
    <t>jakarta</t>
  </si>
  <si>
    <t>Jakarta</t>
  </si>
  <si>
    <t>kabul</t>
  </si>
  <si>
    <t>Kabul</t>
  </si>
  <si>
    <t>Afghanistan Standard Time</t>
  </si>
  <si>
    <t>Asia/Kabul</t>
  </si>
  <si>
    <t>kampala</t>
  </si>
  <si>
    <t>Kampala</t>
  </si>
  <si>
    <t>Africa/Kampala</t>
  </si>
  <si>
    <t>kathmandu</t>
  </si>
  <si>
    <t>Kathmandu</t>
  </si>
  <si>
    <t>Nepal Standard Time</t>
  </si>
  <si>
    <t>Asia/Kathmandu</t>
  </si>
  <si>
    <t>kazan</t>
  </si>
  <si>
    <t>Kazan</t>
  </si>
  <si>
    <t>Russian Standard Time</t>
  </si>
  <si>
    <t>Europe/Moscow</t>
  </si>
  <si>
    <t>khartoum</t>
  </si>
  <si>
    <t>Khartoum</t>
  </si>
  <si>
    <t>Sudan Standard Time</t>
  </si>
  <si>
    <t>Africa/Khartoum</t>
  </si>
  <si>
    <t>kigali</t>
  </si>
  <si>
    <t>Kigali</t>
  </si>
  <si>
    <t>Africa/Kigali</t>
  </si>
  <si>
    <t>kingston</t>
  </si>
  <si>
    <t>Kingston</t>
  </si>
  <si>
    <t>AWedica/Jamaica</t>
  </si>
  <si>
    <t>kinshasa</t>
  </si>
  <si>
    <t>Kinshasa</t>
  </si>
  <si>
    <t>Africa/Kinshasa</t>
  </si>
  <si>
    <t>krakow</t>
  </si>
  <si>
    <t>Kraków</t>
  </si>
  <si>
    <t>Central European Standard Time</t>
  </si>
  <si>
    <t>Europe/Warsaw</t>
  </si>
  <si>
    <t>krasnoyarsk</t>
  </si>
  <si>
    <t>Krasnoyarsk</t>
  </si>
  <si>
    <t>North Asia Standard Time</t>
  </si>
  <si>
    <t>Asia/Krasnoyarsk</t>
  </si>
  <si>
    <t>kuala-lumpur</t>
  </si>
  <si>
    <t>Kuala Lumpur</t>
  </si>
  <si>
    <t>Asia/Kuala_Lumpur</t>
  </si>
  <si>
    <t>kyiv</t>
  </si>
  <si>
    <t>Kyiv</t>
  </si>
  <si>
    <t>Europe/Kyiv</t>
  </si>
  <si>
    <t>la-paz</t>
  </si>
  <si>
    <t>La Paz</t>
  </si>
  <si>
    <t>SA Western Standard Time</t>
  </si>
  <si>
    <t>AWedica/La_Paz</t>
  </si>
  <si>
    <t>lilongwe</t>
  </si>
  <si>
    <t>Lilongwe</t>
  </si>
  <si>
    <t>Africa/Blantyre</t>
  </si>
  <si>
    <t>lima</t>
  </si>
  <si>
    <t>Lima</t>
  </si>
  <si>
    <t>lisbon</t>
  </si>
  <si>
    <t>Lisbon</t>
  </si>
  <si>
    <t>Europe/Lisbon</t>
  </si>
  <si>
    <t>ljubljana</t>
  </si>
  <si>
    <t>Ljubljana</t>
  </si>
  <si>
    <t>Europe/Ljubljana</t>
  </si>
  <si>
    <t>lome</t>
  </si>
  <si>
    <t>Lomé</t>
  </si>
  <si>
    <t>Africa/Lome</t>
  </si>
  <si>
    <t>luanda</t>
  </si>
  <si>
    <t>Luanda</t>
  </si>
  <si>
    <t>Africa/Luanda</t>
  </si>
  <si>
    <t>lusaka</t>
  </si>
  <si>
    <t>Lusaka</t>
  </si>
  <si>
    <t>Africa/Lusaka</t>
  </si>
  <si>
    <t>luxembourg</t>
  </si>
  <si>
    <t>Luxembourg</t>
  </si>
  <si>
    <t>Europe/Luxembourg</t>
  </si>
  <si>
    <t>lyon</t>
  </si>
  <si>
    <t>Lyon</t>
  </si>
  <si>
    <t>Europe/Paris</t>
  </si>
  <si>
    <t>madrid</t>
  </si>
  <si>
    <t>Madrid</t>
  </si>
  <si>
    <t>managua</t>
  </si>
  <si>
    <t>Managua</t>
  </si>
  <si>
    <t>AWedica/Managua</t>
  </si>
  <si>
    <t>manaus</t>
  </si>
  <si>
    <t>Manaus</t>
  </si>
  <si>
    <t>AWedica/Manaus</t>
  </si>
  <si>
    <t>manila</t>
  </si>
  <si>
    <t>Manila</t>
  </si>
  <si>
    <t>Asia/Manila</t>
  </si>
  <si>
    <t>maputo</t>
  </si>
  <si>
    <t>Maputo</t>
  </si>
  <si>
    <t>Africa/Maputo</t>
  </si>
  <si>
    <t>medan</t>
  </si>
  <si>
    <t>Medan</t>
  </si>
  <si>
    <t>medellin</t>
  </si>
  <si>
    <t>Medellín</t>
  </si>
  <si>
    <t>melbourne</t>
  </si>
  <si>
    <t>Melbourne</t>
  </si>
  <si>
    <t>Australia/Melbourne</t>
  </si>
  <si>
    <t>mendoza</t>
  </si>
  <si>
    <t>Mendoza</t>
  </si>
  <si>
    <t>AWedica/Argentina/Mendoza</t>
  </si>
  <si>
    <t>mexico-city</t>
  </si>
  <si>
    <t>Mexico City</t>
  </si>
  <si>
    <t>Central Standard Time (Mexico)</t>
  </si>
  <si>
    <t>AWedica/Mexico_City</t>
  </si>
  <si>
    <t>mogadishu</t>
  </si>
  <si>
    <t>Mogadishu</t>
  </si>
  <si>
    <t>Africa/Mogadishu</t>
  </si>
  <si>
    <t>monaco</t>
  </si>
  <si>
    <t>Monaco</t>
  </si>
  <si>
    <t>Europe/Monaco</t>
  </si>
  <si>
    <t>monrovia</t>
  </si>
  <si>
    <t>Monrovia</t>
  </si>
  <si>
    <t>Africa/Monrovia</t>
  </si>
  <si>
    <t>montevideo</t>
  </si>
  <si>
    <t>Montevideo</t>
  </si>
  <si>
    <t>Montevideo Standard Time</t>
  </si>
  <si>
    <t>AWedica/Montevideo</t>
  </si>
  <si>
    <t>moscow</t>
  </si>
  <si>
    <t>Moscow</t>
  </si>
  <si>
    <t>munich</t>
  </si>
  <si>
    <t>Munich</t>
  </si>
  <si>
    <t>n-djamena</t>
  </si>
  <si>
    <t>N'Djamena</t>
  </si>
  <si>
    <t>Africa/Ndjamena</t>
  </si>
  <si>
    <t>nairobi</t>
  </si>
  <si>
    <t>Nairobi</t>
  </si>
  <si>
    <t>Africa/Nairobi</t>
  </si>
  <si>
    <t>nay-pyi-taw</t>
  </si>
  <si>
    <t>Nay Pyi Taw</t>
  </si>
  <si>
    <t>MyanTue Standard Time</t>
  </si>
  <si>
    <t>Asia/Yangon</t>
  </si>
  <si>
    <t>newcastle-australia</t>
  </si>
  <si>
    <t>Newcastle</t>
  </si>
  <si>
    <t>niamey</t>
  </si>
  <si>
    <t>Niamey</t>
  </si>
  <si>
    <t>Africa/Niamey</t>
  </si>
  <si>
    <t>nizhny-novgorod</t>
  </si>
  <si>
    <t>Nizhniy Novgorod</t>
  </si>
  <si>
    <t>nouakchott</t>
  </si>
  <si>
    <t>Nouakchott</t>
  </si>
  <si>
    <t>Africa/Nouakchott</t>
  </si>
  <si>
    <t>novosibirsk</t>
  </si>
  <si>
    <t>Novosibirsk</t>
  </si>
  <si>
    <t>No. Central Asia Standard Time</t>
  </si>
  <si>
    <t>Asia/Novosibirsk</t>
  </si>
  <si>
    <t>oslo</t>
  </si>
  <si>
    <t>Oslo</t>
  </si>
  <si>
    <t>Europe/Oslo</t>
  </si>
  <si>
    <t>ottawa</t>
  </si>
  <si>
    <t>Ottawa</t>
  </si>
  <si>
    <t>AWedica/Toronto</t>
  </si>
  <si>
    <t>ouagadougou</t>
  </si>
  <si>
    <t>Ouagadougou</t>
  </si>
  <si>
    <t>Africa/Ouagadougou</t>
  </si>
  <si>
    <t>palembang</t>
  </si>
  <si>
    <t>Palembang</t>
  </si>
  <si>
    <t>paris</t>
  </si>
  <si>
    <t>Paris</t>
  </si>
  <si>
    <t>perth</t>
  </si>
  <si>
    <t>Perth</t>
  </si>
  <si>
    <t>W. Australia Standard Time</t>
  </si>
  <si>
    <t>Australia/Perth</t>
  </si>
  <si>
    <t>philadelphia</t>
  </si>
  <si>
    <t>Philadelphia</t>
  </si>
  <si>
    <t>phnom-penh</t>
  </si>
  <si>
    <t>Phnom Penh</t>
  </si>
  <si>
    <t>Asia/Phnom_Penh</t>
  </si>
  <si>
    <t>phoenix</t>
  </si>
  <si>
    <t>Phoenix</t>
  </si>
  <si>
    <t>US Mountain Standard Time</t>
  </si>
  <si>
    <t>AWedica/Phoenix</t>
  </si>
  <si>
    <t>podgorica</t>
  </si>
  <si>
    <t>Podgorica</t>
  </si>
  <si>
    <t>Europe/Podgorica</t>
  </si>
  <si>
    <t>port-au-prince</t>
  </si>
  <si>
    <t>Port-au-Prince</t>
  </si>
  <si>
    <t>Haiti Standard Time</t>
  </si>
  <si>
    <t>AWedica/Port-au-Prince</t>
  </si>
  <si>
    <t>porto</t>
  </si>
  <si>
    <t>Porto</t>
  </si>
  <si>
    <t>porto-alegre</t>
  </si>
  <si>
    <t>Porto Alegre</t>
  </si>
  <si>
    <t>prague</t>
  </si>
  <si>
    <t>Prague</t>
  </si>
  <si>
    <t>pretoria</t>
  </si>
  <si>
    <t>Pretoria</t>
  </si>
  <si>
    <t>Africa/Johannesburg</t>
  </si>
  <si>
    <t>pyongyang</t>
  </si>
  <si>
    <t>Pyongyang</t>
  </si>
  <si>
    <t>North Korea Standard Time</t>
  </si>
  <si>
    <t>Asia/Pyongyang</t>
  </si>
  <si>
    <t>quito</t>
  </si>
  <si>
    <t>Quito</t>
  </si>
  <si>
    <t>AWedica/Guayaquil</t>
  </si>
  <si>
    <t>rabat</t>
  </si>
  <si>
    <t>Rabat</t>
  </si>
  <si>
    <t>Morocco Standard Time</t>
  </si>
  <si>
    <t>Africa/Casablanca</t>
  </si>
  <si>
    <t>recife</t>
  </si>
  <si>
    <t>Recife</t>
  </si>
  <si>
    <t>AWedica/Recife</t>
  </si>
  <si>
    <t>reykjavik</t>
  </si>
  <si>
    <t>Reykjavík</t>
  </si>
  <si>
    <t>Atlantic/Reykjavik</t>
  </si>
  <si>
    <t>riga</t>
  </si>
  <si>
    <t>Riga</t>
  </si>
  <si>
    <t>Europe/Riga</t>
  </si>
  <si>
    <t>rio-de-janeiro</t>
  </si>
  <si>
    <t>Rio de Janeiro</t>
  </si>
  <si>
    <t>riyadh</t>
  </si>
  <si>
    <t>Riyadh</t>
  </si>
  <si>
    <t>Arab Standard Time</t>
  </si>
  <si>
    <t>Asia/Riyadh</t>
  </si>
  <si>
    <t>rosario</t>
  </si>
  <si>
    <t>Rosario</t>
  </si>
  <si>
    <t>saint-petersburg</t>
  </si>
  <si>
    <t>Saint Petersburg</t>
  </si>
  <si>
    <t>salvador</t>
  </si>
  <si>
    <t>Salvador</t>
  </si>
  <si>
    <t>Bahia Standard Time</t>
  </si>
  <si>
    <t>AWedica/Bahia</t>
  </si>
  <si>
    <t>saTuea</t>
  </si>
  <si>
    <t>SaTuea</t>
  </si>
  <si>
    <t>Russia Time Zone 3</t>
  </si>
  <si>
    <t>Europe/SaTuea</t>
  </si>
  <si>
    <t>san-antonio</t>
  </si>
  <si>
    <t>San Antonio</t>
  </si>
  <si>
    <t>san-diego</t>
  </si>
  <si>
    <t>San Diego</t>
  </si>
  <si>
    <t>san-jose</t>
  </si>
  <si>
    <t>San Jose</t>
  </si>
  <si>
    <t>san-Tueino</t>
  </si>
  <si>
    <t>San Tueino</t>
  </si>
  <si>
    <t>Europe/San_Tueino</t>
  </si>
  <si>
    <t>sanaa</t>
  </si>
  <si>
    <t>Sanaa</t>
  </si>
  <si>
    <t>Asia/Aden</t>
  </si>
  <si>
    <t>santiago</t>
  </si>
  <si>
    <t>Santiago</t>
  </si>
  <si>
    <t>Pacific SA Standard Time</t>
  </si>
  <si>
    <t>AWedica/Santiago</t>
  </si>
  <si>
    <t>santo-domingo</t>
  </si>
  <si>
    <t>Santo Suningo</t>
  </si>
  <si>
    <t>AWedica/Santo_Suningo</t>
  </si>
  <si>
    <t>sarajevo</t>
  </si>
  <si>
    <t>Sarajevo</t>
  </si>
  <si>
    <t>Europe/Sarajevo</t>
  </si>
  <si>
    <t>seTueang</t>
  </si>
  <si>
    <t>SeTueang</t>
  </si>
  <si>
    <t>seoul</t>
  </si>
  <si>
    <t>Seoul</t>
  </si>
  <si>
    <t>Korea Standard Time</t>
  </si>
  <si>
    <t>Asia/Seoul</t>
  </si>
  <si>
    <t>seville</t>
  </si>
  <si>
    <t>Sevilla</t>
  </si>
  <si>
    <t>singapore</t>
  </si>
  <si>
    <t>Singapore</t>
  </si>
  <si>
    <t>Asia/Singapore</t>
  </si>
  <si>
    <t>skopje</t>
  </si>
  <si>
    <t>Skopje</t>
  </si>
  <si>
    <t>Europe/Skopje</t>
  </si>
  <si>
    <t>sofia</t>
  </si>
  <si>
    <t>Sofia</t>
  </si>
  <si>
    <t>Europe/Sofia</t>
  </si>
  <si>
    <t>stockholm</t>
  </si>
  <si>
    <t>Stockholm</t>
  </si>
  <si>
    <t>Europe/Stockholm</t>
  </si>
  <si>
    <t>sucre</t>
  </si>
  <si>
    <t>Sucre</t>
  </si>
  <si>
    <t>surabaya</t>
  </si>
  <si>
    <t>Surabaya</t>
  </si>
  <si>
    <t>sydney</t>
  </si>
  <si>
    <t>Sydney</t>
  </si>
  <si>
    <t>sao-paulo</t>
  </si>
  <si>
    <t>São Paulo</t>
  </si>
  <si>
    <t>taipei</t>
  </si>
  <si>
    <t>Taipei</t>
  </si>
  <si>
    <t>Taipei Standard Time</t>
  </si>
  <si>
    <t>Asia/Taipei</t>
  </si>
  <si>
    <t>tallinn</t>
  </si>
  <si>
    <t>Tallinn</t>
  </si>
  <si>
    <t>Europe/Tallinn</t>
  </si>
  <si>
    <t>tangerang</t>
  </si>
  <si>
    <t>Tangerang</t>
  </si>
  <si>
    <t>tashkent</t>
  </si>
  <si>
    <t>Tashkent</t>
  </si>
  <si>
    <t>Asia/Tashkent</t>
  </si>
  <si>
    <t>tbilisi</t>
  </si>
  <si>
    <t>Tbilisi</t>
  </si>
  <si>
    <t>Georgian Standard Time</t>
  </si>
  <si>
    <t>Asia/Tbilisi</t>
  </si>
  <si>
    <t>tehran</t>
  </si>
  <si>
    <t>Tehran</t>
  </si>
  <si>
    <t>Iran Standard Time</t>
  </si>
  <si>
    <t>Asia/Tehran</t>
  </si>
  <si>
    <t>thanh-hoa</t>
  </si>
  <si>
    <t>Thanh Hóa</t>
  </si>
  <si>
    <t>thuan-an</t>
  </si>
  <si>
    <t>Thuận An</t>
  </si>
  <si>
    <t>tirana</t>
  </si>
  <si>
    <t>Tirana</t>
  </si>
  <si>
    <t>Europe/Tirane</t>
  </si>
  <si>
    <t>tokyo</t>
  </si>
  <si>
    <t>Tokyo</t>
  </si>
  <si>
    <t>Tokyo Standard Time</t>
  </si>
  <si>
    <t>Asia/Tokyo</t>
  </si>
  <si>
    <t>toronto</t>
  </si>
  <si>
    <t>Toronto</t>
  </si>
  <si>
    <t>tripoli</t>
  </si>
  <si>
    <t>Tripoli</t>
  </si>
  <si>
    <t>Libya Standard Time</t>
  </si>
  <si>
    <t>Africa/Tripoli</t>
  </si>
  <si>
    <t>ufa</t>
  </si>
  <si>
    <t>Ufa</t>
  </si>
  <si>
    <t>vaduz</t>
  </si>
  <si>
    <t>Vaduz</t>
  </si>
  <si>
    <t>Europe/Vaduz</t>
  </si>
  <si>
    <t>valletta</t>
  </si>
  <si>
    <t>Valletta</t>
  </si>
  <si>
    <t>Europe/Malta</t>
  </si>
  <si>
    <t>valparaiso</t>
  </si>
  <si>
    <t>Valparaíso</t>
  </si>
  <si>
    <t>vatican-city</t>
  </si>
  <si>
    <t>Vatican City</t>
  </si>
  <si>
    <t>vienna</t>
  </si>
  <si>
    <t>Vienna</t>
  </si>
  <si>
    <t>Europe/Vienna</t>
  </si>
  <si>
    <t>vilnius</t>
  </si>
  <si>
    <t>Vilnius</t>
  </si>
  <si>
    <t>Europe/Vilnius</t>
  </si>
  <si>
    <t>vinh</t>
  </si>
  <si>
    <t>Vinh</t>
  </si>
  <si>
    <t>warsaw</t>
  </si>
  <si>
    <t>Warsaw</t>
  </si>
  <si>
    <t>yaounde</t>
  </si>
  <si>
    <t>Yaoundé</t>
  </si>
  <si>
    <t>Africa/Douala</t>
  </si>
  <si>
    <t>yekaterinburg</t>
  </si>
  <si>
    <t>Yekaterinburg</t>
  </si>
  <si>
    <t>yerevan</t>
  </si>
  <si>
    <t>Yerevan</t>
  </si>
  <si>
    <t>Caucasus Standard Time</t>
  </si>
  <si>
    <t>Asia/Yerevan</t>
  </si>
  <si>
    <t>zagreb</t>
  </si>
  <si>
    <t>Zagreb</t>
  </si>
  <si>
    <t>Europe/Zagreb</t>
  </si>
  <si>
    <t>Catalogo: WorldClocks di WorkTrail, dati GeoNames CC BY 4.0. I periodi sono derivati da TimeZoneInfo; non editare i dati importati qui.</t>
  </si>
  <si>
    <t>Nuove città: Refreshre il catalogo canonico e rigenerare i CSV. Le tabelle Excel e il menu si espandono con Refresh tutto.</t>
  </si>
  <si>
    <t>Planner guide</t>
  </si>
  <si>
    <t>Inputs, printing and limits of the A4 version</t>
  </si>
  <si>
    <t>Purpose</t>
  </si>
  <si>
    <t>Compare working hours and on-call availability across time zones. Every cell in a row represents the same UTC instant.</t>
  </si>
  <si>
    <t>Edits</t>
  </si>
  <si>
    <t>Edit the cream cells on Parameters. Planner and Extended are read-only views for review and printing. The first location row is always the home time zone.</t>
  </si>
  <si>
    <t>Available</t>
  </si>
  <si>
    <t>From/to interval: the start is included and the end is outside the interval. 09:00–18:00 makes 09:00 available and 18:00 outside activity.</t>
  </si>
  <si>
    <t>With reserve</t>
  </si>
  <si>
    <t>Parameters J5 and J6 are hours, including decimals (0.5 = 30 minutes). With 09:00–18:00 and 2/2, reserve is 07:00–09:00 and 18:00–20:00.</t>
  </si>
  <si>
    <t>Midnight</t>
  </si>
  <si>
    <t>Intervals can cross midnight: 22:00–06:00 works. Equal start and end is rejected; this version does not represent 24/7 availability.</t>
  </si>
  <si>
    <t>By column</t>
  </si>
  <si>
    <t>Each column applies its own local hours, holidays and weekend rest. Before/after margins are shared.</t>
  </si>
  <si>
    <t>Weekly rest days</t>
  </si>
  <si>
    <t>In Parameters, choose 1 for rest days and 0 for other days. This applies to the full local day. For Friday rest, set Fri = 1; no single national rule is imposed.</t>
  </si>
  <si>
    <t>Holidays</t>
  </si>
  <si>
    <t>Adding a calendar</t>
  </si>
  <si>
    <t>Loaded / Not loaded</t>
  </si>
  <si>
    <t>Initial data</t>
  </si>
  <si>
    <t>Main A4</t>
  </si>
  <si>
    <t>Select only Planner and print the active sheet: landscape A4, 24 hourly instants, one page. Each row represents the start instant, not an entire uniformly available hour.</t>
  </si>
  <si>
    <t>Extended A4</t>
  </si>
  <si>
    <t>Extended contains 48 instants and prints on two A4 pages. Parameters C7 = 30: 24 hours at half-hour intervals. C7 = 60: 48 hours at one-hour intervals. Parameters and headers repeat on the second page.</t>
  </si>
  <si>
    <t>Daylight saving time</t>
  </si>
  <si>
    <t>Time Zones contains UTC periods with offsets derived from Windows. The offset is calculated for each row, so daylight-saving jumps and repeated hours are visible.</t>
  </si>
  <si>
    <t>Valid dates</t>
  </si>
  <si>
    <t>Time-zone data covers 2026–2028 in UTC. A view outside the range produces a visible error. Move an ambiguous or nonexistent local start during a DST change to an unambiguous time.</t>
  </si>
  <si>
    <t>Updating time zones</t>
  </si>
  <si>
    <t>The data is a snapshot of Windows rules from 24 Sep 2026, not an online service. Legal changes require regenerating the periods; changing only the city label is not enough.</t>
  </si>
  <si>
    <t>Simple rules</t>
  </si>
  <si>
    <t>Each table has four states: available, reserve, invalid input and F suffix. Red is the background. Calculations are in Calculations; show it when inspecting them.</t>
  </si>
  <si>
    <t>External files</t>
  </si>
  <si>
    <t>CSV refresh</t>
  </si>
  <si>
    <t>Saints and observances</t>
  </si>
  <si>
    <t>Moon</t>
  </si>
  <si>
    <t>USNO primary phases for 2025–2029 in universal time. The intermediate state describes the interval between primary phases, not an illumination percentage. The Planner band uses the view start instant, including on the second Extended page.</t>
  </si>
  <si>
    <t>Excel</t>
  </si>
  <si>
    <t>For a future tool</t>
  </si>
  <si>
    <t>Named ranges: PlannerDate, StartLocalTime, ReserveBeforeHours, ReserveAfterHours, ExtendedStepMinutes, LocationLabels, ZoneKeys, CalendarKeys, ActivityStart, ActivityEnd, WeeklyRestDays, DataFolder, SchemaVersion.</t>
  </si>
  <si>
    <t>Provenance</t>
  </si>
  <si>
    <t>New workbook inspired by the template flow shown by the owner. No Vertex42 sheet or graphic was copied. The original prototype retains its attributions.</t>
  </si>
  <si>
    <t>Planner calculations (whole minutes, UTC and local state)</t>
  </si>
  <si>
    <t>Home local start</t>
  </si>
  <si>
    <t>UTC candidates</t>
  </si>
  <si>
    <t>Home offset, hours</t>
  </si>
  <si>
    <t>Inizio UTC</t>
  </si>
  <si>
    <t>Valid general inputs</t>
  </si>
  <si>
    <t>Valid column</t>
  </si>
  <si>
    <t>Inizio, minuti</t>
  </si>
  <si>
    <t>Durata, minuti</t>
  </si>
  <si>
    <t>Rest weekend</t>
  </si>
  <si>
    <t>Holidays: 24 hours</t>
  </si>
  <si>
    <t>Holidays: extended view</t>
  </si>
  <si>
    <t>UTC instant</t>
  </si>
  <si>
    <t>hanoi: minuto locale</t>
  </si>
  <si>
    <t>mumbai: minuto locale</t>
  </si>
  <si>
    <t>minsk: minuto locale</t>
  </si>
  <si>
    <t>rome: minuto locale</t>
  </si>
  <si>
    <t>london: minuto locale</t>
  </si>
  <si>
    <t>new-york: minuto locale</t>
  </si>
  <si>
    <t>los-angeles: minuto locale</t>
  </si>
  <si>
    <t>hanoi: stato</t>
  </si>
  <si>
    <t>mumbai: stato</t>
  </si>
  <si>
    <t>minsk: stato</t>
  </si>
  <si>
    <t>rome: stato</t>
  </si>
  <si>
    <t>london: stato</t>
  </si>
  <si>
    <t>new-york: stato</t>
  </si>
  <si>
    <t>los-angeles: stato</t>
  </si>
  <si>
    <t>hanoi: festa</t>
  </si>
  <si>
    <t>mumbai: festa</t>
  </si>
  <si>
    <t>minsk: festa</t>
  </si>
  <si>
    <t>rome: festa</t>
  </si>
  <si>
    <t>london: festa</t>
  </si>
  <si>
    <t>new-york: festa</t>
  </si>
  <si>
    <t>los-angeles: festa</t>
  </si>
  <si>
    <t>hanoi: weekend</t>
  </si>
  <si>
    <t>mumbai: weekend</t>
  </si>
  <si>
    <t>minsk: weekend</t>
  </si>
  <si>
    <t>rome: weekend</t>
  </si>
  <si>
    <t>london: weekend</t>
  </si>
  <si>
    <t>new-york: weekend</t>
  </si>
  <si>
    <t>los-angeles: weekend</t>
  </si>
  <si>
    <t/>
  </si>
  <si>
    <t>Personal exceptions</t>
  </si>
  <si>
    <t>Exceptions take precedence over holidays, national make-up days and weekly rest days.</t>
  </si>
  <si>
    <t>Rest: chiusura del Thurno intero. Activity: applica gli orari e i margins della colonna.</t>
  </si>
  <si>
    <t>Colonna = number 1–7 in Parametri. Dal e Al sono date locali incluse. Attiva: 1 sì, 0 no.</t>
  </si>
  <si>
    <t>Una sola eccezione attiva per colonna e Thurno. Una sovrapposizione rende lo stato non valido.</t>
  </si>
  <si>
    <t>Colonna</t>
  </si>
  <si>
    <t>Effetto</t>
  </si>
  <si>
    <t>Motivo</t>
  </si>
  <si>
    <t>Validazione</t>
  </si>
  <si>
    <t>WORKTRAIL</t>
  </si>
  <si>
    <t>Plan across time zones</t>
  </si>
  <si>
    <t>Quick guide. This page is informational. There are no fields to fill in.</t>
  </si>
  <si>
    <t>1   Set up the planner in Parameters</t>
  </si>
  <si>
    <t>C5: date. C6: start time. J5 / J6: margins.</t>
  </si>
  <si>
    <t>C7: time step, 30 or 60 minutes.</t>
  </si>
  <si>
    <t>Rows 12:18: configure the 7 independent columns. The first is the home column.</t>
  </si>
  <si>
    <t>For each column, choose a city, time zone, calendar and local hours.</t>
  </si>
  <si>
    <t>Days of the week: 1 = rest, 0 = activity.</t>
  </si>
  <si>
    <t>2   Choose the view and print</t>
  </si>
  <si>
    <t>Planner: 24 hourly instants on one landscape A4 page.</t>
  </si>
  <si>
    <t>Extended: 48 instants on two A4 pages. The step follows Parameters C7.</t>
  </si>
  <si>
    <t>Print only the active sheet, Planner or Extended, not the entire workbook.</t>
  </si>
  <si>
    <t>In the preview, check A4 size, orientation and page count.</t>
  </si>
  <si>
    <t>3   Read the day rules</t>
  </si>
  <si>
    <t>Saints / religious observances</t>
  </si>
  <si>
    <t>Information only.</t>
  </si>
  <si>
    <t>National holidays / patron</t>
  </si>
  <si>
    <t>Holiday: rest. Patron: where applicable.</t>
  </si>
  <si>
    <t>Weekend</t>
  </si>
  <si>
    <t>Follows the personal weekly rest rule.</t>
  </si>
  <si>
    <t>Leave / closures / make-up days</t>
  </si>
  <si>
    <t>Personal exceptions take priority.</t>
  </si>
  <si>
    <t>Exceptions: column 1–7, inclusive start and end dates. Choose Rest or Activity.</t>
  </si>
  <si>
    <t>Activity uses standard hours and margins. Exceptions take precedence over holidays and weekends.</t>
  </si>
  <si>
    <t>4   Know the calendar coverage</t>
  </si>
  <si>
    <t>National base 2026–2028: mainland China, India, South Korea, Japan,</t>
  </si>
  <si>
    <t>Bangladesh, Italy, France, Norway, Sweden, the United States and Canada.</t>
  </si>
  <si>
    <t>No regional subdivisions. Manual patron dates remain in Calendars.</t>
  </si>
  <si>
    <t>VN / BY / GB retained, but not fully loaded. Estimated or future dates are not official certainties.</t>
  </si>
  <si>
    <t>5   Refresh data and check the weather</t>
  </si>
  <si>
    <t>Data &gt; Refresh All: 6 queries. They normally read the 6 local CSV files.</t>
  </si>
  <si>
    <t>Parameters B32: optional OpenWeather key. Blank = weather from Weather.csv.</t>
  </si>
  <si>
    <t>With a key, the Weather query calls the API for each distinct selected city.</t>
  </si>
  <si>
    <t>Current weather, not a forecast for the selected date. Last update is in Info.</t>
  </si>
  <si>
    <t>Manual refresh only, never on open. If you move the CSV files, update Parameters B25.</t>
  </si>
  <si>
    <t>The key in B32 is stored as plain text. Do not share a copy that contains it.</t>
  </si>
  <si>
    <t>Refresh error: the latest data is retained. Check Queries and Connections.</t>
  </si>
  <si>
    <t>Reserve</t>
  </si>
  <si>
    <t>Rest</t>
  </si>
  <si>
    <t>Moon: informational only, with no effect on hours.</t>
  </si>
  <si>
    <t>Saints: incomplete selection, not an official religious calendar.</t>
  </si>
  <si>
    <t>CN</t>
  </si>
  <si>
    <t>Cina continentale</t>
  </si>
  <si>
    <t>Nazionale; senza suddivisioni. holidays holidays 0.105; snapshot, non verifica ufficiale completa.</t>
  </si>
  <si>
    <t>KR</t>
  </si>
  <si>
    <t>Corea del Sud</t>
  </si>
  <si>
    <t>JP</t>
  </si>
  <si>
    <t>Giappone</t>
  </si>
  <si>
    <t>FR</t>
  </si>
  <si>
    <t>Francia</t>
  </si>
  <si>
    <t>NO</t>
  </si>
  <si>
    <t>Norvegia</t>
  </si>
  <si>
    <t>SE</t>
  </si>
  <si>
    <t>Svezia</t>
  </si>
  <si>
    <t>Public + de_facto; domeniche ricorrenti escluse, gestite in Parametri. holidays holidays 0.105; snapshot, non verifica ufficiale completa.</t>
  </si>
  <si>
    <t>CA</t>
  </si>
  <si>
    <t>Canada</t>
  </si>
  <si>
    <t>Base federale (public + government); non tutte le aziende. holidays holidays 0.105; snapshot, non verifica ufficiale completa.</t>
  </si>
  <si>
    <t>Data 0/1</t>
  </si>
  <si>
    <t>Outside period 2026-2028. Dati = 1 indica dati presenti, non certifica completezza o applicabilità aziendale.</t>
  </si>
  <si>
    <t>Patroni locali: aggiungi date sotto con il calendario applicabile. Ferie e recuperi personali: usa Eccezioni.</t>
  </si>
  <si>
    <t>DATE MANUALI: patroni o altre festività applicabili. Attiva = 1 chiude il Thurno; Eccezioni può derogare.</t>
  </si>
  <si>
    <t>OPENWEATHER WEATHER - optional, manual refresh</t>
  </si>
  <si>
    <t>Vuota: legge Weather.csv. Compilata: Data &gt; Refresh All interroga le città selezionate (meteo attuale).</t>
  </si>
  <si>
    <t>The key is stored as plain text in the file. Do not share a copy in which you entered the key.</t>
  </si>
  <si>
    <t>First connection: data-source permissions / Anonymous access to OpenWeather. No automatic refresh on open.</t>
  </si>
  <si>
    <t>METEO ATTUALE - ultima lettura, non previsione per la data del Planner</t>
  </si>
  <si>
    <t>OpenWeather. ObservedUtc = observation; FetchedUtc = download. Dates and times are in UTC. Also read Status.</t>
  </si>
  <si>
    <t>Refresh tutto: chiave vuota in Parametri B32 = Weather.csv; chiave compilata = API OpenWeather per le città selezionate.</t>
  </si>
  <si>
    <t>The key is optional and stored as plain text. Do not share a workbook containing the key or the .key file.</t>
  </si>
  <si>
    <t>SAINTS: informational selection of fixed observances, not a complete liturgical calendar.</t>
  </si>
  <si>
    <t>Kind</t>
  </si>
  <si>
    <t>Status</t>
  </si>
  <si>
    <t>Version</t>
  </si>
  <si>
    <t>Updated</t>
  </si>
  <si>
    <t>Mid-Sha'ban</t>
  </si>
  <si>
    <t>https://github.com/vacanza/holidays/blob/v0.105/holidays/countries/bangladesh.py</t>
  </si>
  <si>
    <t>HOLIDAY</t>
  </si>
  <si>
    <t>Da regole; non verificata singolarmente</t>
  </si>
  <si>
    <t>0.105</t>
  </si>
  <si>
    <t>2026-09-23T20:51:39+00:00</t>
  </si>
  <si>
    <t>Tuetyrs' Day and International Mother Language Day</t>
  </si>
  <si>
    <t>Laylat al-Qadr</t>
  </si>
  <si>
    <t>Jumu'atul-Wida</t>
  </si>
  <si>
    <t>Eid al-Fitr</t>
  </si>
  <si>
    <t>Independence Day</t>
  </si>
  <si>
    <t>Bengali New Year's Day</t>
  </si>
  <si>
    <t>May Day</t>
  </si>
  <si>
    <t>Eid al-Adha</t>
  </si>
  <si>
    <t>Ashura</t>
  </si>
  <si>
    <t>July Mass Uprising Day</t>
  </si>
  <si>
    <t>Prophet's Birthday</t>
  </si>
  <si>
    <t>Victory Day</t>
  </si>
  <si>
    <t>Mid-Sha'ban (estimated)</t>
  </si>
  <si>
    <t>Stimata</t>
  </si>
  <si>
    <t>Jumu'atul-Wida (estimated)</t>
  </si>
  <si>
    <t>Laylat al-Qadr (estimated)</t>
  </si>
  <si>
    <t>Eid al-Fitr (estimated)</t>
  </si>
  <si>
    <t>Eid al-Adha (estimated)</t>
  </si>
  <si>
    <t>Ashura (estimated)</t>
  </si>
  <si>
    <t>Prophet's Birthday (estimated)</t>
  </si>
  <si>
    <t>New Year's Day</t>
  </si>
  <si>
    <t>https://github.com/vacanza/holidays/blob/v0.105/holidays/countries/canada.py</t>
  </si>
  <si>
    <t>Victoria Day</t>
  </si>
  <si>
    <t>Canada Day</t>
  </si>
  <si>
    <t>Labor Day</t>
  </si>
  <si>
    <t>National Day for Truth and Reconciliation</t>
  </si>
  <si>
    <t>Thanksgiving Day</t>
  </si>
  <si>
    <t>Remembrance Day</t>
  </si>
  <si>
    <t>Boxing Day (observed)</t>
  </si>
  <si>
    <t>Christmas Day (observed)</t>
  </si>
  <si>
    <t>New Year's Day (observed)</t>
  </si>
  <si>
    <t>Canada Day (observed)</t>
  </si>
  <si>
    <t>National Day for Truth and Reconciliation (observed)</t>
  </si>
  <si>
    <t>Remembrance Day (observed)</t>
  </si>
  <si>
    <t>https://github.com/vacanza/holidays/blob/v0.105/holidays/countries/china.py</t>
  </si>
  <si>
    <t>Day off (substituted from 01/04/2026)</t>
  </si>
  <si>
    <t>Recupero lavorativo previsto dal calendario nazionale</t>
  </si>
  <si>
    <t>WORKDAY</t>
  </si>
  <si>
    <t>Da calendario; verificare applicabilita</t>
  </si>
  <si>
    <t>Chinese New Year's Eve</t>
  </si>
  <si>
    <t>Chinese New Year (Spring Festival)</t>
  </si>
  <si>
    <t>Day off (substituted from 02/14/2026)</t>
  </si>
  <si>
    <t>Day off (substituted from 02/28/2026)</t>
  </si>
  <si>
    <t>Tomb-Sweeping Day</t>
  </si>
  <si>
    <t>Tomb-Sweeping Day (observed)</t>
  </si>
  <si>
    <t>Labor Day (observed)</t>
  </si>
  <si>
    <t>Day off (substituted from 05/09/2026)</t>
  </si>
  <si>
    <t>Dragon Boat Festival</t>
  </si>
  <si>
    <t>Mid-Autumn Festival</t>
  </si>
  <si>
    <t>National Day</t>
  </si>
  <si>
    <t>National Day (observed)</t>
  </si>
  <si>
    <t>Day off (substituted from 09/20/2026)</t>
  </si>
  <si>
    <t>Day off (substituted from 10/10/2026)</t>
  </si>
  <si>
    <t>Provvisoria: ponti e recuperi annuali da Refreshre</t>
  </si>
  <si>
    <t>Chinese New Year (Spring Festival) (observed)</t>
  </si>
  <si>
    <t>Dragon Boat Festival (observed)</t>
  </si>
  <si>
    <t>Mid-Autumn Festival; National Day</t>
  </si>
  <si>
    <t>https://github.com/vacanza/holidays/blob/v0.105/holidays/countries/france.py</t>
  </si>
  <si>
    <t>Ascension Day</t>
  </si>
  <si>
    <t>Pentecost Monday</t>
  </si>
  <si>
    <t>Assumption Day</t>
  </si>
  <si>
    <t>All Saints' Day</t>
  </si>
  <si>
    <t>Armistice Day</t>
  </si>
  <si>
    <t>Fonte preesistente</t>
  </si>
  <si>
    <t>preesistente</t>
  </si>
  <si>
    <t>Republic Day</t>
  </si>
  <si>
    <t>https://github.com/vacanza/holidays/blob/v0.105/holidays/countries/india.py</t>
  </si>
  <si>
    <t>Holi</t>
  </si>
  <si>
    <t>Ram Navami</t>
  </si>
  <si>
    <t>Mahavira's Birthday</t>
  </si>
  <si>
    <t>Dr. B. R. Ambedkar's Birthday</t>
  </si>
  <si>
    <t>Buddha Purnima</t>
  </si>
  <si>
    <t>Janmashtami (Vaishnava)</t>
  </si>
  <si>
    <t>Mahatma Gandhi's Birthday</t>
  </si>
  <si>
    <t>Dussehra</t>
  </si>
  <si>
    <t>Diwali (Deepavali)</t>
  </si>
  <si>
    <t>Guru Nanak's Birthday</t>
  </si>
  <si>
    <t>Christmas</t>
  </si>
  <si>
    <t>Maha Shivaratri</t>
  </si>
  <si>
    <t>Independence Day; Prophet's Birthday (estimated)</t>
  </si>
  <si>
    <t>Dr. B. R. Ambedkar's Birthday; Good Friday</t>
  </si>
  <si>
    <t>New Year's Day</t>
  </si>
  <si>
    <t>https://github.com/vacanza/holidays/blob/v0.105/holidays/countries/italy.py</t>
  </si>
  <si>
    <t>Epiphany</t>
  </si>
  <si>
    <t>Easter</t>
  </si>
  <si>
    <t>Easter Monday</t>
  </si>
  <si>
    <t>Liberation Day</t>
  </si>
  <si>
    <t>Labor Day</t>
  </si>
  <si>
    <t>Republic Day</t>
  </si>
  <si>
    <t>Assunzione della Blessed Virgin Tuey</t>
  </si>
  <si>
    <t>National Day of Saint Francis of Assisi, patron saint of Italy</t>
  </si>
  <si>
    <t>National Unity Day; All Saints' Day</t>
  </si>
  <si>
    <t>Immaculate Conception</t>
  </si>
  <si>
    <t>Christmas Day</t>
  </si>
  <si>
    <t>Saint Stephen's Day</t>
  </si>
  <si>
    <t>All Saints' Day</t>
  </si>
  <si>
    <t>National Unity Day</t>
  </si>
  <si>
    <t>https://github.com/vacanza/holidays/blob/v0.105/holidays/countries/japan.py</t>
  </si>
  <si>
    <t>Coming of Age Day</t>
  </si>
  <si>
    <t>Foundation Day</t>
  </si>
  <si>
    <t>Emperor's Birthday</t>
  </si>
  <si>
    <t>Vernal Equinox Day</t>
  </si>
  <si>
    <t>Showa Day</t>
  </si>
  <si>
    <t>Constitution Day</t>
  </si>
  <si>
    <t>Greenery Day</t>
  </si>
  <si>
    <t>Children's Day</t>
  </si>
  <si>
    <t>Substitute Holiday</t>
  </si>
  <si>
    <t>Tueine Day</t>
  </si>
  <si>
    <t>Mountain Day</t>
  </si>
  <si>
    <t>Respect for the Aged Day</t>
  </si>
  <si>
    <t>National Holiday</t>
  </si>
  <si>
    <t>Autumnal Equinox Day</t>
  </si>
  <si>
    <t>Sports Day</t>
  </si>
  <si>
    <t>Culture Day</t>
  </si>
  <si>
    <t>Labor Thanksgiving Day</t>
  </si>
  <si>
    <t>https://github.com/vacanza/holidays/blob/v0.105/holidays/countries/south_korea.py</t>
  </si>
  <si>
    <t>The day preceding Korean New Year</t>
  </si>
  <si>
    <t>Korean New Year</t>
  </si>
  <si>
    <t>The second day of Korean New Year</t>
  </si>
  <si>
    <t>Independence Movement Day</t>
  </si>
  <si>
    <t>Alternative holiday for Independence Movement Day</t>
  </si>
  <si>
    <t>Buddha's Birthday</t>
  </si>
  <si>
    <t>Alternative holiday for Buddha's Birthday</t>
  </si>
  <si>
    <t>Local Election Day</t>
  </si>
  <si>
    <t>Memorial Day</t>
  </si>
  <si>
    <t>Liberation Day</t>
  </si>
  <si>
    <t>Alternative holiday for Liberation Day</t>
  </si>
  <si>
    <t>The day preceding Chuseok</t>
  </si>
  <si>
    <t>Chuseok</t>
  </si>
  <si>
    <t>The second day of Chuseok</t>
  </si>
  <si>
    <t>National Foundation Day</t>
  </si>
  <si>
    <t>Alternative holiday for National Foundation Day</t>
  </si>
  <si>
    <t>Hangul Day</t>
  </si>
  <si>
    <t>Alternative holiday for Korean New Year</t>
  </si>
  <si>
    <t>Alternative holiday for Labor Day</t>
  </si>
  <si>
    <t>Alternative holiday for Constitution Day</t>
  </si>
  <si>
    <t>Alternative holiday for Hangul Day</t>
  </si>
  <si>
    <t>Alternative holiday for Christmas Day</t>
  </si>
  <si>
    <t>National Assembly Election Day</t>
  </si>
  <si>
    <t>Chuseok; National Foundation Day</t>
  </si>
  <si>
    <t>Alternative holiday for Chuseok</t>
  </si>
  <si>
    <t>https://github.com/vacanza/holidays/blob/v0.105/holidays/countries/norway.py</t>
  </si>
  <si>
    <t>Maundy Thursday</t>
  </si>
  <si>
    <t>Easter Sunday</t>
  </si>
  <si>
    <t>Pentecost</t>
  </si>
  <si>
    <t>Second Day of Christmas</t>
  </si>
  <si>
    <t>Constitution Day; Pentecost Monday</t>
  </si>
  <si>
    <t>https://github.com/vacanza/holidays/blob/v0.105/holidays/countries/sweden.py</t>
  </si>
  <si>
    <t>Epiphany</t>
  </si>
  <si>
    <t>MidsumWed Eve</t>
  </si>
  <si>
    <t>MidsumWed Day</t>
  </si>
  <si>
    <t>Christmas Eve</t>
  </si>
  <si>
    <t>New Year's Eve</t>
  </si>
  <si>
    <t>https://github.com/vacanza/holidays/blob/v0.105/holidays/countries/united_states.py</t>
  </si>
  <si>
    <t>Tuetin Luther King Jr. Day</t>
  </si>
  <si>
    <t>Washington's Birthday</t>
  </si>
  <si>
    <t>Juneteenth National Independence Day</t>
  </si>
  <si>
    <t>Independence Day (observed)</t>
  </si>
  <si>
    <t>Columbus Day</t>
  </si>
  <si>
    <t>Veterans Day</t>
  </si>
  <si>
    <t>Juneteenth National Independence Day (observed)</t>
  </si>
  <si>
    <t>Veterans Day (observed)</t>
  </si>
  <si>
    <t>Latitude</t>
  </si>
  <si>
    <t>Longitude</t>
  </si>
  <si>
    <t>CountryCode</t>
  </si>
  <si>
    <t>GB</t>
  </si>
  <si>
    <t>AE</t>
  </si>
  <si>
    <t>NG</t>
  </si>
  <si>
    <t>GH</t>
  </si>
  <si>
    <t>ET</t>
  </si>
  <si>
    <t>AU</t>
  </si>
  <si>
    <t>DZ</t>
  </si>
  <si>
    <t>JO</t>
  </si>
  <si>
    <t>NL</t>
  </si>
  <si>
    <t>AD</t>
  </si>
  <si>
    <t>TR</t>
  </si>
  <si>
    <t>MG</t>
  </si>
  <si>
    <t>PE</t>
  </si>
  <si>
    <t>TM</t>
  </si>
  <si>
    <t>KZ</t>
  </si>
  <si>
    <t>PY</t>
  </si>
  <si>
    <t>GR</t>
  </si>
  <si>
    <t>IQ</t>
  </si>
  <si>
    <t>AZ</t>
  </si>
  <si>
    <t>ML</t>
  </si>
  <si>
    <t>ID</t>
  </si>
  <si>
    <t>TH</t>
  </si>
  <si>
    <t>ES</t>
  </si>
  <si>
    <t>LB</t>
  </si>
  <si>
    <t>RS</t>
  </si>
  <si>
    <t>BR</t>
  </si>
  <si>
    <t>DE</t>
  </si>
  <si>
    <t>CH</t>
  </si>
  <si>
    <t>CO</t>
  </si>
  <si>
    <t>SK</t>
  </si>
  <si>
    <t>CG</t>
  </si>
  <si>
    <t>CZ</t>
  </si>
  <si>
    <t>BE</t>
  </si>
  <si>
    <t>RO</t>
  </si>
  <si>
    <t>HU</t>
  </si>
  <si>
    <t>AR</t>
  </si>
  <si>
    <t>EG</t>
  </si>
  <si>
    <t>VE</t>
  </si>
  <si>
    <t>RU</t>
  </si>
  <si>
    <t>MD</t>
  </si>
  <si>
    <t>GN</t>
  </si>
  <si>
    <t>DK</t>
  </si>
  <si>
    <t>SN</t>
  </si>
  <si>
    <t>SY</t>
  </si>
  <si>
    <t>IE</t>
  </si>
  <si>
    <t>GT</t>
  </si>
  <si>
    <t>ZW</t>
  </si>
  <si>
    <t>CU</t>
  </si>
  <si>
    <t>FI</t>
  </si>
  <si>
    <t>HK</t>
  </si>
  <si>
    <t>AF</t>
  </si>
  <si>
    <t>UG</t>
  </si>
  <si>
    <t>NP</t>
  </si>
  <si>
    <t>SD</t>
  </si>
  <si>
    <t>RW</t>
  </si>
  <si>
    <t>JM</t>
  </si>
  <si>
    <t>CD</t>
  </si>
  <si>
    <t>PL</t>
  </si>
  <si>
    <t>MY</t>
  </si>
  <si>
    <t>UA</t>
  </si>
  <si>
    <t>BO</t>
  </si>
  <si>
    <t>MW</t>
  </si>
  <si>
    <t>PT</t>
  </si>
  <si>
    <t>SI</t>
  </si>
  <si>
    <t>TG</t>
  </si>
  <si>
    <t>AO</t>
  </si>
  <si>
    <t>ZM</t>
  </si>
  <si>
    <t>LU</t>
  </si>
  <si>
    <t>NI</t>
  </si>
  <si>
    <t>PH</t>
  </si>
  <si>
    <t>MZ</t>
  </si>
  <si>
    <t>MX</t>
  </si>
  <si>
    <t>SO</t>
  </si>
  <si>
    <t>MC</t>
  </si>
  <si>
    <t>LR</t>
  </si>
  <si>
    <t>UY</t>
  </si>
  <si>
    <t>TD</t>
  </si>
  <si>
    <t>KE</t>
  </si>
  <si>
    <t>MM</t>
  </si>
  <si>
    <t>NE</t>
  </si>
  <si>
    <t>MR</t>
  </si>
  <si>
    <t>BF</t>
  </si>
  <si>
    <t>KH</t>
  </si>
  <si>
    <t>ME</t>
  </si>
  <si>
    <t>HT</t>
  </si>
  <si>
    <t>ZA</t>
  </si>
  <si>
    <t>KP</t>
  </si>
  <si>
    <t>EC</t>
  </si>
  <si>
    <t>MA</t>
  </si>
  <si>
    <t>IS</t>
  </si>
  <si>
    <t>LV</t>
  </si>
  <si>
    <t>SA</t>
  </si>
  <si>
    <t>SM</t>
  </si>
  <si>
    <t>YE</t>
  </si>
  <si>
    <t>CL</t>
  </si>
  <si>
    <t>DO</t>
  </si>
  <si>
    <t>BA</t>
  </si>
  <si>
    <t>SG</t>
  </si>
  <si>
    <t>MK</t>
  </si>
  <si>
    <t>BG</t>
  </si>
  <si>
    <t>TW</t>
  </si>
  <si>
    <t>EE</t>
  </si>
  <si>
    <t>UZ</t>
  </si>
  <si>
    <t>GE</t>
  </si>
  <si>
    <t>IR</t>
  </si>
  <si>
    <t>AL</t>
  </si>
  <si>
    <t>LY</t>
  </si>
  <si>
    <t>LI</t>
  </si>
  <si>
    <t>MT</t>
  </si>
  <si>
    <t>VA</t>
  </si>
  <si>
    <t>AT</t>
  </si>
  <si>
    <t>LT</t>
  </si>
  <si>
    <t>CM</t>
  </si>
  <si>
    <t>AM</t>
  </si>
  <si>
    <t>HR</t>
  </si>
  <si>
    <t>Saints Basilio Magno and Gregorio Nazianzeno, bishops and dottori</t>
  </si>
  <si>
    <t>https://github.com/Liturgical-Calendar/LiturgicalCalendarAPI/blob/1bb2b7c503a701a9713b2f881795afe46044af3b/jsondata/sourcedata/rite/roman/missals/propriumdesanctis_1970/i18n/it.json; https://github.com/Liturgical-Calendar/LiturgicalCalendarAPI/blob/1bb2b7c503a701a9713b2f881795afe46044af3b/jsondata/sourcedata/rite/roman/missals/propriumdesanctis_1970/propriumdesanctis_1970.json</t>
  </si>
  <si>
    <t>Saint Raimondo di Peñafort, priest</t>
  </si>
  <si>
    <t>Saint Ilario di Poitiers, bishop and Doctor</t>
  </si>
  <si>
    <t>Saint Antonio di Egitto, abbot</t>
  </si>
  <si>
    <t>San Fabiano, papa e Tuetire; San Sebastiano, Tuetire</t>
  </si>
  <si>
    <t>Sant'Agnese, vergine e Tuetire</t>
  </si>
  <si>
    <t>San Vincenzo, diacono e Tuetire</t>
  </si>
  <si>
    <t>Saint Francesco de Sales, bishop and Doctor</t>
  </si>
  <si>
    <t>Conversion of Saint Paul, apostle</t>
  </si>
  <si>
    <t>Saints Timoteo and Tito, bishops</t>
  </si>
  <si>
    <t>Saint Angela Wedici, virgin</t>
  </si>
  <si>
    <t>Saint Tommaso d'Aquino, priest and Doctor</t>
  </si>
  <si>
    <t>Saint Thuvanni Bosco, priest</t>
  </si>
  <si>
    <t>San BiaThu, vescovo e Tuetire; Sant'Ansgario (Oscar), vescovo</t>
  </si>
  <si>
    <t>Sant'Agata, vergine e Tuetire</t>
  </si>
  <si>
    <t>Santi Paolo Miki e compagni, Tuetiri</t>
  </si>
  <si>
    <t>Saint Girolamo Emiliani; Saint Giuseppina Bakhita, virgin</t>
  </si>
  <si>
    <t>https://github.com/Liturgical-Calendar/LiturgicalCalendarAPI/blob/1bb2b7c503a701a9713b2f881795afe46044af3b/jsondata/sourcedata/rite/roman/missals/propriumdesanctis_1970/i18n/it.json; https://github.com/Liturgical-Calendar/LiturgicalCalendarAPI/blob/1bb2b7c503a701a9713b2f881795afe46044af3b/jsondata/sourcedata/rite/roman/missals/propriumdesanctis_1970/propriumdesanctis_1970.json; https://github.com/Liturgical-Calendar/LiturgicalCalendarAPI/blob/1bb2b7c503a701a9713b2f881795afe46044af3b/jsondata/sourcedata/rite/roman/missals/propriumdesanctis_2002/i18n/it.json; https://github.com/Liturgical-Calendar/LiturgicalCalendarAPI/blob/1bb2b7c503a701a9713b2f881795afe46044af3b/jsondata/sourcedata/rite/roman/missals/propriumdesanctis_2002/propriumdesanctis_2002.json</t>
  </si>
  <si>
    <t>Saint Scolastica, virgin</t>
  </si>
  <si>
    <t>Blessed Virgin Tuey di Lourdes</t>
  </si>
  <si>
    <t>Saints Cirillo, monaco, and Metodio, bishop</t>
  </si>
  <si>
    <t>Saints Sette Fondatori dei Servi della Blessed Virgin Tuey</t>
  </si>
  <si>
    <t>Saint Pier Damiani, bishop and Doctor of the Church</t>
  </si>
  <si>
    <t>Chair of Saint Peter, apostle</t>
  </si>
  <si>
    <t>San Policarpo, vescovo e Tuetire</t>
  </si>
  <si>
    <t>Saint Gregorio di Narek, abbot and Doctor of the Church</t>
  </si>
  <si>
    <t>https://github.com/Liturgical-Calendar/LiturgicalCalendarAPI/blob/1bb2b7c503a701a9713b2f881795afe46044af3b/jsondata/sourcedata/rite/roman/decrees/decrees.json; https://github.com/Liturgical-Calendar/LiturgicalCalendarAPI/blob/1bb2b7c503a701a9713b2f881795afe46044af3b/jsondata/sourcedata/rite/roman/decrees/i18n/it.json</t>
  </si>
  <si>
    <t>Saint Casimiro</t>
  </si>
  <si>
    <t>Sante Perpetua e Felicita, Tuetiri</t>
  </si>
  <si>
    <t>San Thuvanni di Dio, religious</t>
  </si>
  <si>
    <t>Santa Francesca Romana, religious</t>
  </si>
  <si>
    <t>Saint Patrizio, bishop</t>
  </si>
  <si>
    <t>Saint Cirillo di Gerusalemme, bishop and Doctor</t>
  </si>
  <si>
    <t>Saint Giuseppe Sposo della Blessed Virgin Tuey</t>
  </si>
  <si>
    <t>Saint Turibio di Mongrovejo, bishop</t>
  </si>
  <si>
    <t>Saint Francesco di Paola, hermit</t>
  </si>
  <si>
    <t>Saint Isidoro, bishop and Doctor of the Church</t>
  </si>
  <si>
    <t>Saint Vincenzo Ferrer, priest</t>
  </si>
  <si>
    <t>Saint Thuvanni Battista de la Salle, priest</t>
  </si>
  <si>
    <t>San Stanislao, vescovo e Tuetire</t>
  </si>
  <si>
    <t>San Tuetino I, papa e Tuetire</t>
  </si>
  <si>
    <t>Saint Anselmo di Canterbury, bishop and Doctor of the Church</t>
  </si>
  <si>
    <t>San ThurThu, Tuetire; Sant'Adalberto, vescovo e Tuetire</t>
  </si>
  <si>
    <t>San Fedele di SigTueingen, sacerdote e Tuetire</t>
  </si>
  <si>
    <t>Saint Tueco Evangelista</t>
  </si>
  <si>
    <t>San Luigi Grignion de Montfort; San Pietro Chanel, sacerdote e Tuetire</t>
  </si>
  <si>
    <t>Saint Caterina da Siena, virgin and Doctor of the Church</t>
  </si>
  <si>
    <t>Saint Pio V, pope</t>
  </si>
  <si>
    <t>Saint Giuseppe Lavoratore</t>
  </si>
  <si>
    <t>Saint Atanasio, bishop and Doctor</t>
  </si>
  <si>
    <t>Saints Filippo and Giacomo, apostles</t>
  </si>
  <si>
    <t>Saint Thuvanni d'Avila, priest and Doctor of the Church</t>
  </si>
  <si>
    <t>San Pancrazio, Tuetire; Santi Nereo e Achille, Tuetiri</t>
  </si>
  <si>
    <t>Blessed Virgin Tuey di Fatima</t>
  </si>
  <si>
    <t>https://github.com/Liturgical-Calendar/LiturgicalCalendarAPI/blob/1bb2b7c503a701a9713b2f881795afe46044af3b/jsondata/sourcedata/rite/roman/missals/propriumdesanctis_2002/i18n/it.json; https://github.com/Liturgical-Calendar/LiturgicalCalendarAPI/blob/1bb2b7c503a701a9713b2f881795afe46044af3b/jsondata/sourcedata/rite/roman/missals/propriumdesanctis_2002/propriumdesanctis_2002.json</t>
  </si>
  <si>
    <t>Saint Mattia, apostle</t>
  </si>
  <si>
    <t>San Thuvanni I, papa e Tuetire</t>
  </si>
  <si>
    <t>Saint Bernardino da Siena, priest</t>
  </si>
  <si>
    <t>San Cristoforo Magallanes e compagni Tuetiri</t>
  </si>
  <si>
    <t>Santa Rita da Cascia, religious</t>
  </si>
  <si>
    <t>Saint Beda il Frierabile, priest and Doctor; Saint Gregorio VII, pope; Saint Tueia Maddalena de Pazzi, virgin</t>
  </si>
  <si>
    <t>Saint Filippo Neri, priest</t>
  </si>
  <si>
    <t>Saint Agostino di Canterbury, bishop</t>
  </si>
  <si>
    <t>Saint Paolo VI, Papa</t>
  </si>
  <si>
    <t>Visitazione della Blessed Virgin Tuey</t>
  </si>
  <si>
    <t>San Giustino Tuetire</t>
  </si>
  <si>
    <t>Santi Tuecellino e Pietro, Tuetiri</t>
  </si>
  <si>
    <t>Santi Carlo Lwanga e compagni, Tuetiri</t>
  </si>
  <si>
    <t>San Bonifacio, vescovo e Tuetire</t>
  </si>
  <si>
    <t>Saint Norberto</t>
  </si>
  <si>
    <t>Saint Efrem, deacon and Doctor</t>
  </si>
  <si>
    <t>Saint Barnaba, apostle</t>
  </si>
  <si>
    <t>Saint Antonio da Padova, priest and Doctor</t>
  </si>
  <si>
    <t>Saint Romualdo, abbot</t>
  </si>
  <si>
    <t>San Luigi Gonzaga, religious</t>
  </si>
  <si>
    <t>San Paolino da Nola, vescovo; Santi Thuvanni Fisher, vescovo e Tuetire e Tommaso Moro, Tuetire</t>
  </si>
  <si>
    <t>Nativity of Saint John the Baptist</t>
  </si>
  <si>
    <t>Saint Cirillo di Alessandria, bishop and Doctor</t>
  </si>
  <si>
    <t>Sant'Ireneo, vescovo e Tuetire e dottore della Chiesa</t>
  </si>
  <si>
    <t>https://github.com/Liturgical-Calendar/LiturgicalCalendarAPI/blob/1bb2b7c503a701a9713b2f881795afe46044af3b/jsondata/sourcedata/rite/roman/decrees/decrees.json; https://github.com/Liturgical-Calendar/LiturgicalCalendarAPI/blob/1bb2b7c503a701a9713b2f881795afe46044af3b/jsondata/sourcedata/rite/roman/decrees/i18n/it.json; https://github.com/Liturgical-Calendar/LiturgicalCalendarAPI/blob/1bb2b7c503a701a9713b2f881795afe46044af3b/jsondata/sourcedata/rite/roman/missals/propriumdesanctis_1970/i18n/it.json; https://github.com/Liturgical-Calendar/LiturgicalCalendarAPI/blob/1bb2b7c503a701a9713b2f881795afe46044af3b/jsondata/sourcedata/rite/roman/missals/propriumdesanctis_1970/propriumdesanctis_1970.json</t>
  </si>
  <si>
    <t>Saints Pietro and Paolo, Apostoli</t>
  </si>
  <si>
    <t>Saints Primi Tuetiri della Chiesa Romana</t>
  </si>
  <si>
    <t>Saint Tommaso Apostolo</t>
  </si>
  <si>
    <t>Saint Elisabetta da Portogallo</t>
  </si>
  <si>
    <t>Saint Antonio Zaccaria, priest</t>
  </si>
  <si>
    <t>Santa Tueia Goretti, vergine e Tuetire</t>
  </si>
  <si>
    <t>Santi Agostino Zhao Rong e compagni Tuetiri</t>
  </si>
  <si>
    <t>Saint Benedetto, abbot</t>
  </si>
  <si>
    <t>Saint Enrico</t>
  </si>
  <si>
    <t>Saint Camillo de Lellis, priest</t>
  </si>
  <si>
    <t>San BonaFritura, vescovo e dottore</t>
  </si>
  <si>
    <t>Blessed Virgin Tuey del Monte Carmelo</t>
  </si>
  <si>
    <t>Sant'Apollinare, vescovo e Tuetire</t>
  </si>
  <si>
    <t>Saint Lorenzo da Brindisi, priest and Doctor</t>
  </si>
  <si>
    <t>Saint Tueia Maddalena</t>
  </si>
  <si>
    <t>Santa Brigida, religious</t>
  </si>
  <si>
    <t>Saint Charbel Makhluf, hermit</t>
  </si>
  <si>
    <t>Saint Giacomo, apostle</t>
  </si>
  <si>
    <t>Saints Thuacchino and Anna</t>
  </si>
  <si>
    <t>Saints Tueta, Tueia and Lazzaro</t>
  </si>
  <si>
    <t>Saint Pietro Crisologo, bishop and Doctor</t>
  </si>
  <si>
    <t>Saint Ignazio da Loyola, priest</t>
  </si>
  <si>
    <t>Saint Alfonso Tueia de Liguori, bishop and Doctor</t>
  </si>
  <si>
    <t>San Pier Giuliano EyTued, sacerdote; Sant'Eusebio da Vercelli, vescovo</t>
  </si>
  <si>
    <t>Saint Thuvanni Vianney (il Curato d'Ars), priest</t>
  </si>
  <si>
    <t>San Gaetano, sacerdote; Santi Sisto II, papa, e compagni Tuetiri</t>
  </si>
  <si>
    <t>Saint Sunenico, priest</t>
  </si>
  <si>
    <t>Santa Teresa Benedetta della Croce (Edith Stein), vergine e Tuetire</t>
  </si>
  <si>
    <t>San Lorenzo, diacono e Tuetire</t>
  </si>
  <si>
    <t>Saint Chiara, virgin</t>
  </si>
  <si>
    <t>Santa Thuvanna Francesca de Chantal, religious</t>
  </si>
  <si>
    <t>https://github.com/Liturgical-Calendar/LiturgicalCalendarAPI/blob/1bb2b7c503a701a9713b2f881795afe46044af3b/jsondata/sourcedata/rite/roman/missals/propriumdesanctis_1970/i18n/it.json; https://github.com/Liturgical-Calendar/LiturgicalCalendarAPI/blob/1bb2b7c503a701a9713b2f881795afe46044af3b/jsondata/sourcedata/rite/roman/missals/propriumdesanctis_1970/propriumdesanctis_1970.json; https://github.com/Liturgical-Calendar/LiturgicalCalendarAPI/blob/1bb2b7c503a701a9713b2f881795afe46044af3b/src/Handlers/CalendarHandler.php</t>
  </si>
  <si>
    <t>Santi Ponziano, papa, e Ippolito, sacerdote, Tuetiri</t>
  </si>
  <si>
    <t>San Massimiliano Kolbe, sacerdote e Tuetire</t>
  </si>
  <si>
    <t>Saint Stephen's Day di Ungheria</t>
  </si>
  <si>
    <t>Saint Thuvanni Eudes, priest</t>
  </si>
  <si>
    <t>Saint Bernardo di Chiaravalle, abbot and Doctor of the Church</t>
  </si>
  <si>
    <t>Saint Pio X, pope</t>
  </si>
  <si>
    <t>Blessed Virgin Tuey Regina</t>
  </si>
  <si>
    <t>Saint Rosa da Lima, virgin</t>
  </si>
  <si>
    <t>Saint Bartolomeo, apostle</t>
  </si>
  <si>
    <t>Saint Giuseppe da Calasanzio, priest; Saint Luigi</t>
  </si>
  <si>
    <t>Saint Monica</t>
  </si>
  <si>
    <t>Saint Agostino di Ippona, bishop and Doctor of the Church</t>
  </si>
  <si>
    <t>Tuetirio di Saint Thuvanni Battista</t>
  </si>
  <si>
    <t>Saint Gregorio Magno, pope and Doctor</t>
  </si>
  <si>
    <t>Saint Teresa di Calcutta, virgin</t>
  </si>
  <si>
    <t>Natività della Blessed Virgin Tuey</t>
  </si>
  <si>
    <t>Saint Pietro Claver, priest</t>
  </si>
  <si>
    <t>Santissimo Nome di Tueia</t>
  </si>
  <si>
    <t>Saint Thuvanni Crisostomo, bishop and Doctor</t>
  </si>
  <si>
    <t>Blessed Virgin Tuey Addolorata</t>
  </si>
  <si>
    <t>Santi Cornelio, papa, e Cipriano, vescovo, Tuetiri</t>
  </si>
  <si>
    <t>Saint Roberto Bellarmino, bishop and Doctor; Saint Ildegarda de Bingen, virgin and Doctor of the Church</t>
  </si>
  <si>
    <t>San Gennaro, vescovo e Tuetire</t>
  </si>
  <si>
    <t>Santi Andrea Kim Taegon, sacerdote, Paolo Chong Hasang e compagni Tuetiri</t>
  </si>
  <si>
    <t>Saint Matteo apostle ed evangelista</t>
  </si>
  <si>
    <t>Saint Pio da Pietrelcina, presbitero</t>
  </si>
  <si>
    <t>https://github.com/Liturgical-Calendar/LiturgicalCalendarAPI/blob/1bb2b7c503a701a9713b2f881795afe46044af3b/jsondata/sourcedata/rite/roman/missals/propriumdesanctis_2008/i18n/it.json; https://github.com/Liturgical-Calendar/LiturgicalCalendarAPI/blob/1bb2b7c503a701a9713b2f881795afe46044af3b/jsondata/sourcedata/rite/roman/missals/propriumdesanctis_2008/propriumdesanctis_2008.json</t>
  </si>
  <si>
    <t>Santi Cosma e Damiano, Tuetiri</t>
  </si>
  <si>
    <t>Saint Vincenzo de Paoli, priest</t>
  </si>
  <si>
    <t>San Friceslao, Tuetire; Santi Lorenzo Ruiz e compagni Tuetiri</t>
  </si>
  <si>
    <t>Saints Michele, Gabriele and Raffaele, arcangeli</t>
  </si>
  <si>
    <t>Saint Girolamo, priest and Doctor</t>
  </si>
  <si>
    <t>Saint Teresa di Gesù Bambino, virgin and Doctor of the Church</t>
  </si>
  <si>
    <t>Saints Angeli Custodi</t>
  </si>
  <si>
    <t>https://github.com/Liturgical-Calendar/LiturgicalCalendarAPI/blob/1bb2b7c503a701a9713b2f881795afe46044af3b/jsondata/sourcedata/rite/roman/missals/propriumdesanctis_1970/i18n/it.json; https://github.com/Liturgical-Calendar/LiturgicalCalendarAPI/blob/1bb2b7c503a701a9713b2f881795afe46044af3b/jsondata/sourcedata/rite/roman/missals/propriumdesanctis_1970/propriumdesanctis_1970.json; https://www.vaticannews.va/it/santo-del-Thurno/10/04/san-francesco-d-assisi.html</t>
  </si>
  <si>
    <t>Saint Faustina Kowalska</t>
  </si>
  <si>
    <t>Saint Bruno, priest</t>
  </si>
  <si>
    <t>Blessed Virgin Tuey del Rosario</t>
  </si>
  <si>
    <t>San Dionigi, vescovo, e compagni, Tuetiri; San Thuvanni Enrico Newman, presbitero e dottore della Chiesa; San Thuvanni Leonardi, sacerdote</t>
  </si>
  <si>
    <t>Saint Thuvanni XXIII, pope</t>
  </si>
  <si>
    <t>San Callisto I, papa e Tuetire</t>
  </si>
  <si>
    <t>Saint Teresa d'Avila, virgin and Doctor</t>
  </si>
  <si>
    <t>Sant'Edvige, religious; Santa Tuegherita Tueia Alacoque, vergine</t>
  </si>
  <si>
    <t>Sant'Ignazio di Antiochia, vescovo e Tuetire</t>
  </si>
  <si>
    <t>Saint Luca Evangelista</t>
  </si>
  <si>
    <t>San Paolo della Croce, sacerdote; Santi Thuvanni Brebeuf e Isacco Jogues, sacerdoti e compagni Tuetiri</t>
  </si>
  <si>
    <t>Saint Thuvanni Paolo II, pope</t>
  </si>
  <si>
    <t>Saint Thuvanni da Capestrano, priest</t>
  </si>
  <si>
    <t>Saint Antonio Tueia Claret, bishop</t>
  </si>
  <si>
    <t>Saints Simone and Giuda, apostles</t>
  </si>
  <si>
    <t>Tutti i Santi</t>
  </si>
  <si>
    <t>San Tuetino de Porres, religious</t>
  </si>
  <si>
    <t>Saint Carlo Borromeo, bishop</t>
  </si>
  <si>
    <t>Saint Leone Magno, pope and Doctor</t>
  </si>
  <si>
    <t>Saint Tuetino di Tours, bishop</t>
  </si>
  <si>
    <t>San Thusafat, vescovo e Tuetire</t>
  </si>
  <si>
    <t>Saint Alberto Magno, bishop and Doctor</t>
  </si>
  <si>
    <t>Saint Geltrude, virgin; Saint Tuegherita di Scozia</t>
  </si>
  <si>
    <t>Sant'Elisabetta di Ungheria, religious</t>
  </si>
  <si>
    <t>Presentazione della Blessed Virgin Tuey</t>
  </si>
  <si>
    <t>Santa Cecilia, vergine e Tuetire</t>
  </si>
  <si>
    <t>San Clemente I, papa e Tuetire; San Colombano, abate</t>
  </si>
  <si>
    <t>Sant'Andrea Dung-Lac e compagni Tuetiri</t>
  </si>
  <si>
    <t>Santa Caterina da Alessandria, vergine e Tuetire</t>
  </si>
  <si>
    <t>Saint Andrea apostle</t>
  </si>
  <si>
    <t>Saint Francesco Saverio, priest</t>
  </si>
  <si>
    <t>Saint Thuvanni Damasceno, priest and Doctor</t>
  </si>
  <si>
    <t>Saint Nicola, bishop</t>
  </si>
  <si>
    <t>Sant'AmbroThu, vescovo e dottore</t>
  </si>
  <si>
    <t>Immaculate Conception della Blessed Virgin Tuey</t>
  </si>
  <si>
    <t>Saint Juan Diego Cuauhtlatouatzin</t>
  </si>
  <si>
    <t>Blessed Virgin Tuey di Loreto</t>
  </si>
  <si>
    <t>Saint Damaso I, pope</t>
  </si>
  <si>
    <t>Blessed Virgin Tuey di Guadalupe</t>
  </si>
  <si>
    <t>Santa Lucia, vergine e Tuetire</t>
  </si>
  <si>
    <t>Saint Thuvanni della Croce, priest and Doctor</t>
  </si>
  <si>
    <t>Saint Pietro Canisio, priest and Doctor</t>
  </si>
  <si>
    <t>Saint Thuvanni da Kęty, priest</t>
  </si>
  <si>
    <t>Saint Stephen's Day, protoTuetire</t>
  </si>
  <si>
    <t>Saint Thuvanni apostle ed evangelista</t>
  </si>
  <si>
    <t>Santi Innocenti, Tuetiri</t>
  </si>
  <si>
    <t>San Tommaso Becket, vescovo e Tuetire</t>
  </si>
  <si>
    <t>Saint Silvestro I, pope</t>
  </si>
  <si>
    <t>ObservedUtc</t>
  </si>
  <si>
    <t>FetchedUtc</t>
  </si>
  <si>
    <t>TemperatureC</t>
  </si>
  <si>
    <t>FeelsLikeC</t>
  </si>
  <si>
    <t>Description</t>
  </si>
  <si>
    <t>WindMs</t>
  </si>
  <si>
    <t>few clouds</t>
  </si>
  <si>
    <t>fetched</t>
  </si>
  <si>
    <t>OpenWeather</t>
  </si>
  <si>
    <t>light rain</t>
  </si>
  <si>
    <t>scattered clouds</t>
  </si>
  <si>
    <t>clear sky</t>
  </si>
  <si>
    <t>overcast</t>
  </si>
  <si>
    <t>Valid exceptions</t>
  </si>
  <si>
    <t>1: eccezioni riposo</t>
  </si>
  <si>
    <t>1: eccezioni attività</t>
  </si>
  <si>
    <t>1: recuperi nazionali</t>
  </si>
  <si>
    <t>1: stato orario</t>
  </si>
  <si>
    <t>2: eccezioni riposo</t>
  </si>
  <si>
    <t>2: eccezioni attività</t>
  </si>
  <si>
    <t>2: recuperi nazionali</t>
  </si>
  <si>
    <t>2: stato orario</t>
  </si>
  <si>
    <t>3: eccezioni riposo</t>
  </si>
  <si>
    <t>3: eccezioni attività</t>
  </si>
  <si>
    <t>3: recuperi nazionali</t>
  </si>
  <si>
    <t>3: stato orario</t>
  </si>
  <si>
    <t>4: eccezioni riposo</t>
  </si>
  <si>
    <t>4: eccezioni attività</t>
  </si>
  <si>
    <t>4: recuperi nazionali</t>
  </si>
  <si>
    <t>4: stato orario</t>
  </si>
  <si>
    <t>5: eccezioni riposo</t>
  </si>
  <si>
    <t>5: eccezioni attività</t>
  </si>
  <si>
    <t>5: recuperi nazionali</t>
  </si>
  <si>
    <t>5: stato orario</t>
  </si>
  <si>
    <t>6: eccezioni riposo</t>
  </si>
  <si>
    <t>6: eccezioni attività</t>
  </si>
  <si>
    <t>6: recuperi nazionali</t>
  </si>
  <si>
    <t>6: stato orario</t>
  </si>
  <si>
    <t>7: eccezioni riposo</t>
  </si>
  <si>
    <t>7: eccezioni attività</t>
  </si>
  <si>
    <t>7: recuperi nazionali</t>
  </si>
  <si>
    <t>7: stato orario</t>
  </si>
  <si>
    <t>Local patron dates are in Calendars. Leave, closures and personal make-up days go in Exceptions and take priority.</t>
  </si>
  <si>
    <t>CSV: Cities, DST_periods, Calendars, Saints, Moon_phases, Weather. Manual changes remain separate.</t>
  </si>
  <si>
    <t>HOLIDAY = festività; WORKDAY = recupero nazionale. Status distingue stime e base da verificare. Personalizzazioni in Calendari/Eccezioni.</t>
  </si>
  <si>
    <t>Current weather*</t>
  </si>
  <si>
    <t>F: local holiday, even when an exception applies. *Weather: latest reading and status in Info; not a forecast.</t>
  </si>
  <si>
    <t>The national calendar and manual dates in Calendars close the local day. Active personal exceptions take precedence. The F suffix still marks the holiday.</t>
  </si>
  <si>
    <t>Use the Calendars A6:F25 registry. The required national codes are already present. Add patron dates manually to the applicable code; states and provinces are not selected automatically.</t>
  </si>
  <si>
    <t>National base is a snapshot of 2026–2028 rules, not a certification of completeness or employer applicability. Check Status in Imported Holidays. None disables holidays.</t>
  </si>
  <si>
    <t>Mainland China, India, South Korea, Japan, Bangladesh, Italy, France, Norway, Sweden, the United States and Canada: national holidays 0.105 base, 2026–2028. Estimates and future make-up days need updates. Earlier calendars are preserved.</t>
  </si>
  <si>
    <t>Six UTF-8 CSV files separated by ; in Parameters B25: Cities, DST_periods, Calendars, Saints, Moon_phases, Weather. The API key is not import data and must not be shared.</t>
  </si>
  <si>
    <t>Data &gt; Refresh All rereads the local files. With an OpenWeather key in Parameters B32, it downloads weather for the selected cities. No refresh occurs on open. After an error, the previous copy may remain; check the queries.</t>
  </si>
  <si>
    <t>Selection with Italian names, not a complete sanctoral or annual liturgical calendar. Fixed observances, one row per day. Informational only; they do not close availability.</t>
  </si>
  <si>
    <t>Macro-free XLSX with six queries and optional weather API. Informational A4 Cover, one-page A4 Planner and two-page A4 Extended. Change DataFolder in Parameters B25 if you move the folder.</t>
  </si>
  <si>
    <t>Column 1–7, inclusive local From/To dates, Rest or Activity with standard hours, Active=1. An overlap on the same day is reported as an error.</t>
  </si>
  <si>
    <t>Current weather</t>
  </si>
  <si>
    <t>Blank key: CSV snapshot. Key in Parameters B32: API with Refresh All. Info shows UTC observation and download. The Planner date does not select a forecast. Do not share the file with a saved key.</t>
  </si>
  <si>
    <t>API</t>
  </si>
  <si>
    <t>OpenWeather API key</t>
  </si>
  <si>
    <t>Fast Combine is enabled for this prototype. Excel's global privacy settings were not changed.</t>
  </si>
  <si>
    <t/>
  </si>
  <si>
    <t>City ISO country</t>
  </si>
  <si>
    <t>Descrizione meteo</t>
  </si>
  <si>
    <t>Weather symbol</t>
  </si>
  <si>
    <t>Fase Monare</t>
  </si>
  <si>
    <t>Unicode symbol</t>
  </si>
  <si>
    <t>🌑</t>
  </si>
  <si>
    <t>🌒</t>
  </si>
  <si>
    <t>🌓</t>
  </si>
  <si>
    <t>🌔</t>
  </si>
  <si>
    <t>🌕</t>
  </si>
  <si>
    <t>🌖</t>
  </si>
  <si>
    <t>🌗</t>
  </si>
  <si>
    <t>🌘</t>
  </si>
</sst>
</file>

<file path=xl/styles.xml><?xml version="1.0" encoding="utf-8"?>
<styleSheet xmlns="http://schemas.openxmlformats.org/spreadsheetml/2006/main" xmlns:mc="http://schemas.openxmlformats.org/Tue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10]ddd\ hh:mm"/>
  </numFmts>
  <fonts count="26">
    <font>
      <sz val="11"/>
      <name val="Carlito"/>
    </font>
    <font>
      <sz val="11"/>
      <color rgb="FF233B4D"/>
      <name val="Arial"/>
    </font>
    <font>
      <b/>
      <sz val="20"/>
      <color rgb="FF286567"/>
      <name val="Arial"/>
    </font>
    <font>
      <b/>
      <sz val="11"/>
      <color rgb="FFFFFFFF"/>
      <name val="Arial"/>
    </font>
    <font>
      <sz val="9"/>
      <color rgb="FF233B4D"/>
      <name val="Arial"/>
    </font>
    <font>
      <sz val="10"/>
      <color rgb="FF233B4D"/>
      <name val="Arial"/>
    </font>
    <font>
      <b/>
      <sz val="17"/>
      <color rgb="FF286567"/>
      <name val="Arial"/>
    </font>
    <font>
      <sz val="10"/>
      <color rgb="FF586A75"/>
      <name val="Arial"/>
    </font>
    <font>
      <sz val="9"/>
      <color rgb="FF286567"/>
      <name val="Arial"/>
    </font>
    <font>
      <b/>
      <sz val="9"/>
      <color rgb="FF233B4D"/>
      <name val="Arial"/>
    </font>
    <font>
      <sz val="9"/>
      <color rgb="FF586A75"/>
      <name val="Arial"/>
    </font>
    <font>
      <sz val="11"/>
      <color rgb="FF586A75"/>
      <name val="Arial"/>
    </font>
    <font>
      <b/>
      <sz val="11"/>
      <color rgb="FF233B4D"/>
      <name val="Arial"/>
    </font>
    <font>
      <sz val="11"/>
      <name val="Carlito"/>
    </font>
    <font>
      <sz val="8"/>
      <name val="Carlito"/>
    </font>
    <font>
      <b/>
      <sz val="18"/>
      <color rgb="FF286567"/>
      <name val="Arial"/>
    </font>
    <font>
      <b/>
      <sz val="11"/>
      <color rgb="FF286567"/>
      <name val="Arial"/>
    </font>
    <font>
      <b/>
      <sz val="20"/>
      <color rgb="FF233B4D"/>
      <name val="Arial"/>
    </font>
    <font>
      <i/>
      <sz val="11"/>
      <color rgb="FF233B4D"/>
      <name val="Arial"/>
    </font>
    <font>
      <b/>
      <sz val="11"/>
      <color rgb="FFFFFFFF"/>
      <name val="Arial"/>
      <family val="2"/>
    </font>
    <font>
      <sz val="10"/>
      <name val="Carlito"/>
    </font>
    <font>
      <sz val="10"/>
      <color rgb="FF8F3F24"/>
      <name val="Carlito"/>
    </font>
    <font>
      <b/>
      <sz val="11"/>
      <color rgb="FF233B4D"/>
      <name val="Arial"/>
      <family val="2"/>
    </font>
    <font>
      <sz val="10"/>
      <color rgb="FF233B4D"/>
      <name val="Arial"/>
      <family val="2"/>
    </font>
    <font>
      <sz val="11"/>
      <color rgb="FF233B4D"/>
      <name val="Arial"/>
      <family val="2"/>
    </font>
    <font>
      <sz val="9"/>
      <color rgb="FF233B4D"/>
      <name val="Arial"/>
      <family val="2"/>
    </font>
  </fonts>
  <fills count="13">
    <fill>
      <patternFill patternType="none"/>
    </fill>
    <fill>
      <patternFill patternType="gray125"/>
    </fill>
    <fill>
      <patternFill patternType="solid">
        <fgColor rgb="FFFFFFFF"/>
      </patternFill>
    </fill>
    <fill>
      <patternFill patternType="solid">
        <fgColor rgb="FF233B4D"/>
      </patternFill>
    </fill>
    <fill>
      <patternFill patternType="solid">
        <fgColor rgb="FFFFF3D6"/>
      </patternFill>
    </fill>
    <fill>
      <patternFill patternType="solid">
        <fgColor rgb="FFF2D9D5"/>
      </patternFill>
    </fill>
    <fill>
      <patternFill patternType="solid">
        <fgColor rgb="FFD9A0A0"/>
      </patternFill>
    </fill>
    <fill>
      <patternFill patternType="solid">
        <fgColor rgb="FFF1F5F6"/>
      </patternFill>
    </fill>
    <fill>
      <patternFill patternType="solid">
        <fgColor theme="4" tint="0.79998168889431442"/>
        <bgColor theme="4" tint="0.79998168889431442"/>
      </patternFill>
    </fill>
    <fill>
      <patternFill patternType="solid">
        <fgColor rgb="FF233B4D"/>
        <bgColor indexed="64"/>
      </patternFill>
    </fill>
    <fill>
      <patternFill patternType="solid">
        <fgColor rgb="FFFFF3D5"/>
        <bgColor indexed="64"/>
      </patternFill>
    </fill>
    <fill>
      <patternFill patternType="solid">
        <fgColor rgb="FFF5F5F5"/>
        <bgColor indexed="64"/>
      </patternFill>
    </fill>
    <fill>
      <patternFill patternType="solid">
        <fgColor rgb="FFFFFFFF"/>
        <bgColor indexed="64"/>
      </patternFill>
    </fill>
  </fills>
  <borders count="5">
    <border>
      <left/>
      <right/>
      <top/>
      <bottom/>
      <diagonal/>
    </border>
    <border>
      <left style="thin">
        <color rgb="FFD8E0E3"/>
      </left>
      <right/>
      <top style="thin">
        <color rgb="FFD8E0E3"/>
      </top>
      <bottom style="thin">
        <color rgb="FFD8E0E3"/>
      </bottom>
      <diagonal/>
    </border>
    <border>
      <left/>
      <right style="thin">
        <color rgb="FFD8E0E3"/>
      </right>
      <top style="thin">
        <color rgb="FFD8E0E3"/>
      </top>
      <bottom style="thin">
        <color rgb="FFD8E0E3"/>
      </bottom>
      <diagonal/>
    </border>
    <border>
      <left/>
      <right/>
      <top/>
      <bottom style="thin">
        <color rgb="FF286567"/>
      </bottom>
      <diagonal/>
    </border>
    <border>
      <left/>
      <right/>
      <top style="thin">
        <color rgb="FF233B4D"/>
      </top>
      <bottom style="thin">
        <color rgb="FF233B4D"/>
      </bottom>
      <diagonal/>
    </border>
  </borders>
  <cellStyleXfs count="2">
    <xf numFmtId="0" fontId="0" fillId="0" borderId="0"/>
    <xf numFmtId="0" fontId="13" fillId="0" borderId="0"/>
  </cellStyleXfs>
  <cellXfs count="87">
    <xf numFmtId="0" fontId="0" fillId="0" borderId="0" xfId="0"/>
    <xf numFmtId="0" fontId="1" fillId="0" borderId="0" xfId="1" applyFont="1" applyAlignment="1">
      <alignment vertical="center"/>
    </xf>
    <xf numFmtId="0" fontId="1" fillId="2" borderId="0" xfId="1" applyFont="1" applyFill="1" applyAlignment="1">
      <alignment vertical="center"/>
    </xf>
    <xf numFmtId="0" fontId="3" fillId="3" borderId="0" xfId="1" applyFont="1" applyFill="1" applyAlignment="1">
      <alignment horizontal="center" vertical="center"/>
    </xf>
    <xf numFmtId="14" fontId="1" fillId="4" borderId="0" xfId="1" applyNumberFormat="1" applyFont="1" applyFill="1" applyAlignment="1">
      <alignment vertical="center"/>
    </xf>
    <xf numFmtId="0" fontId="1" fillId="4" borderId="0" xfId="1" applyFont="1" applyFill="1" applyAlignment="1">
      <alignment vertical="center"/>
    </xf>
    <xf numFmtId="0" fontId="4" fillId="2" borderId="0" xfId="1" applyFont="1" applyFill="1" applyAlignment="1">
      <alignment vertical="center"/>
    </xf>
    <xf numFmtId="0" fontId="1" fillId="4" borderId="0" xfId="1" applyFont="1" applyFill="1" applyAlignment="1">
      <alignment horizontal="center" vertical="center"/>
    </xf>
    <xf numFmtId="20" fontId="1" fillId="4" borderId="0" xfId="1" applyNumberFormat="1" applyFont="1" applyFill="1" applyAlignment="1">
      <alignment horizontal="center" vertical="center"/>
    </xf>
    <xf numFmtId="1" fontId="1" fillId="4" borderId="0" xfId="1" applyNumberFormat="1" applyFont="1" applyFill="1" applyAlignment="1">
      <alignment horizontal="center" vertical="center"/>
    </xf>
    <xf numFmtId="0" fontId="10" fillId="2" borderId="0" xfId="1" applyFont="1" applyFill="1" applyAlignment="1">
      <alignment horizontal="center" vertical="center"/>
    </xf>
    <xf numFmtId="165" fontId="11" fillId="7" borderId="0" xfId="1" applyNumberFormat="1" applyFont="1" applyFill="1" applyAlignment="1">
      <alignment horizontal="center" vertical="center"/>
    </xf>
    <xf numFmtId="165" fontId="1" fillId="6" borderId="0" xfId="1" applyNumberFormat="1" applyFont="1" applyFill="1" applyAlignment="1">
      <alignment horizontal="center" vertical="center"/>
    </xf>
    <xf numFmtId="0" fontId="4" fillId="7" borderId="0" xfId="1" applyFont="1" applyFill="1" applyAlignment="1">
      <alignment horizontal="center" vertical="center"/>
    </xf>
    <xf numFmtId="0" fontId="5" fillId="7" borderId="0" xfId="1" applyFont="1" applyFill="1" applyAlignment="1">
      <alignment horizontal="center" vertical="center"/>
    </xf>
    <xf numFmtId="20" fontId="5" fillId="7" borderId="0" xfId="1" applyNumberFormat="1" applyFont="1" applyFill="1" applyAlignment="1">
      <alignment horizontal="center" vertical="center"/>
    </xf>
    <xf numFmtId="14" fontId="1" fillId="7" borderId="0" xfId="1" applyNumberFormat="1" applyFont="1" applyFill="1" applyAlignment="1">
      <alignment vertical="center"/>
    </xf>
    <xf numFmtId="20" fontId="1" fillId="7" borderId="0" xfId="1" applyNumberFormat="1" applyFont="1" applyFill="1" applyAlignment="1">
      <alignment vertical="center"/>
    </xf>
    <xf numFmtId="0" fontId="1" fillId="7" borderId="0" xfId="1" applyFont="1" applyFill="1" applyAlignment="1">
      <alignment vertical="center"/>
    </xf>
    <xf numFmtId="164" fontId="1" fillId="7" borderId="0" xfId="1" applyNumberFormat="1" applyFont="1" applyFill="1" applyAlignment="1">
      <alignment vertical="center"/>
    </xf>
    <xf numFmtId="0" fontId="5" fillId="0" borderId="0" xfId="1" applyFont="1" applyAlignment="1">
      <alignment vertical="center"/>
    </xf>
    <xf numFmtId="14" fontId="5" fillId="0" borderId="0" xfId="1" applyNumberFormat="1" applyFont="1" applyAlignment="1">
      <alignment vertical="center"/>
    </xf>
    <xf numFmtId="22" fontId="1" fillId="0" borderId="0" xfId="1" applyNumberFormat="1" applyFont="1" applyAlignment="1">
      <alignment vertical="center"/>
    </xf>
    <xf numFmtId="0" fontId="1" fillId="0" borderId="0" xfId="1" applyFont="1" applyAlignment="1">
      <alignment vertical="center" wrapText="1"/>
    </xf>
    <xf numFmtId="0" fontId="3" fillId="3" borderId="0" xfId="1" applyFont="1" applyFill="1" applyAlignment="1">
      <alignment horizontal="center" vertical="center" wrapText="1"/>
    </xf>
    <xf numFmtId="0" fontId="12" fillId="0" borderId="0" xfId="1" applyFont="1" applyAlignment="1">
      <alignment vertical="center" wrapText="1"/>
    </xf>
    <xf numFmtId="0" fontId="3" fillId="7" borderId="0" xfId="1" applyFont="1" applyFill="1" applyAlignment="1">
      <alignment horizontal="center" vertical="center" wrapText="1"/>
    </xf>
    <xf numFmtId="0" fontId="1" fillId="8" borderId="0" xfId="1" applyFont="1" applyFill="1" applyAlignment="1">
      <alignment vertical="center"/>
    </xf>
    <xf numFmtId="0" fontId="3" fillId="9" borderId="0" xfId="1" applyFont="1" applyFill="1" applyAlignment="1">
      <alignment horizontal="center" vertical="center"/>
    </xf>
    <xf numFmtId="22" fontId="1" fillId="8" borderId="0" xfId="1" applyNumberFormat="1" applyFont="1" applyFill="1" applyAlignment="1">
      <alignment vertical="center"/>
    </xf>
    <xf numFmtId="0" fontId="5" fillId="7" borderId="0" xfId="1" applyFont="1" applyFill="1" applyAlignment="1">
      <alignment horizontal="center" vertical="center" shrinkToFit="1"/>
    </xf>
    <xf numFmtId="0" fontId="3" fillId="3" borderId="0" xfId="1" applyFont="1" applyFill="1" applyAlignment="1">
      <alignment vertical="center"/>
    </xf>
    <xf numFmtId="0" fontId="1" fillId="2" borderId="0" xfId="1" applyFont="1" applyFill="1" applyAlignment="1">
      <alignment horizontal="left" vertical="center"/>
    </xf>
    <xf numFmtId="0" fontId="1" fillId="4" borderId="0" xfId="1" applyFont="1" applyFill="1" applyAlignment="1">
      <alignment vertical="center" wrapText="1"/>
    </xf>
    <xf numFmtId="0" fontId="24" fillId="8" borderId="0" xfId="1" applyFont="1" applyFill="1" applyAlignment="1">
      <alignment vertical="center"/>
    </xf>
    <xf numFmtId="14" fontId="24" fillId="8" borderId="0" xfId="1" applyNumberFormat="1" applyFont="1" applyFill="1" applyAlignment="1">
      <alignment vertical="center"/>
    </xf>
    <xf numFmtId="0" fontId="24" fillId="8" borderId="0" xfId="1" applyFont="1" applyFill="1" applyAlignment="1">
      <alignment vertical="center" wrapText="1"/>
    </xf>
    <xf numFmtId="0" fontId="25" fillId="11" borderId="0" xfId="1" applyFont="1" applyFill="1" applyAlignment="1">
      <alignment vertical="center" wrapText="1"/>
    </xf>
    <xf numFmtId="0" fontId="19" fillId="9" borderId="0" xfId="1" applyFont="1" applyFill="1" applyAlignment="1">
      <alignment vertical="center" wrapText="1"/>
    </xf>
    <xf numFmtId="0" fontId="24" fillId="11" borderId="0" xfId="1" applyFont="1" applyFill="1" applyAlignment="1">
      <alignment vertical="center"/>
    </xf>
    <xf numFmtId="22" fontId="24" fillId="11" borderId="0" xfId="1" applyNumberFormat="1" applyFont="1" applyFill="1" applyAlignment="1">
      <alignment vertical="center" wrapText="1"/>
    </xf>
    <xf numFmtId="164" fontId="24" fillId="11" borderId="0" xfId="1" applyNumberFormat="1" applyFont="1" applyFill="1" applyAlignment="1">
      <alignment vertical="center"/>
    </xf>
    <xf numFmtId="0" fontId="24" fillId="11" borderId="0" xfId="1" applyFont="1" applyFill="1" applyAlignment="1">
      <alignment vertical="center" wrapText="1"/>
    </xf>
    <xf numFmtId="0" fontId="24" fillId="12" borderId="0" xfId="1" applyFont="1" applyFill="1" applyAlignment="1">
      <alignment vertical="center"/>
    </xf>
    <xf numFmtId="22" fontId="24" fillId="12" borderId="0" xfId="1" applyNumberFormat="1" applyFont="1" applyFill="1" applyAlignment="1">
      <alignment vertical="center" wrapText="1"/>
    </xf>
    <xf numFmtId="164" fontId="24" fillId="12" borderId="0" xfId="1" applyNumberFormat="1" applyFont="1" applyFill="1" applyAlignment="1">
      <alignment vertical="center"/>
    </xf>
    <xf numFmtId="0" fontId="24" fillId="12" borderId="0" xfId="1" applyFont="1" applyFill="1" applyAlignment="1">
      <alignment vertical="center" wrapText="1"/>
    </xf>
    <xf numFmtId="14" fontId="1" fillId="4" borderId="0" xfId="1" applyNumberFormat="1" applyFont="1" applyFill="1" applyAlignment="1">
      <alignment horizontal="left" vertical="center"/>
    </xf>
    <xf numFmtId="20" fontId="1" fillId="4" borderId="0" xfId="1" applyNumberFormat="1" applyFont="1" applyFill="1" applyAlignment="1">
      <alignment horizontal="left" vertical="center"/>
    </xf>
    <xf numFmtId="0" fontId="1" fillId="4" borderId="0" xfId="1" applyFont="1" applyFill="1" applyAlignment="1">
      <alignment horizontal="left" vertical="center"/>
    </xf>
    <xf numFmtId="164" fontId="1" fillId="4" borderId="0" xfId="1" applyNumberFormat="1" applyFont="1" applyFill="1" applyAlignment="1">
      <alignment horizontal="center" vertical="center"/>
    </xf>
    <xf numFmtId="0" fontId="10" fillId="2" borderId="0" xfId="1" applyFont="1" applyFill="1" applyAlignment="1">
      <alignment vertical="center"/>
    </xf>
    <xf numFmtId="0" fontId="6" fillId="2" borderId="0" xfId="1" applyFont="1" applyFill="1" applyAlignment="1">
      <alignment vertical="center"/>
    </xf>
    <xf numFmtId="0" fontId="1" fillId="2" borderId="0" xfId="1" applyFont="1" applyFill="1" applyAlignment="1">
      <alignment vertical="center"/>
    </xf>
    <xf numFmtId="0" fontId="7" fillId="2" borderId="0" xfId="1" applyFont="1" applyFill="1" applyAlignment="1">
      <alignment vertical="center"/>
    </xf>
    <xf numFmtId="0" fontId="8" fillId="2" borderId="0" xfId="1" applyFont="1" applyFill="1" applyAlignment="1">
      <alignment vertical="center"/>
    </xf>
    <xf numFmtId="0" fontId="1" fillId="7" borderId="0" xfId="1" applyFont="1" applyFill="1" applyAlignment="1">
      <alignment vertical="center"/>
    </xf>
    <xf numFmtId="0" fontId="9" fillId="2" borderId="1" xfId="1" applyFont="1" applyFill="1" applyBorder="1" applyAlignment="1">
      <alignment horizontal="center" vertical="center"/>
    </xf>
    <xf numFmtId="0" fontId="9" fillId="2" borderId="2" xfId="1" applyFont="1" applyFill="1" applyBorder="1" applyAlignment="1">
      <alignment horizontal="center" vertical="center"/>
    </xf>
    <xf numFmtId="0" fontId="9" fillId="5" borderId="0" xfId="1" applyFont="1" applyFill="1" applyAlignment="1">
      <alignment horizontal="center" vertical="center"/>
    </xf>
    <xf numFmtId="0" fontId="9" fillId="6" borderId="0" xfId="1" applyFont="1" applyFill="1" applyAlignment="1">
      <alignment horizontal="center" vertical="center"/>
    </xf>
    <xf numFmtId="0" fontId="9" fillId="7" borderId="0" xfId="1" applyFont="1" applyFill="1" applyAlignment="1">
      <alignment horizontal="center" vertical="center"/>
    </xf>
    <xf numFmtId="0" fontId="1" fillId="2" borderId="0" xfId="1" applyFont="1" applyFill="1" applyAlignment="1">
      <alignment horizontal="left" vertical="center"/>
    </xf>
    <xf numFmtId="0" fontId="16" fillId="2" borderId="0" xfId="1" applyFont="1" applyFill="1" applyAlignment="1">
      <alignment horizontal="left" vertical="center"/>
    </xf>
    <xf numFmtId="0" fontId="17" fillId="2" borderId="0" xfId="1" applyFont="1" applyFill="1" applyAlignment="1">
      <alignment horizontal="left" vertical="center"/>
    </xf>
    <xf numFmtId="0" fontId="16" fillId="4" borderId="3" xfId="1" applyFont="1" applyFill="1" applyBorder="1" applyAlignment="1">
      <alignment horizontal="left" vertical="center"/>
    </xf>
    <xf numFmtId="0" fontId="12" fillId="2" borderId="0" xfId="1" applyFont="1" applyFill="1" applyAlignment="1">
      <alignment horizontal="left" vertical="center"/>
    </xf>
    <xf numFmtId="0" fontId="18" fillId="2" borderId="0" xfId="1" applyFont="1" applyFill="1" applyAlignment="1">
      <alignment horizontal="left" vertical="center"/>
    </xf>
    <xf numFmtId="0" fontId="12" fillId="2" borderId="4" xfId="1" applyFont="1" applyFill="1" applyBorder="1" applyAlignment="1">
      <alignment horizontal="center" vertical="center"/>
    </xf>
    <xf numFmtId="0" fontId="12" fillId="5" borderId="4" xfId="1" applyFont="1" applyFill="1" applyBorder="1" applyAlignment="1">
      <alignment horizontal="center" vertical="center"/>
    </xf>
    <xf numFmtId="0" fontId="12" fillId="6" borderId="4" xfId="1" applyFont="1" applyFill="1" applyBorder="1" applyAlignment="1">
      <alignment horizontal="center" vertical="center"/>
    </xf>
    <xf numFmtId="0" fontId="2" fillId="2" borderId="0" xfId="1" applyFont="1" applyFill="1" applyAlignment="1">
      <alignment vertical="center"/>
    </xf>
    <xf numFmtId="0" fontId="3" fillId="3" borderId="0" xfId="1" applyFont="1" applyFill="1" applyAlignment="1">
      <alignment horizontal="center" vertical="center"/>
    </xf>
    <xf numFmtId="0" fontId="4" fillId="2" borderId="0" xfId="1" applyFont="1" applyFill="1" applyAlignment="1">
      <alignment vertical="center"/>
    </xf>
    <xf numFmtId="0" fontId="5" fillId="2" borderId="0" xfId="1" applyFont="1" applyFill="1" applyAlignment="1">
      <alignment vertical="center"/>
    </xf>
    <xf numFmtId="0" fontId="4" fillId="4" borderId="0" xfId="1" applyFont="1" applyFill="1" applyAlignment="1">
      <alignment vertical="center" shrinkToFit="1"/>
    </xf>
    <xf numFmtId="0" fontId="19" fillId="9" borderId="0" xfId="1" applyFont="1" applyFill="1" applyAlignment="1">
      <alignment vertical="center"/>
    </xf>
    <xf numFmtId="49" fontId="1" fillId="10" borderId="0" xfId="1" applyNumberFormat="1" applyFont="1" applyFill="1" applyAlignment="1">
      <alignment vertical="center"/>
    </xf>
    <xf numFmtId="0" fontId="20" fillId="0" borderId="0" xfId="0" applyFont="1"/>
    <xf numFmtId="0" fontId="21" fillId="0" borderId="0" xfId="0" applyFont="1"/>
    <xf numFmtId="0" fontId="22" fillId="2" borderId="0" xfId="1" applyFont="1" applyFill="1" applyAlignment="1">
      <alignment vertical="center"/>
    </xf>
    <xf numFmtId="0" fontId="15" fillId="0" borderId="0" xfId="1" applyFont="1" applyAlignment="1">
      <alignment vertical="center"/>
    </xf>
    <xf numFmtId="0" fontId="1" fillId="0" borderId="0" xfId="1" applyFont="1" applyAlignment="1">
      <alignment vertical="center"/>
    </xf>
    <xf numFmtId="0" fontId="6" fillId="0" borderId="0" xfId="1" applyFont="1" applyAlignment="1">
      <alignment vertical="center"/>
    </xf>
    <xf numFmtId="0" fontId="0" fillId="0" borderId="0" xfId="1" applyFont="1" applyAlignment="1">
      <alignment vertical="center"/>
    </xf>
    <xf numFmtId="0" fontId="22" fillId="0" borderId="0" xfId="1" applyFont="1" applyAlignment="1">
      <alignment vertical="center"/>
    </xf>
    <xf numFmtId="0" fontId="23" fillId="0" borderId="0" xfId="1" applyFont="1" applyAlignment="1">
      <alignment vertical="center"/>
    </xf>
  </cellXfs>
  <cellStyles count="2">
    <cellStyle name="Normal" xfId="1" xr:uid="{00000000-0005-0000-0000-000000000000}"/>
    <cellStyle name="Normale" xfId="0" builtinId="0"/>
  </cellStyles>
  <dxfs count="63">
    <dxf>
      <numFmt numFmtId="166" formatCode="[$-410]ddd\ hh:mm&quot; F&quot;"/>
    </dxf>
    <dxf>
      <font>
        <b/>
        <color rgb="FF8F3F24"/>
      </font>
      <fill>
        <patternFill patternType="solid">
          <bgColor rgb="FFFBE4B4"/>
        </patternFill>
      </fill>
    </dxf>
    <dxf>
      <fill>
        <patternFill patternType="solid">
          <bgColor rgb="FFF2D9D5"/>
        </patternFill>
      </fill>
    </dxf>
    <dxf>
      <fill>
        <patternFill patternType="solid">
          <bgColor rgb="FFFFFFFF"/>
        </patternFill>
      </fill>
    </dxf>
    <dxf>
      <numFmt numFmtId="166" formatCode="[$-410]ddd\ hh:mm&quot; F&quot;"/>
    </dxf>
    <dxf>
      <font>
        <b/>
        <color rgb="FF8F3F24"/>
      </font>
      <fill>
        <patternFill patternType="solid">
          <bgColor rgb="FFFBE4B4"/>
        </patternFill>
      </fill>
    </dxf>
    <dxf>
      <fill>
        <patternFill patternType="solid">
          <bgColor rgb="FFF2D9D5"/>
        </patternFill>
      </fill>
    </dxf>
    <dxf>
      <fill>
        <patternFill patternType="solid">
          <bgColor rgb="FFFFFFFF"/>
        </patternFill>
      </fill>
    </dxf>
    <dxf>
      <font>
        <b/>
        <color rgb="FF8F3F24"/>
      </font>
      <fill>
        <patternFill patternType="solid">
          <bgColor rgb="FFFBE4B4"/>
        </patternFill>
      </fill>
    </dxf>
    <dxf>
      <font>
        <b/>
      </font>
      <fill>
        <patternFill patternType="solid">
          <bgColor rgb="FFD9A0A0"/>
        </patternFill>
      </fill>
    </dxf>
    <dxf>
      <font>
        <b val="0"/>
        <i val="0"/>
        <strike val="0"/>
        <condense val="0"/>
        <extend val="0"/>
        <outline val="0"/>
        <shadow val="0"/>
        <u val="none"/>
        <vertAlign val="baseline"/>
        <sz val="11"/>
        <color rgb="FF233B4D"/>
        <name val="Arial"/>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scheme val="none"/>
      </font>
      <numFmt numFmtId="27" formatCode="dd/mm/yyyy\ hh:mm"/>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scheme val="none"/>
      </font>
      <numFmt numFmtId="27" formatCode="dd/mm/yyyy\ hh:mm"/>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scheme val="none"/>
      </font>
      <numFmt numFmtId="0" formatCode="General"/>
      <fill>
        <patternFill patternType="solid">
          <fgColor theme="4" tint="0.79998168889431442"/>
          <bgColor theme="4" tint="0.79998168889431442"/>
        </patternFill>
      </fill>
      <alignment horizontal="general" vertical="center" textRotation="0" wrapText="0" indent="0" justifyLastLine="0" shrinkToFit="0" readingOrder="0"/>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rgb="FF233B4D"/>
        <name val="Arial"/>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i val="0"/>
        <strike val="0"/>
        <condense val="0"/>
        <extend val="0"/>
        <outline val="0"/>
        <shadow val="0"/>
        <u val="none"/>
        <vertAlign val="baseline"/>
        <sz val="11"/>
        <color rgb="FFFFFFFF"/>
        <name val="Arial"/>
        <scheme val="none"/>
      </font>
      <numFmt numFmtId="0" formatCode="General"/>
      <fill>
        <patternFill patternType="solid">
          <fgColor indexed="64"/>
          <bgColor rgb="FF233B4D"/>
        </patternFill>
      </fill>
      <alignment horizontal="center" vertical="center" textRotation="0" wrapText="0" indent="0" justifyLastLine="0" shrinkToFit="0" readingOrder="0"/>
    </dxf>
    <dxf>
      <numFmt numFmtId="0" formatCode="General"/>
    </dxf>
    <dxf>
      <font>
        <b val="0"/>
        <i val="0"/>
        <strike val="0"/>
        <condense val="0"/>
        <extend val="0"/>
        <outline val="0"/>
        <shadow val="0"/>
        <u val="none"/>
        <vertAlign val="baseline"/>
        <sz val="11"/>
        <color rgb="FF233B4D"/>
        <name val="Arial"/>
        <scheme val="none"/>
      </font>
      <numFmt numFmtId="0" formatCode="General"/>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scheme val="none"/>
      </font>
      <numFmt numFmtId="0" formatCode="General"/>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scheme val="none"/>
      </font>
      <numFmt numFmtId="0" formatCode="General"/>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scheme val="none"/>
      </font>
      <numFmt numFmtId="0" formatCode="General"/>
      <fill>
        <patternFill patternType="solid">
          <fgColor theme="4" tint="0.79998168889431442"/>
          <bgColor theme="4" tint="0.79998168889431442"/>
        </patternFill>
      </fill>
      <alignment horizontal="general" vertical="center" textRotation="0" wrapText="0" indent="0" justifyLastLine="0" shrinkToFit="0" readingOrder="0"/>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rgb="FF233B4D"/>
        <name val="Arial"/>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i val="0"/>
        <strike val="0"/>
        <condense val="0"/>
        <extend val="0"/>
        <outline val="0"/>
        <shadow val="0"/>
        <u val="none"/>
        <vertAlign val="baseline"/>
        <sz val="11"/>
        <color rgb="FFFFFFFF"/>
        <name val="Arial"/>
        <scheme val="none"/>
      </font>
      <numFmt numFmtId="0" formatCode="General"/>
      <fill>
        <patternFill patternType="solid">
          <fgColor indexed="64"/>
          <bgColor rgb="FF233B4D"/>
        </patternFill>
      </fill>
      <alignment horizontal="center" vertical="center" textRotation="0" wrapText="0" indent="0" justifyLastLine="0" shrinkToFit="0" readingOrder="0"/>
    </dxf>
    <dxf>
      <font>
        <b val="0"/>
        <i val="0"/>
        <strike val="0"/>
        <condense val="0"/>
        <extend val="0"/>
        <outline val="0"/>
        <shadow val="0"/>
        <u val="none"/>
        <vertAlign val="baseline"/>
        <sz val="11"/>
        <color rgb="FF233B4D"/>
        <name val="Arial"/>
        <family val="2"/>
        <scheme val="none"/>
      </font>
      <numFmt numFmtId="0" formatCode="General"/>
      <fill>
        <patternFill patternType="solid">
          <fgColor indexed="64"/>
          <bgColor rgb="FFF5F5F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family val="2"/>
        <scheme val="none"/>
      </font>
      <numFmt numFmtId="0" formatCode="General"/>
      <fill>
        <patternFill patternType="solid">
          <fgColor indexed="64"/>
          <bgColor rgb="FFF5F5F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family val="2"/>
        <scheme val="none"/>
      </font>
      <numFmt numFmtId="164" formatCode="0.0"/>
      <fill>
        <patternFill patternType="solid">
          <fgColor indexed="64"/>
          <bgColor rgb="FFF5F5F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family val="2"/>
        <scheme val="none"/>
      </font>
      <numFmt numFmtId="0" formatCode="General"/>
      <fill>
        <patternFill patternType="solid">
          <fgColor indexed="64"/>
          <bgColor rgb="FFF5F5F5"/>
        </patternFill>
      </fill>
      <alignment horizontal="general" vertical="center" textRotation="0" wrapText="1" indent="0" justifyLastLine="0" shrinkToFit="0" readingOrder="0"/>
    </dxf>
    <dxf>
      <font>
        <b val="0"/>
        <i val="0"/>
        <strike val="0"/>
        <condense val="0"/>
        <extend val="0"/>
        <outline val="0"/>
        <shadow val="0"/>
        <u val="none"/>
        <vertAlign val="baseline"/>
        <sz val="11"/>
        <color rgb="FF233B4D"/>
        <name val="Arial"/>
        <family val="2"/>
        <scheme val="none"/>
      </font>
      <numFmt numFmtId="164" formatCode="0.0"/>
      <fill>
        <patternFill patternType="solid">
          <fgColor indexed="64"/>
          <bgColor rgb="FFF5F5F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family val="2"/>
        <scheme val="none"/>
      </font>
      <numFmt numFmtId="164" formatCode="0.0"/>
      <fill>
        <patternFill patternType="solid">
          <fgColor indexed="64"/>
          <bgColor rgb="FFF5F5F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family val="2"/>
        <scheme val="none"/>
      </font>
      <numFmt numFmtId="27" formatCode="dd/mm/yyyy\ hh:mm"/>
      <fill>
        <patternFill patternType="solid">
          <fgColor indexed="64"/>
          <bgColor rgb="FFF5F5F5"/>
        </patternFill>
      </fill>
      <alignment horizontal="general" vertical="center" textRotation="0" wrapText="1" indent="0" justifyLastLine="0" shrinkToFit="0" readingOrder="0"/>
    </dxf>
    <dxf>
      <font>
        <b val="0"/>
        <i val="0"/>
        <strike val="0"/>
        <condense val="0"/>
        <extend val="0"/>
        <outline val="0"/>
        <shadow val="0"/>
        <u val="none"/>
        <vertAlign val="baseline"/>
        <sz val="11"/>
        <color rgb="FF233B4D"/>
        <name val="Arial"/>
        <family val="2"/>
        <scheme val="none"/>
      </font>
      <numFmt numFmtId="27" formatCode="dd/mm/yyyy\ hh:mm"/>
      <fill>
        <patternFill patternType="solid">
          <fgColor indexed="64"/>
          <bgColor rgb="FFF5F5F5"/>
        </patternFill>
      </fill>
      <alignment horizontal="general" vertical="center" textRotation="0" wrapText="1" indent="0" justifyLastLine="0" shrinkToFit="0" readingOrder="0"/>
    </dxf>
    <dxf>
      <font>
        <b val="0"/>
        <i val="0"/>
        <strike val="0"/>
        <condense val="0"/>
        <extend val="0"/>
        <outline val="0"/>
        <shadow val="0"/>
        <u val="none"/>
        <vertAlign val="baseline"/>
        <sz val="11"/>
        <color rgb="FF233B4D"/>
        <name val="Arial"/>
        <family val="2"/>
        <scheme val="none"/>
      </font>
      <numFmt numFmtId="0" formatCode="General"/>
      <fill>
        <patternFill patternType="solid">
          <fgColor indexed="64"/>
          <bgColor rgb="FFF5F5F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1"/>
        <color rgb="FFFFFFFF"/>
        <name val="Arial"/>
        <family val="2"/>
        <scheme val="none"/>
      </font>
      <fill>
        <patternFill patternType="solid">
          <fgColor indexed="64"/>
          <bgColor rgb="FF233B4D"/>
        </patternFill>
      </fill>
      <alignment horizontal="general" vertical="center" textRotation="0" wrapText="1" indent="0" justifyLastLine="0" shrinkToFit="0" readingOrder="0"/>
    </dxf>
    <dxf>
      <font>
        <b val="0"/>
        <i val="0"/>
        <strike val="0"/>
        <condense val="0"/>
        <extend val="0"/>
        <outline val="0"/>
        <shadow val="0"/>
        <u val="none"/>
        <vertAlign val="baseline"/>
        <sz val="11"/>
        <color rgb="FF233B4D"/>
        <name val="Arial"/>
        <scheme val="none"/>
      </font>
      <numFmt numFmtId="0" formatCode="General"/>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scheme val="none"/>
      </font>
      <numFmt numFmtId="0" formatCode="General"/>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scheme val="none"/>
      </font>
      <numFmt numFmtId="0" formatCode="General"/>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scheme val="none"/>
      </font>
      <numFmt numFmtId="27" formatCode="dd/mm/yyyy\ hh:mm"/>
      <fill>
        <patternFill patternType="solid">
          <fgColor theme="4" tint="0.79998168889431442"/>
          <bgColor theme="4" tint="0.79998168889431442"/>
        </patternFill>
      </fill>
      <alignment horizontal="general" vertical="center" textRotation="0" wrapText="0" indent="0" justifyLastLine="0" shrinkToFit="0" readingOrder="0"/>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rgb="FF233B4D"/>
        <name val="Arial"/>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i val="0"/>
        <strike val="0"/>
        <condense val="0"/>
        <extend val="0"/>
        <outline val="0"/>
        <shadow val="0"/>
        <u val="none"/>
        <vertAlign val="baseline"/>
        <sz val="11"/>
        <color rgb="FFFFFFFF"/>
        <name val="Arial"/>
        <scheme val="none"/>
      </font>
      <numFmt numFmtId="0" formatCode="General"/>
      <fill>
        <patternFill patternType="solid">
          <fgColor indexed="64"/>
          <bgColor rgb="FF233B4D"/>
        </patternFill>
      </fill>
      <alignment horizontal="center" vertical="center" textRotation="0" wrapText="0" indent="0" justifyLastLine="0" shrinkToFit="0" readingOrder="0"/>
    </dxf>
    <dxf>
      <font>
        <b val="0"/>
        <i val="0"/>
        <strike val="0"/>
        <condense val="0"/>
        <extend val="0"/>
        <outline val="0"/>
        <shadow val="0"/>
        <u val="none"/>
        <vertAlign val="baseline"/>
        <sz val="11"/>
        <color rgb="FF233B4D"/>
        <name val="Arial"/>
        <family val="2"/>
        <scheme val="none"/>
      </font>
      <numFmt numFmtId="0" formatCode="General"/>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family val="2"/>
        <scheme val="none"/>
      </font>
      <numFmt numFmtId="0" formatCode="General"/>
      <fill>
        <patternFill patternType="solid">
          <fgColor theme="4" tint="0.79998168889431442"/>
          <bgColor theme="4"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1"/>
        <color rgb="FF233B4D"/>
        <name val="Arial"/>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rgb="FF233B4D"/>
        <name val="Arial"/>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i val="0"/>
        <strike val="0"/>
        <condense val="0"/>
        <extend val="0"/>
        <outline val="0"/>
        <shadow val="0"/>
        <u val="none"/>
        <vertAlign val="baseline"/>
        <sz val="11"/>
        <color rgb="FFFFFFFF"/>
        <name val="Arial"/>
        <scheme val="none"/>
      </font>
      <numFmt numFmtId="0" formatCode="General"/>
      <fill>
        <patternFill patternType="solid">
          <fgColor indexed="64"/>
          <bgColor rgb="FF233B4D"/>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rgb="FF233B4D"/>
        <name val="Arial"/>
        <family val="2"/>
        <scheme val="none"/>
      </font>
      <numFmt numFmtId="0" formatCode="General"/>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family val="2"/>
        <scheme val="none"/>
      </font>
      <numFmt numFmtId="0" formatCode="General"/>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family val="2"/>
        <scheme val="none"/>
      </font>
      <numFmt numFmtId="19" formatCode="dd/mm/yyyy"/>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233B4D"/>
        <name val="Arial"/>
        <family val="2"/>
        <scheme val="none"/>
      </font>
      <numFmt numFmtId="0" formatCode="General"/>
      <fill>
        <patternFill patternType="solid">
          <fgColor theme="4" tint="0.79998168889431442"/>
          <bgColor theme="4" tint="0.79998168889431442"/>
        </patternFill>
      </fill>
      <alignment horizontal="general" vertical="center" textRotation="0" wrapText="0" indent="0" justifyLastLine="0" shrinkToFit="0" readingOrder="0"/>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rgb="FF233B4D"/>
        <name val="Arial"/>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i val="0"/>
        <strike val="0"/>
        <condense val="0"/>
        <extend val="0"/>
        <outline val="0"/>
        <shadow val="0"/>
        <u val="none"/>
        <vertAlign val="baseline"/>
        <sz val="11"/>
        <color rgb="FFFFFFFF"/>
        <name val="Arial"/>
        <scheme val="none"/>
      </font>
      <numFmt numFmtId="0" formatCode="General"/>
      <fill>
        <patternFill patternType="solid">
          <fgColor indexed="64"/>
          <bgColor rgb="FF233B4D"/>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queryTables/queryTable1.xml><?xml version="1.0" encoding="utf-8"?>
<queryTable xmlns="http://schemas.openxmlformats.org/spreadsheetml/2006/main" xmlns:mc="http://schemas.openxmlformats.org/Tuekup-compatibility/2006" xmlns:xr16="http://schemas.microsoft.com/office/spreadsheetml/2017/revision16" mc:Ignorable="xr16" name="DatiEsterni_1" backgroundRefresh="0" growShrinkType="overwriteClear" adjustColumnWidth="0" connectionId="1" xr16:uid="{3F1A4BEF-6BFC-4066-A141-A21740B891BA}" autoFormatId="16" applyNumberFormats="0" applyBorderFormats="0" applyFontFormats="1" applyPatternFormats="1" applyAlignmentFormats="0" applyWidthHeightFormats="0">
  <queryTableRefresh nextId="10">
    <queryTableFields count="9">
      <queryTableField id="1" name="Calendar" tableColumnId="6"/>
      <queryTableField id="2" name="Date" tableColumnId="7"/>
      <queryTableField id="3" name="Name" tableColumnId="8"/>
      <queryTableField id="4" name="Active" tableColumnId="9"/>
      <queryTableField id="5" name="Source" tableColumnId="10"/>
      <queryTableField id="6" name="Kind" tableColumnId="1"/>
      <queryTableField id="7" name="Status" tableColumnId="2"/>
      <queryTableField id="8" name="Version" tableColumnId="3"/>
      <queryTableField id="9" name="Updated" tableColumnId="4"/>
    </queryTableFields>
  </queryTableRefresh>
</queryTable>
</file>

<file path=xl/queryTables/queryTable2.xml><?xml version="1.0" encoding="utf-8"?>
<queryTable xmlns="http://schemas.openxmlformats.org/spreadsheetml/2006/main" xmlns:mc="http://schemas.openxmlformats.org/Tuekup-compatibility/2006" xmlns:xr16="http://schemas.microsoft.com/office/spreadsheetml/2017/revision16" mc:Ignorable="xr16" name="DatiEsterni_1" backgroundRefresh="0" growShrinkType="overwriteClear" adjustColumnWidth="0" connectionId="4" xr16:uid="{CFAF30EB-07A8-4697-99C7-DB8BBF3EDAE0}" autoFormatId="16" applyNumberFormats="0" applyBorderFormats="0" applyFontFormats="1" applyPatternFormats="1" applyAlignmentFormats="0" applyWidthHeightFormats="0">
  <queryTableRefresh nextId="6">
    <queryTableFields count="5">
      <queryTableField id="1" name="Key" tableColumnId="6"/>
      <queryTableField id="2" name="Month" tableColumnId="7"/>
      <queryTableField id="3" name="Day" tableColumnId="8"/>
      <queryTableField id="4" name="Name" tableColumnId="9"/>
      <queryTableField id="5" name="Source" tableColumnId="10"/>
    </queryTableFields>
  </queryTableRefresh>
</queryTable>
</file>

<file path=xl/queryTables/queryTable3.xml><?xml version="1.0" encoding="utf-8"?>
<queryTable xmlns="http://schemas.openxmlformats.org/spreadsheetml/2006/main" xmlns:mc="http://schemas.openxmlformats.org/Tuekup-compatibility/2006" xmlns:xr16="http://schemas.microsoft.com/office/spreadsheetml/2017/revision16" mc:Ignorable="xr16" name="DatiEsterni_2" backgroundRefresh="0" growShrinkType="overwriteClear" adjustColumnWidth="0" connectionId="5" xr16:uid="{07FA7BC0-D3DA-4B5B-AED8-3422CEA414AA}" autoFormatId="16" applyNumberFormats="0" applyBorderFormats="0" applyFontFormats="1" applyPatternFormats="1" applyAlignmentFormats="0" applyWidthHeightFormats="0">
  <queryTableRefresh nextId="5">
    <queryTableFields count="4">
      <queryTableField id="1" name="Utc" tableColumnId="5"/>
      <queryTableField id="2" name="Phase" tableColumnId="6"/>
      <queryTableField id="3" name="Between" tableColumnId="7"/>
      <queryTableField id="4" name="Source" tableColumnId="8"/>
    </queryTableFields>
  </queryTableRefresh>
</queryTable>
</file>

<file path=xl/queryTables/queryTable4.xml><?xml version="1.0" encoding="utf-8"?>
<queryTable xmlns="http://schemas.openxmlformats.org/spreadsheetml/2006/main" xmlns:mc="http://schemas.openxmlformats.org/Tuekup-compatibility/2006" xmlns:xr16="http://schemas.microsoft.com/office/spreadsheetml/2017/revision16" mc:Ignorable="xr16" name="DatiEsterni_3" backgroundRefresh="0" growShrinkType="overwriteClear" adjustColumnWidth="0" connectionId="6" xr16:uid="{168C4124-F797-474D-8561-F26959428F81}" autoFormatId="16" applyNumberFormats="0" applyBorderFormats="0" applyFontFormats="1" applyPatternFormats="1" applyAlignmentFormats="0" applyWidthHeightFormats="0">
  <queryTableRefresh nextId="10">
    <queryTableFields count="9">
      <queryTableField id="1" name="Code" tableColumnId="10"/>
      <queryTableField id="2" name="ObservedUtc" tableColumnId="11"/>
      <queryTableField id="3" name="FetchedUtc" tableColumnId="12"/>
      <queryTableField id="4" name="TemperatureC" tableColumnId="13"/>
      <queryTableField id="5" name="FeelsLikeC" tableColumnId="14"/>
      <queryTableField id="6" name="Description" tableColumnId="15"/>
      <queryTableField id="7" name="WindMs" tableColumnId="16"/>
      <queryTableField id="8" name="Status" tableColumnId="17"/>
      <queryTableField id="9" name="Source" tableColumnId="18"/>
    </queryTableFields>
  </queryTableRefresh>
</queryTable>
</file>

<file path=xl/queryTables/queryTable5.xml><?xml version="1.0" encoding="utf-8"?>
<queryTable xmlns="http://schemas.openxmlformats.org/spreadsheetml/2006/main" xmlns:mc="http://schemas.openxmlformats.org/Tuekup-compatibility/2006" xmlns:xr16="http://schemas.microsoft.com/office/spreadsheetml/2017/revision16" mc:Ignorable="xr16" name="DatiEsterni_1" backgroundRefresh="0" growShrinkType="overwriteClear" adjustColumnWidth="0" connectionId="2" xr16:uid="{63601621-BEF7-48C2-8EB8-39791BF0BCC8}" autoFormatId="16" applyNumberFormats="0" applyBorderFormats="0" applyFontFormats="1" applyPatternFormats="1" applyAlignmentFormats="0" applyWidthHeightFormats="0">
  <queryTableRefresh nextId="8">
    <queryTableFields count="7">
      <queryTableField id="1" name="Code" tableColumnId="5"/>
      <queryTableField id="2" name="City" tableColumnId="6"/>
      <queryTableField id="3" name="WindowsId" tableColumnId="7"/>
      <queryTableField id="4" name="IanaId" tableColumnId="8"/>
      <queryTableField id="5" name="Latitude" tableColumnId="1"/>
      <queryTableField id="6" name="Longitude" tableColumnId="2"/>
      <queryTableField id="7" name="CountryCode" tableColumnId="3"/>
    </queryTableFields>
  </queryTableRefresh>
</queryTable>
</file>

<file path=xl/queryTables/queryTable6.xml><?xml version="1.0" encoding="utf-8"?>
<queryTable xmlns="http://schemas.openxmlformats.org/spreadsheetml/2006/main" xmlns:mc="http://schemas.openxmlformats.org/Tuekup-compatibility/2006" xmlns:xr16="http://schemas.microsoft.com/office/spreadsheetml/2017/revision16" mc:Ignorable="xr16" name="DatiEsterni_2" backgroundRefresh="0" growShrinkType="overwriteClear" adjustColumnWidth="0" connectionId="3" xr16:uid="{57B5440E-8284-407D-AC6C-61A9538CA612}" autoFormatId="16" applyNumberFormats="0" applyBorderFormats="0" applyFontFormats="1" applyPatternFormats="1" applyAlignmentFormats="0" applyWidthHeightFormats="0">
  <queryTableRefresh nextId="5">
    <queryTableFields count="4">
      <queryTableField id="1" name="Code" tableColumnId="5"/>
      <queryTableField id="2" name="FromUtc" tableColumnId="6"/>
      <queryTableField id="3" name="UntilUtc" tableColumnId="7"/>
      <queryTableField id="4" name="OffsetHours" tableColumnId="8"/>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Tuekup-compatibility/2006" xmlns:xr="http://schemas.microsoft.com/office/spreadsheetml/2014/revision" xmlns:xr3="http://schemas.microsoft.com/office/spreadsheetml/2016/revision3" mc:Ignorable="xr xr3" id="3" xr:uid="{587E7689-EA12-4565-9B98-6DCE39FFC713}" name="PersonalExceptions" displayName="PersonalExceptions" ref="A9:G109" totalsRowShown="0">
  <tableColumns count="7">
    <tableColumn id="1" xr3:uid="{B59F136A-D9F3-4AA0-8B86-EC354A93D564}" name="Colonna"/>
    <tableColumn id="2" xr3:uid="{68618E76-9470-44CB-86BC-8B82D82CC98B}" name="Dal"/>
    <tableColumn id="3" xr3:uid="{B47AFAD1-73FD-46E5-B0F6-93BA702B71E2}" name="Al"/>
    <tableColumn id="4" xr3:uid="{A2B56779-32CC-44B1-A164-EAB9BD288927}" name="Effetto"/>
    <tableColumn id="5" xr3:uid="{A7C41792-573D-4174-BA36-D67AEF068BF4}" name="Motivo"/>
    <tableColumn id="6" xr3:uid="{FFB32C67-6882-4075-A404-3DC50C90B529}" name="Active 0/1"/>
    <tableColumn id="7" xr3:uid="{0A03FBDA-2EE6-49B5-8FD9-1757509BD390}" name="Validazione">
      <calculatedColumnFormula>IFERROR(IF(COUNTA(A10:F10)=0,"",IF(AND(ISNUMBER(F10),F10=0),"",IF(AND(F10=1,ISNUMBER(A10),A10=INT(A10),A10&gt;=1,A10&lt;=7,ISNUMBER(B10),ISNUMBER(C10),B10=INT(B10),C10=INT(C10),B10&gt;0,C10&gt;=B10,OR(D10="Rest",D10="Activity")),"OK","CONTROLLA"))),"CONTROLLA")</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Tuekup-compatibility/2006" xmlns:xr="http://schemas.microsoft.com/office/spreadsheetml/2014/revision" xmlns:xr3="http://schemas.microsoft.com/office/spreadsheetml/2016/revision3" mc:Ignorable="xr xr3" id="1" xr:uid="{00000000-000C-0000-FFFF-FFFF00000000}" name="HolidayDates" displayName="HolidayDates" ref="A29:E529" totalsRowShown="0">
  <tableColumns count="5">
    <tableColumn id="1" xr3:uid="{00000000-0010-0000-0000-000001000000}" name="Calendar"/>
    <tableColumn id="2" xr3:uid="{00000000-0010-0000-0000-000002000000}" name="Local date"/>
    <tableColumn id="3" xr3:uid="{00000000-0010-0000-0000-000003000000}" name="Holidays / chiusura"/>
    <tableColumn id="4" xr3:uid="{00000000-0010-0000-0000-000004000000}" name="Active 0/1"/>
    <tableColumn id="5" xr3:uid="{00000000-0010-0000-0000-000005000000}" name="Fon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Tuekup-compatibility/2006" xmlns:xr="http://schemas.microsoft.com/office/spreadsheetml/2014/revision" xmlns:xr3="http://schemas.microsoft.com/office/spreadsheetml/2016/revision3" mc:Ignorable="xr xr3" id="2" xr:uid="{00EAAC91-CEA3-4295-BC16-B3B251D13094}" name="ImportedHolidays" displayName="ImportedHolidays" ref="A5:I547" tableType="queryTable" totalsRowShown="0" headerRowDxfId="62" dataDxfId="61" tableBorderDxfId="60" headerRowCellStyle="Normal" dataCellStyle="Normal">
  <autoFilter ref="A5:I547" xr:uid="{00EAAC91-CEA3-4295-BC16-B3B251D13094}"/>
  <tableColumns count="9">
    <tableColumn id="6" xr3:uid="{28ABB36E-0B76-4771-AAD5-4185AA8CE9F1}" uniqueName="6" name="Calendar" queryTableFieldId="1" dataDxfId="59" dataCellStyle="Normal"/>
    <tableColumn id="7" xr3:uid="{485A1C98-00E7-41C7-A671-E530E7C59D0A}" uniqueName="7" name="Date" queryTableFieldId="2" dataDxfId="58" dataCellStyle="Normal"/>
    <tableColumn id="8" xr3:uid="{EF99F423-3FDC-4C5D-B455-5ED053DC6EE6}" uniqueName="8" name="Name" queryTableFieldId="3" dataDxfId="57" dataCellStyle="Normal"/>
    <tableColumn id="9" xr3:uid="{FD4536EC-39D2-42AD-AE50-DA63EABEBC1B}" uniqueName="9" name="Active" queryTableFieldId="4" dataDxfId="56" dataCellStyle="Normal"/>
    <tableColumn id="10" xr3:uid="{BDC9BD53-552A-43EB-B21C-75B81FD6C1A6}" uniqueName="10" name="Source" queryTableFieldId="5" dataDxfId="55" dataCellStyle="Normal"/>
    <tableColumn id="1" xr3:uid="{B46F2333-761D-4ACC-8229-4ECFF2D65962}" uniqueName="1" name="Kind" queryTableFieldId="6" dataDxfId="54" dataCellStyle="Normal"/>
    <tableColumn id="2" xr3:uid="{099DCC4A-BBFE-490F-88FD-8C5123BD036E}" uniqueName="2" name="Status" queryTableFieldId="7" dataDxfId="53" dataCellStyle="Normal"/>
    <tableColumn id="3" xr3:uid="{87DBDD6E-8713-4097-AD42-4B9AFEC221B8}" uniqueName="3" name="Version" queryTableFieldId="8" dataDxfId="52" dataCellStyle="Normal"/>
    <tableColumn id="4" xr3:uid="{3F74E42A-3ACE-48CC-AEA2-B317A4595BDB}" uniqueName="4" name="Updated" queryTableFieldId="9" dataDxfId="51" dataCellStyle="Normal"/>
  </tableColumns>
  <tableStyleInfo name="TableStyleMedium7" showFirstColumn="0" showLastColumn="0" showRowStripes="1" showColumnStripes="0"/>
</table>
</file>

<file path=xl/tables/table4.xml><?xml version="1.0" encoding="utf-8"?>
<table xmlns="http://schemas.openxmlformats.org/spreadsheetml/2006/main" xmlns:mc="http://schemas.openxmlformats.org/Tuekup-compatibility/2006" xmlns:xr="http://schemas.microsoft.com/office/spreadsheetml/2014/revision" xmlns:xr3="http://schemas.microsoft.com/office/spreadsheetml/2016/revision3" mc:Ignorable="xr xr3" id="7" xr:uid="{173E3982-0A7B-40F4-8DDC-148EBE34B8D8}" name="Saints" displayName="Saints" ref="A27:E218" tableType="queryTable" totalsRowShown="0" headerRowDxfId="50" dataDxfId="49" tableBorderDxfId="48" headerRowCellStyle="Normal" dataCellStyle="Normal">
  <autoFilter ref="A27:E218" xr:uid="{173E3982-0A7B-40F4-8DDC-148EBE34B8D8}"/>
  <tableColumns count="5">
    <tableColumn id="6" xr3:uid="{80CF70E9-0BD6-47FE-80A4-B564CE141C47}" uniqueName="6" name="Key" queryTableFieldId="1" dataDxfId="47" dataCellStyle="Normal"/>
    <tableColumn id="7" xr3:uid="{84DB1E7E-E49B-491D-A6D2-7BFD9A18F814}" uniqueName="7" name="Month" queryTableFieldId="2" dataDxfId="46" dataCellStyle="Normal"/>
    <tableColumn id="8" xr3:uid="{76E80F64-2BEA-476B-B477-8D810F76F0C1}" uniqueName="8" name="Day" queryTableFieldId="3" dataDxfId="45" dataCellStyle="Normal"/>
    <tableColumn id="9" xr3:uid="{F919EE01-E849-4C13-9F8A-8267754461A2}" uniqueName="9" name="Name" queryTableFieldId="4" dataDxfId="44" dataCellStyle="Normal"/>
    <tableColumn id="10" xr3:uid="{FAE293F8-4720-4432-A323-64361FA01B31}" uniqueName="10" name="Source" queryTableFieldId="5" dataDxfId="43" dataCellStyle="Normal"/>
  </tableColumns>
  <tableStyleInfo name="TableStyleMedium7" showFirstColumn="0" showLastColumn="0" showRowStripes="1" showColumnStripes="0"/>
</table>
</file>

<file path=xl/tables/table5.xml><?xml version="1.0" encoding="utf-8"?>
<table xmlns="http://schemas.openxmlformats.org/spreadsheetml/2006/main" xmlns:mc="http://schemas.openxmlformats.org/Tuekup-compatibility/2006" xmlns:xr="http://schemas.microsoft.com/office/spreadsheetml/2014/revision" xmlns:xr3="http://schemas.microsoft.com/office/spreadsheetml/2016/revision3" mc:Ignorable="xr xr3" id="8" xr:uid="{D4C6D4B2-6721-41D7-9B75-D8C876E912D2}" name="MoonPhases" displayName="MoonPhases" ref="G27:J274" tableType="queryTable" totalsRowShown="0" headerRowDxfId="42" dataDxfId="41" tableBorderDxfId="40" headerRowCellStyle="Normal" dataCellStyle="Normal">
  <autoFilter ref="G27:J274" xr:uid="{D4C6D4B2-6721-41D7-9B75-D8C876E912D2}"/>
  <tableColumns count="4">
    <tableColumn id="5" xr3:uid="{2DBB2165-5B3B-496F-9E70-08351DCE1504}" uniqueName="5" name="Utc" queryTableFieldId="1" dataDxfId="39" dataCellStyle="Normal"/>
    <tableColumn id="6" xr3:uid="{B4A8D9D8-96B6-461D-92B4-F8F82AC48587}" uniqueName="6" name="Phase" queryTableFieldId="2" dataDxfId="38" dataCellStyle="Normal"/>
    <tableColumn id="7" xr3:uid="{956C765F-BDF7-4E5F-8AC6-896A56096C0D}" uniqueName="7" name="Between" queryTableFieldId="3" dataDxfId="37" dataCellStyle="Normal"/>
    <tableColumn id="8" xr3:uid="{DF1C9F1D-D32F-4C64-AE2D-5F96F3C42082}" uniqueName="8" name="Source" queryTableFieldId="4" dataDxfId="36" dataCellStyle="Normal"/>
  </tableColumns>
  <tableStyleInfo name="TableStyleMedium7" showFirstColumn="0" showLastColumn="0" showRowStripes="1" showColumnStripes="0"/>
</table>
</file>

<file path=xl/tables/table6.xml><?xml version="1.0" encoding="utf-8"?>
<table xmlns="http://schemas.openxmlformats.org/spreadsheetml/2006/main" xmlns:mc="http://schemas.openxmlformats.org/Tuekup-compatibility/2006" xmlns:xr="http://schemas.microsoft.com/office/spreadsheetml/2014/revision" xmlns:xr3="http://schemas.microsoft.com/office/spreadsheetml/2016/revision3" mc:Ignorable="xr xr3" id="4" xr:uid="{76C5AF8B-5608-4694-ADFF-D564FAB358CD}" name="Weather" displayName="Weather" ref="A7:I14" tableType="queryTable" totalsRowShown="0" headerRowDxfId="35" dataDxfId="34" headerRowCellStyle="Normal" dataCellStyle="Normal">
  <autoFilter ref="A7:I14" xr:uid="{76C5AF8B-5608-4694-ADFF-D564FAB358CD}"/>
  <tableColumns count="9">
    <tableColumn id="10" xr3:uid="{3BFF4050-948E-45A4-A0E8-BB3179693A25}" uniqueName="10" name="Code" queryTableFieldId="1" dataDxfId="33" dataCellStyle="Normal"/>
    <tableColumn id="11" xr3:uid="{C9FD4EB4-FB21-4F92-930F-4D58C6DE607E}" uniqueName="11" name="ObservedUtc" queryTableFieldId="2" dataDxfId="32" dataCellStyle="Normal"/>
    <tableColumn id="12" xr3:uid="{42C26375-6C62-424B-A01A-F5F64A4E7789}" uniqueName="12" name="FetchedUtc" queryTableFieldId="3" dataDxfId="31" dataCellStyle="Normal"/>
    <tableColumn id="13" xr3:uid="{DED47651-E17E-49E3-BCF1-28FD53377226}" uniqueName="13" name="TemperatureC" queryTableFieldId="4" dataDxfId="30" dataCellStyle="Normal"/>
    <tableColumn id="14" xr3:uid="{324547FD-817A-4ED6-A9CA-B89EC9306DB2}" uniqueName="14" name="FeelsLikeC" queryTableFieldId="5" dataDxfId="29" dataCellStyle="Normal"/>
    <tableColumn id="15" xr3:uid="{017272B1-EC1E-414A-BB2B-D97B558FDE58}" uniqueName="15" name="Description" queryTableFieldId="6" dataDxfId="28" dataCellStyle="Normal"/>
    <tableColumn id="16" xr3:uid="{61CF5B57-712E-44DC-A403-C466730282A3}" uniqueName="16" name="WindMs" queryTableFieldId="7" dataDxfId="27" dataCellStyle="Normal"/>
    <tableColumn id="17" xr3:uid="{C147793E-A770-4D65-A8D9-DF1AFF5E1DC4}" uniqueName="17" name="Status" queryTableFieldId="8" dataDxfId="26" dataCellStyle="Normal"/>
    <tableColumn id="18" xr3:uid="{43CB1244-29AF-4D14-A165-E6E4E2EC6589}" uniqueName="18" name="Source" queryTableFieldId="9" dataDxfId="25" dataCellStyle="Normal"/>
  </tableColumns>
  <tableStyleInfo showFirstColumn="0" showLastColumn="0" showRowStripes="1" showColumnStripes="0"/>
</table>
</file>

<file path=xl/tables/table7.xml><?xml version="1.0" encoding="utf-8"?>
<table xmlns="http://schemas.openxmlformats.org/spreadsheetml/2006/main" xmlns:mc="http://schemas.openxmlformats.org/Tuekup-compatibility/2006" xmlns:xr="http://schemas.microsoft.com/office/spreadsheetml/2014/revision" xmlns:xr3="http://schemas.microsoft.com/office/spreadsheetml/2016/revision3" mc:Ignorable="xr xr3" id="5" xr:uid="{87E1F9C1-1467-47D9-8737-221234DA1B33}" name="ZoneCatalog" displayName="ZoneCatalog" ref="A5:G211" tableType="queryTable" totalsRowShown="0" headerRowDxfId="24" dataDxfId="23" tableBorderDxfId="22" headerRowCellStyle="Normal" dataCellStyle="Normal">
  <autoFilter ref="A5:G211" xr:uid="{87E1F9C1-1467-47D9-8737-221234DA1B33}"/>
  <tableColumns count="7">
    <tableColumn id="5" xr3:uid="{A5C4AC7E-F0A9-4BCE-B238-0EEB1F8BC4FD}" uniqueName="5" name="Code" queryTableFieldId="1" dataDxfId="21" dataCellStyle="Normal"/>
    <tableColumn id="6" xr3:uid="{5BD97DD1-1503-4BB9-9F19-9A485B910E04}" uniqueName="6" name="City" queryTableFieldId="2" dataDxfId="20" dataCellStyle="Normal"/>
    <tableColumn id="7" xr3:uid="{2EFBF652-7DA8-402F-8571-9E14C0912EDA}" uniqueName="7" name="WindowsId" queryTableFieldId="3" dataDxfId="19" dataCellStyle="Normal"/>
    <tableColumn id="8" xr3:uid="{AB6ADABF-63E3-4661-BCAA-53E842CAE0EE}" uniqueName="8" name="IanaId" queryTableFieldId="4" dataDxfId="18" dataCellStyle="Normal"/>
    <tableColumn id="1" xr3:uid="{464387E5-CD26-44ED-945D-17E9BA3DA041}" uniqueName="1" name="Latitude" queryTableFieldId="5" dataCellStyle="Normal"/>
    <tableColumn id="2" xr3:uid="{374F11D8-A1DA-4FBE-B4F3-2AD98C21F74E}" uniqueName="2" name="Longitude" queryTableFieldId="6" dataCellStyle="Normal"/>
    <tableColumn id="3" xr3:uid="{3813F6A1-B459-48FA-AEA0-D97DE62D6477}" uniqueName="3" name="CountryCode" queryTableFieldId="7" dataDxfId="17" dataCellStyle="Normal"/>
  </tableColumns>
  <tableStyleInfo name="TableStyleMedium7" showFirstColumn="0" showLastColumn="0" showRowStripes="1" showColumnStripes="0"/>
</table>
</file>

<file path=xl/tables/table8.xml><?xml version="1.0" encoding="utf-8"?>
<table xmlns="http://schemas.openxmlformats.org/spreadsheetml/2006/main" xmlns:mc="http://schemas.openxmlformats.org/Tuekup-compatibility/2006" xmlns:xr="http://schemas.microsoft.com/office/spreadsheetml/2014/revision" xmlns:xr3="http://schemas.microsoft.com/office/spreadsheetml/2016/revision3" mc:Ignorable="xr xr3" id="6" xr:uid="{679E1F50-0077-4951-9DD0-EBF2967A9B10}" name="ZonePeriods" displayName="ZonePeriods" ref="J5:M675" tableType="queryTable" totalsRowShown="0" headerRowDxfId="16" dataDxfId="15" tableBorderDxfId="14" headerRowCellStyle="Normal" dataCellStyle="Normal">
  <autoFilter ref="J5:M675" xr:uid="{679E1F50-0077-4951-9DD0-EBF2967A9B10}"/>
  <tableColumns count="4">
    <tableColumn id="5" xr3:uid="{D5FB7863-53A7-47B5-AADA-269E0B965988}" uniqueName="5" name="Code" queryTableFieldId="1" dataDxfId="13" dataCellStyle="Normal"/>
    <tableColumn id="6" xr3:uid="{D709BB89-020B-49FF-BF49-A2BABBA21C9B}" uniqueName="6" name="FromUtc" queryTableFieldId="2" dataDxfId="12" dataCellStyle="Normal"/>
    <tableColumn id="7" xr3:uid="{3FFDD4C5-8063-4C31-9EAC-F180CEE2A1D0}" uniqueName="7" name="UntilUtc" queryTableFieldId="3" dataDxfId="11" dataCellStyle="Normal"/>
    <tableColumn id="8" xr3:uid="{B552D8F9-673C-42C0-8A5B-3EC7D599B00D}" uniqueName="8" name="OffsetHours" queryTableFieldId="4" dataDxfId="10" dataCellStyle="Normal"/>
  </tableColumns>
  <tableStyleInfo name="TableStyleMedium7"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6.bin"/><Relationship Id="rId4" Type="http://schemas.openxmlformats.org/officeDocument/2006/relationships/table" Target="../tables/table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Tue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53879-F055-44B5-8E02-988E8A45E796}">
  <sheetPr>
    <tabColor rgb="FF233B4D"/>
    <pageSetUpPr fitToPage="1"/>
  </sheetPr>
  <dimension ref="A1:H44"/>
  <sheetViews>
    <sheetView showGridLines="0" topLeftCell="A28" zoomScale="90" zoomScaleNormal="90" workbookViewId="0"/>
  </sheetViews>
  <sheetFormatPr defaultRowHeight="13.5"/>
  <cols>
    <col min="1" max="8" width="11" customWidth="1"/>
  </cols>
  <sheetData>
    <row r="1" spans="1:8" ht="8" customHeight="1">
      <c r="A1" s="32"/>
      <c r="B1" s="32"/>
      <c r="C1" s="32"/>
      <c r="D1" s="32"/>
      <c r="E1" s="32"/>
      <c r="F1" s="32"/>
      <c r="G1" s="32"/>
      <c r="H1" s="32"/>
    </row>
    <row r="2" spans="1:8" ht="18" customHeight="1">
      <c r="A2" s="63" t="s">
        <v>856</v>
      </c>
      <c r="B2" s="63"/>
      <c r="C2" s="63"/>
      <c r="D2" s="63"/>
      <c r="E2" s="63"/>
      <c r="F2" s="63"/>
      <c r="G2" s="63"/>
      <c r="H2" s="63"/>
    </row>
    <row r="3" spans="1:8" ht="29" customHeight="1">
      <c r="A3" s="64" t="s">
        <v>857</v>
      </c>
      <c r="B3" s="64"/>
      <c r="C3" s="64"/>
      <c r="D3" s="64"/>
      <c r="E3" s="64"/>
      <c r="F3" s="64"/>
      <c r="G3" s="64"/>
      <c r="H3" s="64"/>
    </row>
    <row r="4" spans="1:8" ht="20" customHeight="1">
      <c r="A4" s="62" t="s">
        <v>858</v>
      </c>
      <c r="B4" s="62"/>
      <c r="C4" s="62"/>
      <c r="D4" s="62"/>
      <c r="E4" s="62"/>
      <c r="F4" s="62"/>
      <c r="G4" s="62"/>
      <c r="H4" s="62"/>
    </row>
    <row r="5" spans="1:8" ht="8" customHeight="1">
      <c r="A5" s="32"/>
      <c r="B5" s="32"/>
      <c r="C5" s="32"/>
      <c r="D5" s="32"/>
      <c r="E5" s="32"/>
      <c r="F5" s="32"/>
      <c r="G5" s="32"/>
      <c r="H5" s="32"/>
    </row>
    <row r="6" spans="1:8" ht="23" customHeight="1">
      <c r="A6" s="65" t="s">
        <v>859</v>
      </c>
      <c r="B6" s="65"/>
      <c r="C6" s="65"/>
      <c r="D6" s="65"/>
      <c r="E6" s="65"/>
      <c r="F6" s="65"/>
      <c r="G6" s="65"/>
      <c r="H6" s="65"/>
    </row>
    <row r="7" spans="1:8" ht="18" customHeight="1">
      <c r="A7" s="62" t="s">
        <v>860</v>
      </c>
      <c r="B7" s="62"/>
      <c r="C7" s="62"/>
      <c r="D7" s="62"/>
      <c r="E7" s="62"/>
      <c r="F7" s="62"/>
      <c r="G7" s="62"/>
      <c r="H7" s="62"/>
    </row>
    <row r="8" spans="1:8" ht="18" customHeight="1">
      <c r="A8" s="62" t="s">
        <v>861</v>
      </c>
      <c r="B8" s="62"/>
      <c r="C8" s="62"/>
      <c r="D8" s="62"/>
      <c r="E8" s="62"/>
      <c r="F8" s="62"/>
      <c r="G8" s="62"/>
      <c r="H8" s="62"/>
    </row>
    <row r="9" spans="1:8" ht="18" customHeight="1">
      <c r="A9" s="62" t="s">
        <v>862</v>
      </c>
      <c r="B9" s="62"/>
      <c r="C9" s="62"/>
      <c r="D9" s="62"/>
      <c r="E9" s="62"/>
      <c r="F9" s="62"/>
      <c r="G9" s="62"/>
      <c r="H9" s="62"/>
    </row>
    <row r="10" spans="1:8" ht="18" customHeight="1">
      <c r="A10" s="62" t="s">
        <v>863</v>
      </c>
      <c r="B10" s="62"/>
      <c r="C10" s="62"/>
      <c r="D10" s="62"/>
      <c r="E10" s="62"/>
      <c r="F10" s="62"/>
      <c r="G10" s="62"/>
      <c r="H10" s="62"/>
    </row>
    <row r="11" spans="1:8" ht="18" customHeight="1">
      <c r="A11" s="62" t="s">
        <v>864</v>
      </c>
      <c r="B11" s="62"/>
      <c r="C11" s="62"/>
      <c r="D11" s="62"/>
      <c r="E11" s="62"/>
      <c r="F11" s="62"/>
      <c r="G11" s="62"/>
      <c r="H11" s="62"/>
    </row>
    <row r="12" spans="1:8" ht="9" customHeight="1">
      <c r="A12" s="32"/>
      <c r="B12" s="32"/>
      <c r="C12" s="32"/>
      <c r="D12" s="32"/>
      <c r="E12" s="32"/>
      <c r="F12" s="32"/>
      <c r="G12" s="32"/>
      <c r="H12" s="32"/>
    </row>
    <row r="13" spans="1:8" ht="23" customHeight="1">
      <c r="A13" s="65" t="s">
        <v>865</v>
      </c>
      <c r="B13" s="65"/>
      <c r="C13" s="65"/>
      <c r="D13" s="65"/>
      <c r="E13" s="65"/>
      <c r="F13" s="65"/>
      <c r="G13" s="65"/>
      <c r="H13" s="65"/>
    </row>
    <row r="14" spans="1:8" ht="18" customHeight="1">
      <c r="A14" s="62" t="s">
        <v>866</v>
      </c>
      <c r="B14" s="62"/>
      <c r="C14" s="62"/>
      <c r="D14" s="62"/>
      <c r="E14" s="62"/>
      <c r="F14" s="62"/>
      <c r="G14" s="62"/>
      <c r="H14" s="62"/>
    </row>
    <row r="15" spans="1:8" ht="18" customHeight="1">
      <c r="A15" s="62" t="s">
        <v>867</v>
      </c>
      <c r="B15" s="62"/>
      <c r="C15" s="62"/>
      <c r="D15" s="62"/>
      <c r="E15" s="62"/>
      <c r="F15" s="62"/>
      <c r="G15" s="62"/>
      <c r="H15" s="62"/>
    </row>
    <row r="16" spans="1:8" ht="18" customHeight="1">
      <c r="A16" s="62" t="s">
        <v>868</v>
      </c>
      <c r="B16" s="62"/>
      <c r="C16" s="62"/>
      <c r="D16" s="62"/>
      <c r="E16" s="62"/>
      <c r="F16" s="62"/>
      <c r="G16" s="62"/>
      <c r="H16" s="62"/>
    </row>
    <row r="17" spans="1:8" ht="18" customHeight="1">
      <c r="A17" s="62" t="s">
        <v>869</v>
      </c>
      <c r="B17" s="62"/>
      <c r="C17" s="62"/>
      <c r="D17" s="62"/>
      <c r="E17" s="62"/>
      <c r="F17" s="62"/>
      <c r="G17" s="62"/>
      <c r="H17" s="62"/>
    </row>
    <row r="18" spans="1:8" ht="9" customHeight="1">
      <c r="A18" s="32"/>
      <c r="B18" s="32"/>
      <c r="C18" s="32"/>
      <c r="D18" s="32"/>
      <c r="E18" s="32"/>
      <c r="F18" s="32"/>
      <c r="G18" s="32"/>
      <c r="H18" s="32"/>
    </row>
    <row r="19" spans="1:8" ht="23" customHeight="1">
      <c r="A19" s="65" t="s">
        <v>870</v>
      </c>
      <c r="B19" s="65"/>
      <c r="C19" s="65"/>
      <c r="D19" s="65"/>
      <c r="E19" s="65"/>
      <c r="F19" s="65"/>
      <c r="G19" s="65"/>
      <c r="H19" s="65"/>
    </row>
    <row r="20" spans="1:8" ht="18" customHeight="1">
      <c r="A20" s="66" t="s">
        <v>871</v>
      </c>
      <c r="B20" s="66"/>
      <c r="C20" s="66"/>
      <c r="D20" s="62" t="s">
        <v>872</v>
      </c>
      <c r="E20" s="62"/>
      <c r="F20" s="62"/>
      <c r="G20" s="62"/>
      <c r="H20" s="62"/>
    </row>
    <row r="21" spans="1:8" ht="18" customHeight="1">
      <c r="A21" s="66" t="s">
        <v>873</v>
      </c>
      <c r="B21" s="66"/>
      <c r="C21" s="66"/>
      <c r="D21" s="62" t="s">
        <v>874</v>
      </c>
      <c r="E21" s="62"/>
      <c r="F21" s="62"/>
      <c r="G21" s="62"/>
      <c r="H21" s="62"/>
    </row>
    <row r="22" spans="1:8" ht="18" customHeight="1">
      <c r="A22" s="66" t="s">
        <v>875</v>
      </c>
      <c r="B22" s="66"/>
      <c r="C22" s="66"/>
      <c r="D22" s="62" t="s">
        <v>876</v>
      </c>
      <c r="E22" s="62"/>
      <c r="F22" s="62"/>
      <c r="G22" s="62"/>
      <c r="H22" s="62"/>
    </row>
    <row r="23" spans="1:8" ht="18" customHeight="1">
      <c r="A23" s="66" t="s">
        <v>877</v>
      </c>
      <c r="B23" s="66"/>
      <c r="C23" s="66"/>
      <c r="D23" s="62" t="s">
        <v>878</v>
      </c>
      <c r="E23" s="62"/>
      <c r="F23" s="62"/>
      <c r="G23" s="62"/>
      <c r="H23" s="62"/>
    </row>
    <row r="24" spans="1:8" ht="22.05" customHeight="1">
      <c r="A24" s="62" t="s">
        <v>879</v>
      </c>
      <c r="B24" s="62"/>
      <c r="C24" s="62"/>
      <c r="D24" s="62"/>
      <c r="E24" s="62"/>
      <c r="F24" s="62"/>
      <c r="G24" s="62"/>
      <c r="H24" s="62"/>
    </row>
    <row r="25" spans="1:8" ht="22.05" customHeight="1">
      <c r="A25" s="62" t="s">
        <v>880</v>
      </c>
      <c r="B25" s="62"/>
      <c r="C25" s="62"/>
      <c r="D25" s="62"/>
      <c r="E25" s="62"/>
      <c r="F25" s="62"/>
      <c r="G25" s="62"/>
      <c r="H25" s="62"/>
    </row>
    <row r="26" spans="1:8" ht="9" customHeight="1">
      <c r="A26" s="32"/>
      <c r="B26" s="32"/>
      <c r="C26" s="32"/>
      <c r="D26" s="32"/>
      <c r="E26" s="32"/>
      <c r="F26" s="32"/>
      <c r="G26" s="32"/>
      <c r="H26" s="32"/>
    </row>
    <row r="27" spans="1:8" ht="23" customHeight="1">
      <c r="A27" s="65" t="s">
        <v>881</v>
      </c>
      <c r="B27" s="65"/>
      <c r="C27" s="65"/>
      <c r="D27" s="65"/>
      <c r="E27" s="65"/>
      <c r="F27" s="65"/>
      <c r="G27" s="65"/>
      <c r="H27" s="65"/>
    </row>
    <row r="28" spans="1:8" ht="18" customHeight="1">
      <c r="A28" s="62" t="s">
        <v>882</v>
      </c>
      <c r="B28" s="62"/>
      <c r="C28" s="62"/>
      <c r="D28" s="62"/>
      <c r="E28" s="62"/>
      <c r="F28" s="62"/>
      <c r="G28" s="62"/>
      <c r="H28" s="62"/>
    </row>
    <row r="29" spans="1:8" ht="18" customHeight="1">
      <c r="A29" s="62" t="s">
        <v>883</v>
      </c>
      <c r="B29" s="62"/>
      <c r="C29" s="62"/>
      <c r="D29" s="62"/>
      <c r="E29" s="62"/>
      <c r="F29" s="62"/>
      <c r="G29" s="62"/>
      <c r="H29" s="62"/>
    </row>
    <row r="30" spans="1:8" ht="18" customHeight="1">
      <c r="A30" s="62" t="s">
        <v>884</v>
      </c>
      <c r="B30" s="62"/>
      <c r="C30" s="62"/>
      <c r="D30" s="62"/>
      <c r="E30" s="62"/>
      <c r="F30" s="62"/>
      <c r="G30" s="62"/>
      <c r="H30" s="62"/>
    </row>
    <row r="31" spans="1:8" ht="18" customHeight="1">
      <c r="A31" s="62" t="s">
        <v>885</v>
      </c>
      <c r="B31" s="62"/>
      <c r="C31" s="62"/>
      <c r="D31" s="62"/>
      <c r="E31" s="62"/>
      <c r="F31" s="62"/>
      <c r="G31" s="62"/>
      <c r="H31" s="62"/>
    </row>
    <row r="32" spans="1:8" ht="9" customHeight="1">
      <c r="A32" s="32"/>
      <c r="B32" s="32"/>
      <c r="C32" s="32"/>
      <c r="D32" s="32"/>
      <c r="E32" s="32"/>
      <c r="F32" s="32"/>
      <c r="G32" s="32"/>
      <c r="H32" s="32"/>
    </row>
    <row r="33" spans="1:8" ht="23" customHeight="1">
      <c r="A33" s="65" t="s">
        <v>886</v>
      </c>
      <c r="B33" s="65"/>
      <c r="C33" s="65"/>
      <c r="D33" s="65"/>
      <c r="E33" s="65"/>
      <c r="F33" s="65"/>
      <c r="G33" s="65"/>
      <c r="H33" s="65"/>
    </row>
    <row r="34" spans="1:8" ht="18" customHeight="1">
      <c r="A34" s="62" t="s">
        <v>887</v>
      </c>
      <c r="B34" s="62"/>
      <c r="C34" s="62"/>
      <c r="D34" s="62"/>
      <c r="E34" s="62"/>
      <c r="F34" s="62"/>
      <c r="G34" s="62"/>
      <c r="H34" s="62"/>
    </row>
    <row r="35" spans="1:8" ht="18" customHeight="1">
      <c r="A35" s="62" t="s">
        <v>888</v>
      </c>
      <c r="B35" s="62"/>
      <c r="C35" s="62"/>
      <c r="D35" s="62"/>
      <c r="E35" s="62"/>
      <c r="F35" s="62"/>
      <c r="G35" s="62"/>
      <c r="H35" s="62"/>
    </row>
    <row r="36" spans="1:8" ht="18" customHeight="1">
      <c r="A36" s="62" t="s">
        <v>889</v>
      </c>
      <c r="B36" s="62"/>
      <c r="C36" s="62"/>
      <c r="D36" s="62"/>
      <c r="E36" s="62"/>
      <c r="F36" s="62"/>
      <c r="G36" s="62"/>
      <c r="H36" s="62"/>
    </row>
    <row r="37" spans="1:8" ht="18" customHeight="1">
      <c r="A37" s="62" t="s">
        <v>890</v>
      </c>
      <c r="B37" s="62"/>
      <c r="C37" s="62"/>
      <c r="D37" s="62"/>
      <c r="E37" s="62"/>
      <c r="F37" s="62"/>
      <c r="G37" s="62"/>
      <c r="H37" s="62"/>
    </row>
    <row r="38" spans="1:8" ht="18" customHeight="1">
      <c r="A38" s="62" t="s">
        <v>891</v>
      </c>
      <c r="B38" s="62"/>
      <c r="C38" s="62"/>
      <c r="D38" s="62"/>
      <c r="E38" s="62"/>
      <c r="F38" s="62"/>
      <c r="G38" s="62"/>
      <c r="H38" s="62"/>
    </row>
    <row r="39" spans="1:8" ht="18" customHeight="1">
      <c r="A39" s="62" t="s">
        <v>892</v>
      </c>
      <c r="B39" s="62"/>
      <c r="C39" s="62"/>
      <c r="D39" s="62"/>
      <c r="E39" s="62"/>
      <c r="F39" s="62"/>
      <c r="G39" s="62"/>
      <c r="H39" s="62"/>
    </row>
    <row r="40" spans="1:8" ht="18" customHeight="1">
      <c r="A40" s="62" t="s">
        <v>893</v>
      </c>
      <c r="B40" s="62"/>
      <c r="C40" s="62"/>
      <c r="D40" s="62"/>
      <c r="E40" s="62"/>
      <c r="F40" s="62"/>
      <c r="G40" s="62"/>
      <c r="H40" s="62"/>
    </row>
    <row r="41" spans="1:8" ht="24" customHeight="1">
      <c r="A41" s="68" t="s">
        <v>769</v>
      </c>
      <c r="B41" s="68"/>
      <c r="C41" s="68"/>
      <c r="D41" s="69" t="s">
        <v>894</v>
      </c>
      <c r="E41" s="69"/>
      <c r="F41" s="69"/>
      <c r="G41" s="70" t="s">
        <v>895</v>
      </c>
      <c r="H41" s="70"/>
    </row>
    <row r="42" spans="1:8" ht="9" customHeight="1">
      <c r="A42" s="32"/>
      <c r="B42" s="32"/>
      <c r="C42" s="32"/>
      <c r="D42" s="32"/>
      <c r="E42" s="32"/>
      <c r="F42" s="32"/>
      <c r="G42" s="32"/>
      <c r="H42" s="32"/>
    </row>
    <row r="43" spans="1:8" ht="18" customHeight="1">
      <c r="A43" s="67" t="s">
        <v>896</v>
      </c>
      <c r="B43" s="67"/>
      <c r="C43" s="67"/>
      <c r="D43" s="67"/>
      <c r="E43" s="67"/>
      <c r="F43" s="67"/>
      <c r="G43" s="67"/>
      <c r="H43" s="67"/>
    </row>
    <row r="44" spans="1:8" ht="18" customHeight="1">
      <c r="A44" s="67" t="s">
        <v>897</v>
      </c>
      <c r="B44" s="67"/>
      <c r="C44" s="67"/>
      <c r="D44" s="67"/>
      <c r="E44" s="67"/>
      <c r="F44" s="67"/>
      <c r="G44" s="67"/>
      <c r="H44" s="67"/>
    </row>
  </sheetData>
  <WedgeCells count="43">
    <WedgeCell ref="A44:H44"/>
    <WedgeCell ref="A34:H34"/>
    <WedgeCell ref="A35:H35"/>
    <WedgeCell ref="A36:H36"/>
    <WedgeCell ref="A37:H37"/>
    <WedgeCell ref="A38:H38"/>
    <WedgeCell ref="A39:H39"/>
    <WedgeCell ref="A40:H40"/>
    <WedgeCell ref="A41:C41"/>
    <WedgeCell ref="D41:F41"/>
    <WedgeCell ref="G41:H41"/>
    <WedgeCell ref="A43:H43"/>
    <WedgeCell ref="A33:H33"/>
    <WedgeCell ref="A22:C22"/>
    <WedgeCell ref="D22:H22"/>
    <WedgeCell ref="A23:C23"/>
    <WedgeCell ref="D23:H23"/>
    <WedgeCell ref="A24:H24"/>
    <WedgeCell ref="A25:H25"/>
    <WedgeCell ref="A27:H27"/>
    <WedgeCell ref="A28:H28"/>
    <WedgeCell ref="A29:H29"/>
    <WedgeCell ref="A30:H30"/>
    <WedgeCell ref="A31:H31"/>
    <WedgeCell ref="A21:C21"/>
    <WedgeCell ref="D21:H21"/>
    <WedgeCell ref="A9:H9"/>
    <WedgeCell ref="A10:H10"/>
    <WedgeCell ref="A11:H11"/>
    <WedgeCell ref="A13:H13"/>
    <WedgeCell ref="A14:H14"/>
    <WedgeCell ref="A15:H15"/>
    <WedgeCell ref="A16:H16"/>
    <WedgeCell ref="A17:H17"/>
    <WedgeCell ref="A19:H19"/>
    <WedgeCell ref="A20:C20"/>
    <WedgeCell ref="D20:H20"/>
    <WedgeCell ref="A8:H8"/>
    <WedgeCell ref="A2:H2"/>
    <WedgeCell ref="A3:H3"/>
    <WedgeCell ref="A4:H4"/>
    <WedgeCell ref="A6:H6"/>
    <WedgeCell ref="A7:H7"/>
  </WedgeCells>
  <pagemargins left="0.3" right="0.3" top="0.3" bottom="0.3"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Tue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86567"/>
  </sheetPr>
  <dimension ref="A1:M36"/>
  <sheetViews>
    <sheetView showGridLines="0" zoomScale="90" zoomScaleNormal="90" workbookViewId="0">
      <pane ySplit="11" topLeftCell="A32" activePane="bottomLeft" state="frozen"/>
      <selection pane="bottomLeft" activeCell="B33" sqref="B33"/>
    </sheetView>
  </sheetViews>
  <sheetFormatPr defaultRowHeight="13.5"/>
  <cols>
    <col min="1" max="1" width="7" customWidth="1"/>
    <col min="2" max="2" width="21" customWidth="1"/>
    <col min="3" max="3" width="14" customWidth="1"/>
    <col min="4" max="4" width="17" customWidth="1"/>
    <col min="5" max="6" width="13" customWidth="1"/>
    <col min="7" max="13" width="7" customWidth="1"/>
  </cols>
  <sheetData>
    <row r="1" spans="1:13" ht="32" customHeight="1">
      <c r="A1" s="71" t="s">
        <v>0</v>
      </c>
      <c r="B1" s="53"/>
      <c r="C1" s="53"/>
      <c r="D1" s="53"/>
      <c r="E1" s="53"/>
      <c r="F1" s="53"/>
      <c r="G1" s="53"/>
      <c r="H1" s="53"/>
      <c r="I1" s="53"/>
      <c r="J1" s="53"/>
      <c r="K1" s="53"/>
      <c r="L1" s="53"/>
      <c r="M1" s="53"/>
    </row>
    <row r="2" spans="1:13" ht="23" customHeight="1">
      <c r="A2" s="53" t="s">
        <v>1</v>
      </c>
      <c r="B2" s="53"/>
      <c r="C2" s="53"/>
      <c r="D2" s="53"/>
      <c r="E2" s="53"/>
      <c r="F2" s="53"/>
      <c r="G2" s="53"/>
      <c r="H2" s="53"/>
      <c r="I2" s="53"/>
      <c r="J2" s="53"/>
      <c r="K2" s="53"/>
      <c r="L2" s="53"/>
      <c r="M2" s="53"/>
    </row>
    <row r="3" spans="1:13" ht="23" customHeight="1">
      <c r="A3" s="2"/>
      <c r="B3" s="2"/>
      <c r="C3" s="2"/>
      <c r="D3" s="2"/>
      <c r="E3" s="2"/>
      <c r="F3" s="2"/>
      <c r="G3" s="2"/>
      <c r="H3" s="2"/>
      <c r="I3" s="2"/>
      <c r="J3" s="2"/>
      <c r="K3" s="2"/>
      <c r="L3" s="2"/>
      <c r="M3" s="2"/>
    </row>
    <row r="4" spans="1:13" ht="23" customHeight="1">
      <c r="A4" s="72" t="s">
        <v>2</v>
      </c>
      <c r="B4" s="72"/>
      <c r="C4" s="72"/>
      <c r="D4" s="72"/>
      <c r="E4" s="2"/>
      <c r="F4" s="72" t="s">
        <v>3</v>
      </c>
      <c r="G4" s="72"/>
      <c r="H4" s="72"/>
      <c r="I4" s="72"/>
      <c r="J4" s="72"/>
      <c r="K4" s="72"/>
      <c r="L4" s="72"/>
      <c r="M4" s="72"/>
    </row>
    <row r="5" spans="1:13" ht="23" customHeight="1">
      <c r="A5" s="2"/>
      <c r="B5" s="2" t="s">
        <v>4</v>
      </c>
      <c r="C5" s="47">
        <v>46289</v>
      </c>
      <c r="D5" s="2"/>
      <c r="E5" s="2"/>
      <c r="F5" s="53" t="s">
        <v>5</v>
      </c>
      <c r="G5" s="53"/>
      <c r="H5" s="53"/>
      <c r="I5" s="53"/>
      <c r="J5" s="50">
        <v>2</v>
      </c>
      <c r="K5" s="2"/>
      <c r="L5" s="2"/>
      <c r="M5" s="2"/>
    </row>
    <row r="6" spans="1:13" ht="23" customHeight="1">
      <c r="A6" s="2"/>
      <c r="B6" s="2" t="s">
        <v>6</v>
      </c>
      <c r="C6" s="48">
        <v>0</v>
      </c>
      <c r="D6" s="2"/>
      <c r="E6" s="2"/>
      <c r="F6" s="53" t="s">
        <v>7</v>
      </c>
      <c r="G6" s="53"/>
      <c r="H6" s="53"/>
      <c r="I6" s="53"/>
      <c r="J6" s="50">
        <v>2</v>
      </c>
      <c r="K6" s="2"/>
      <c r="L6" s="2"/>
      <c r="M6" s="2"/>
    </row>
    <row r="7" spans="1:13" ht="23" customHeight="1">
      <c r="A7" s="2"/>
      <c r="B7" s="2" t="s">
        <v>8</v>
      </c>
      <c r="C7" s="49">
        <v>30</v>
      </c>
      <c r="D7" s="2"/>
      <c r="E7" s="2"/>
      <c r="F7" s="2"/>
      <c r="G7" s="2"/>
      <c r="H7" s="2"/>
      <c r="I7" s="2"/>
      <c r="J7" s="2"/>
      <c r="K7" s="2"/>
      <c r="L7" s="2"/>
      <c r="M7" s="2"/>
    </row>
    <row r="8" spans="1:13" ht="23" customHeight="1">
      <c r="A8" s="2"/>
      <c r="B8" s="2" t="s">
        <v>9</v>
      </c>
      <c r="C8" s="32">
        <f>48*C7/60</f>
        <v>24</v>
      </c>
      <c r="D8" s="2"/>
      <c r="E8" s="2"/>
      <c r="F8" s="73" t="s">
        <v>10</v>
      </c>
      <c r="G8" s="73"/>
      <c r="H8" s="73"/>
      <c r="I8" s="73"/>
      <c r="J8" s="73"/>
      <c r="K8" s="73"/>
      <c r="L8" s="73"/>
      <c r="M8" s="73"/>
    </row>
    <row r="9" spans="1:13" ht="23" customHeight="1">
      <c r="A9" s="2"/>
      <c r="B9" s="2"/>
      <c r="C9" s="2"/>
      <c r="D9" s="2"/>
      <c r="E9" s="2"/>
      <c r="F9" s="2"/>
      <c r="G9" s="2"/>
      <c r="H9" s="2"/>
      <c r="I9" s="2"/>
      <c r="J9" s="2"/>
      <c r="K9" s="2"/>
      <c r="L9" s="2"/>
      <c r="M9" s="2"/>
    </row>
    <row r="10" spans="1:13" ht="23" customHeight="1">
      <c r="A10" s="72" t="s">
        <v>11</v>
      </c>
      <c r="B10" s="72"/>
      <c r="C10" s="72"/>
      <c r="D10" s="72"/>
      <c r="E10" s="72"/>
      <c r="F10" s="72"/>
      <c r="G10" s="72"/>
      <c r="H10" s="72"/>
      <c r="I10" s="72"/>
      <c r="J10" s="72"/>
      <c r="K10" s="72"/>
      <c r="L10" s="72"/>
      <c r="M10" s="72"/>
    </row>
    <row r="11" spans="1:13" ht="23" customHeight="1">
      <c r="A11" s="3" t="s">
        <v>12</v>
      </c>
      <c r="B11" s="3" t="s">
        <v>13</v>
      </c>
      <c r="C11" s="3" t="s">
        <v>14</v>
      </c>
      <c r="D11" s="3" t="s">
        <v>15</v>
      </c>
      <c r="E11" s="3" t="s">
        <v>16</v>
      </c>
      <c r="F11" s="3" t="s">
        <v>17</v>
      </c>
      <c r="G11" s="3" t="s">
        <v>18</v>
      </c>
      <c r="H11" s="3" t="s">
        <v>19</v>
      </c>
      <c r="I11" s="3" t="s">
        <v>20</v>
      </c>
      <c r="J11" s="3" t="s">
        <v>21</v>
      </c>
      <c r="K11" s="3" t="s">
        <v>22</v>
      </c>
      <c r="L11" s="3" t="s">
        <v>23</v>
      </c>
      <c r="M11" s="3" t="s">
        <v>24</v>
      </c>
    </row>
    <row r="12" spans="1:13" ht="29" customHeight="1">
      <c r="A12" s="2">
        <v>1</v>
      </c>
      <c r="B12" s="5" t="s">
        <v>25</v>
      </c>
      <c r="C12" s="7" t="s">
        <v>26</v>
      </c>
      <c r="D12" s="7" t="s">
        <v>27</v>
      </c>
      <c r="E12" s="8">
        <v>0.20833333333333301</v>
      </c>
      <c r="F12" s="8">
        <v>0.95833333333333304</v>
      </c>
      <c r="G12" s="9">
        <v>0</v>
      </c>
      <c r="H12" s="9">
        <v>0</v>
      </c>
      <c r="I12" s="9">
        <v>0</v>
      </c>
      <c r="J12" s="9">
        <v>0</v>
      </c>
      <c r="K12" s="9">
        <v>0</v>
      </c>
      <c r="L12" s="9">
        <v>0</v>
      </c>
      <c r="M12" s="9">
        <v>0</v>
      </c>
    </row>
    <row r="13" spans="1:13" ht="29" customHeight="1">
      <c r="A13" s="2">
        <v>2</v>
      </c>
      <c r="B13" s="5" t="s">
        <v>28</v>
      </c>
      <c r="C13" s="7" t="s">
        <v>29</v>
      </c>
      <c r="D13" s="7" t="s">
        <v>30</v>
      </c>
      <c r="E13" s="8">
        <v>0.375</v>
      </c>
      <c r="F13" s="8">
        <v>0.75</v>
      </c>
      <c r="G13" s="9">
        <v>0</v>
      </c>
      <c r="H13" s="9">
        <v>0</v>
      </c>
      <c r="I13" s="9">
        <v>0</v>
      </c>
      <c r="J13" s="9">
        <v>0</v>
      </c>
      <c r="K13" s="9">
        <v>0</v>
      </c>
      <c r="L13" s="9">
        <v>1</v>
      </c>
      <c r="M13" s="9">
        <v>1</v>
      </c>
    </row>
    <row r="14" spans="1:13" ht="29" customHeight="1">
      <c r="A14" s="2">
        <v>3</v>
      </c>
      <c r="B14" s="5" t="s">
        <v>31</v>
      </c>
      <c r="C14" s="7" t="s">
        <v>32</v>
      </c>
      <c r="D14" s="7" t="s">
        <v>33</v>
      </c>
      <c r="E14" s="8">
        <v>0.375</v>
      </c>
      <c r="F14" s="8">
        <v>0.75</v>
      </c>
      <c r="G14" s="9">
        <v>0</v>
      </c>
      <c r="H14" s="9">
        <v>0</v>
      </c>
      <c r="I14" s="9">
        <v>0</v>
      </c>
      <c r="J14" s="9">
        <v>0</v>
      </c>
      <c r="K14" s="9">
        <v>0</v>
      </c>
      <c r="L14" s="9">
        <v>1</v>
      </c>
      <c r="M14" s="9">
        <v>1</v>
      </c>
    </row>
    <row r="15" spans="1:13" ht="29" customHeight="1">
      <c r="A15" s="2">
        <v>4</v>
      </c>
      <c r="B15" s="5" t="s">
        <v>34</v>
      </c>
      <c r="C15" s="7" t="s">
        <v>35</v>
      </c>
      <c r="D15" s="7" t="s">
        <v>36</v>
      </c>
      <c r="E15" s="8">
        <v>0.375</v>
      </c>
      <c r="F15" s="8">
        <v>0.75</v>
      </c>
      <c r="G15" s="9">
        <v>0</v>
      </c>
      <c r="H15" s="9">
        <v>0</v>
      </c>
      <c r="I15" s="9">
        <v>0</v>
      </c>
      <c r="J15" s="9">
        <v>0</v>
      </c>
      <c r="K15" s="9">
        <v>0</v>
      </c>
      <c r="L15" s="9">
        <v>1</v>
      </c>
      <c r="M15" s="9">
        <v>1</v>
      </c>
    </row>
    <row r="16" spans="1:13" ht="29" customHeight="1">
      <c r="A16" s="2">
        <v>5</v>
      </c>
      <c r="B16" s="5" t="s">
        <v>37</v>
      </c>
      <c r="C16" s="7" t="s">
        <v>38</v>
      </c>
      <c r="D16" s="7" t="s">
        <v>39</v>
      </c>
      <c r="E16" s="8">
        <v>0.375</v>
      </c>
      <c r="F16" s="8">
        <v>0.75</v>
      </c>
      <c r="G16" s="9">
        <v>0</v>
      </c>
      <c r="H16" s="9">
        <v>0</v>
      </c>
      <c r="I16" s="9">
        <v>0</v>
      </c>
      <c r="J16" s="9">
        <v>0</v>
      </c>
      <c r="K16" s="9">
        <v>0</v>
      </c>
      <c r="L16" s="9">
        <v>1</v>
      </c>
      <c r="M16" s="9">
        <v>1</v>
      </c>
    </row>
    <row r="17" spans="1:13" ht="29" customHeight="1">
      <c r="A17" s="2">
        <v>6</v>
      </c>
      <c r="B17" s="5" t="s">
        <v>40</v>
      </c>
      <c r="C17" s="7" t="s">
        <v>41</v>
      </c>
      <c r="D17" s="7" t="s">
        <v>42</v>
      </c>
      <c r="E17" s="8">
        <v>0.375</v>
      </c>
      <c r="F17" s="8">
        <v>0.75</v>
      </c>
      <c r="G17" s="9">
        <v>0</v>
      </c>
      <c r="H17" s="9">
        <v>0</v>
      </c>
      <c r="I17" s="9">
        <v>0</v>
      </c>
      <c r="J17" s="9">
        <v>0</v>
      </c>
      <c r="K17" s="9">
        <v>0</v>
      </c>
      <c r="L17" s="9">
        <v>1</v>
      </c>
      <c r="M17" s="9">
        <v>1</v>
      </c>
    </row>
    <row r="18" spans="1:13" ht="29" customHeight="1">
      <c r="A18" s="2">
        <v>7</v>
      </c>
      <c r="B18" s="5" t="s">
        <v>43</v>
      </c>
      <c r="C18" s="7" t="s">
        <v>44</v>
      </c>
      <c r="D18" s="7" t="s">
        <v>42</v>
      </c>
      <c r="E18" s="8">
        <v>0.375</v>
      </c>
      <c r="F18" s="8">
        <v>0.75</v>
      </c>
      <c r="G18" s="9">
        <v>0</v>
      </c>
      <c r="H18" s="9">
        <v>0</v>
      </c>
      <c r="I18" s="9">
        <v>0</v>
      </c>
      <c r="J18" s="9">
        <v>0</v>
      </c>
      <c r="K18" s="9">
        <v>0</v>
      </c>
      <c r="L18" s="9">
        <v>1</v>
      </c>
      <c r="M18" s="9">
        <v>1</v>
      </c>
    </row>
    <row r="19" spans="1:13" ht="23" customHeight="1">
      <c r="A19" s="2"/>
      <c r="B19" s="2"/>
      <c r="C19" s="2"/>
      <c r="D19" s="2"/>
      <c r="E19" s="2"/>
      <c r="F19" s="2"/>
      <c r="G19" s="2"/>
      <c r="H19" s="2"/>
      <c r="I19" s="2"/>
      <c r="J19" s="2"/>
      <c r="K19" s="2"/>
      <c r="L19" s="2"/>
      <c r="M19" s="2"/>
    </row>
    <row r="20" spans="1:13" ht="23" customHeight="1">
      <c r="A20" s="74" t="s">
        <v>45</v>
      </c>
      <c r="B20" s="74"/>
      <c r="C20" s="74"/>
      <c r="D20" s="74"/>
      <c r="E20" s="74"/>
      <c r="F20" s="74"/>
      <c r="G20" s="74"/>
      <c r="H20" s="74"/>
      <c r="I20" s="74"/>
      <c r="J20" s="74"/>
      <c r="K20" s="74"/>
      <c r="L20" s="74"/>
      <c r="M20" s="74"/>
    </row>
    <row r="21" spans="1:13" ht="23" customHeight="1">
      <c r="A21" s="74" t="s">
        <v>46</v>
      </c>
      <c r="B21" s="74"/>
      <c r="C21" s="74"/>
      <c r="D21" s="74"/>
      <c r="E21" s="74"/>
      <c r="F21" s="74"/>
      <c r="G21" s="74"/>
      <c r="H21" s="74"/>
      <c r="I21" s="74"/>
      <c r="J21" s="74"/>
      <c r="K21" s="74"/>
      <c r="L21" s="74"/>
      <c r="M21" s="74"/>
    </row>
    <row r="22" spans="1:13" ht="23" customHeight="1">
      <c r="A22" s="74" t="s">
        <v>1456</v>
      </c>
      <c r="B22" s="74"/>
      <c r="C22" s="74"/>
      <c r="D22" s="74"/>
      <c r="E22" s="74"/>
      <c r="F22" s="74"/>
      <c r="G22" s="74"/>
      <c r="H22" s="74"/>
      <c r="I22" s="74"/>
      <c r="J22" s="74"/>
      <c r="K22" s="74"/>
      <c r="L22" s="74"/>
      <c r="M22" s="74"/>
    </row>
    <row r="23" spans="1:13" ht="23" customHeight="1">
      <c r="A23" s="2"/>
      <c r="B23" s="2"/>
      <c r="C23" s="2"/>
      <c r="D23" s="2"/>
      <c r="E23" s="2"/>
      <c r="F23" s="2"/>
      <c r="G23" s="2"/>
      <c r="H23" s="2"/>
      <c r="I23" s="2"/>
      <c r="J23" s="2"/>
      <c r="K23" s="2"/>
      <c r="L23" s="2"/>
      <c r="M23" s="2"/>
    </row>
    <row r="24" spans="1:13" ht="23" customHeight="1">
      <c r="A24" s="72" t="s">
        <v>47</v>
      </c>
      <c r="B24" s="72"/>
      <c r="C24" s="72"/>
      <c r="D24" s="72"/>
      <c r="E24" s="72"/>
      <c r="F24" s="72"/>
      <c r="G24" s="72"/>
      <c r="H24" s="72"/>
      <c r="I24" s="72"/>
      <c r="J24" s="72"/>
      <c r="K24" s="72"/>
      <c r="L24" s="72"/>
      <c r="M24" s="72"/>
    </row>
    <row r="25" spans="1:13" ht="23" customHeight="1">
      <c r="A25" s="2" t="s">
        <v>48</v>
      </c>
      <c r="B25" s="75"/>
      <c r="C25" s="75"/>
      <c r="D25" s="75"/>
      <c r="E25" s="75"/>
      <c r="F25" s="75"/>
      <c r="G25" s="75"/>
      <c r="H25" s="75"/>
      <c r="I25" s="75"/>
      <c r="J25" s="75"/>
      <c r="K25" s="75"/>
      <c r="L25" s="75"/>
      <c r="M25" s="75"/>
    </row>
    <row r="26" spans="1:13" ht="23" customHeight="1">
      <c r="A26" s="2"/>
      <c r="B26" s="2"/>
      <c r="C26" s="2"/>
      <c r="D26" s="2"/>
      <c r="E26" s="2"/>
      <c r="F26" s="2"/>
      <c r="G26" s="2"/>
      <c r="H26" s="2"/>
      <c r="I26" s="2"/>
      <c r="J26" s="2"/>
      <c r="K26" s="2"/>
      <c r="L26" s="2"/>
      <c r="M26" s="2"/>
    </row>
    <row r="27" spans="1:13" ht="23" customHeight="1">
      <c r="A27" s="74" t="s">
        <v>1457</v>
      </c>
      <c r="B27" s="74"/>
      <c r="C27" s="74"/>
      <c r="D27" s="74"/>
      <c r="E27" s="74"/>
      <c r="F27" s="74"/>
      <c r="G27" s="74"/>
      <c r="H27" s="74"/>
      <c r="I27" s="74"/>
      <c r="J27" s="74"/>
      <c r="K27" s="74"/>
      <c r="L27" s="74"/>
      <c r="M27" s="74"/>
    </row>
    <row r="28" spans="1:13" ht="23" customHeight="1">
      <c r="A28" s="74" t="s">
        <v>49</v>
      </c>
      <c r="B28" s="74"/>
      <c r="C28" s="74"/>
      <c r="D28" s="74"/>
      <c r="E28" s="74"/>
      <c r="F28" s="74"/>
      <c r="G28" s="74"/>
      <c r="H28" s="74"/>
      <c r="I28" s="74"/>
      <c r="J28" s="74"/>
      <c r="K28" s="74"/>
      <c r="L28" s="74"/>
      <c r="M28" s="74"/>
    </row>
    <row r="29" spans="1:13" ht="23" customHeight="1">
      <c r="A29" s="74" t="s">
        <v>50</v>
      </c>
      <c r="B29" s="74"/>
      <c r="C29" s="74"/>
      <c r="D29" s="74"/>
      <c r="E29" s="74"/>
      <c r="F29" s="74"/>
      <c r="G29" s="74"/>
      <c r="H29" s="74"/>
      <c r="I29" s="74"/>
      <c r="J29" s="74"/>
      <c r="K29" s="74"/>
      <c r="L29" s="74"/>
      <c r="M29" s="74"/>
    </row>
    <row r="30" spans="1:13" ht="24" customHeight="1">
      <c r="A30" s="76" t="s">
        <v>919</v>
      </c>
      <c r="B30" s="76"/>
      <c r="C30" s="76"/>
      <c r="D30" s="76"/>
      <c r="E30" s="76"/>
      <c r="F30" s="76"/>
      <c r="G30" s="76"/>
      <c r="H30" s="76"/>
      <c r="I30" s="76"/>
      <c r="J30" s="76"/>
      <c r="K30" s="76"/>
      <c r="L30" s="76"/>
      <c r="M30" s="76"/>
    </row>
    <row r="31" spans="1:13" ht="24" customHeight="1">
      <c r="A31" s="2"/>
      <c r="B31" s="80" t="s">
        <v>1473</v>
      </c>
      <c r="C31" s="80"/>
      <c r="D31" s="80"/>
      <c r="E31" s="80"/>
      <c r="F31" s="80"/>
      <c r="G31" s="2"/>
      <c r="H31" s="2"/>
      <c r="I31" s="2"/>
      <c r="J31" s="2"/>
      <c r="K31" s="2"/>
      <c r="L31" s="2"/>
      <c r="M31" s="2"/>
    </row>
    <row r="32" spans="1:13" ht="24" customHeight="1">
      <c r="A32" s="2" t="s">
        <v>1472</v>
      </c>
      <c r="B32" s="77"/>
      <c r="C32" s="77"/>
      <c r="D32" s="77"/>
      <c r="E32" s="77"/>
      <c r="F32" s="77"/>
      <c r="G32" s="2"/>
      <c r="H32" s="2"/>
      <c r="I32" s="2"/>
      <c r="J32" s="2"/>
      <c r="K32" s="2"/>
      <c r="L32" s="2"/>
      <c r="M32" s="2"/>
    </row>
    <row r="33" spans="1:13" ht="24" customHeight="1"/>
    <row r="34" spans="1:13" ht="24" customHeight="1">
      <c r="A34" s="78" t="s">
        <v>920</v>
      </c>
      <c r="B34" s="78"/>
      <c r="C34" s="78"/>
      <c r="D34" s="78"/>
      <c r="E34" s="78"/>
      <c r="F34" s="78"/>
      <c r="G34" s="78"/>
      <c r="H34" s="78"/>
      <c r="I34" s="78"/>
      <c r="J34" s="78"/>
      <c r="K34" s="78"/>
      <c r="L34" s="78"/>
      <c r="M34" s="78"/>
    </row>
    <row r="35" spans="1:13" ht="24" customHeight="1">
      <c r="A35" s="79" t="s">
        <v>921</v>
      </c>
      <c r="B35" s="79"/>
      <c r="C35" s="79"/>
      <c r="D35" s="79"/>
      <c r="E35" s="79"/>
      <c r="F35" s="79"/>
      <c r="G35" s="79"/>
      <c r="H35" s="79"/>
      <c r="I35" s="79"/>
      <c r="J35" s="79"/>
      <c r="K35" s="79"/>
      <c r="L35" s="79"/>
      <c r="M35" s="79"/>
    </row>
    <row r="36" spans="1:13" ht="24" customHeight="1">
      <c r="A36" s="78" t="s">
        <v>922</v>
      </c>
      <c r="B36" s="78"/>
      <c r="C36" s="78"/>
      <c r="D36" s="78"/>
      <c r="E36" s="78"/>
      <c r="F36" s="78"/>
      <c r="G36" s="78"/>
      <c r="H36" s="78"/>
      <c r="I36" s="78"/>
      <c r="J36" s="78"/>
      <c r="K36" s="78"/>
      <c r="L36" s="78"/>
      <c r="M36" s="78"/>
    </row>
  </sheetData>
  <WedgeCells count="22">
    <WedgeCell ref="A30:M30"/>
    <WedgeCell ref="B32:F32"/>
    <WedgeCell ref="A34:M34"/>
    <WedgeCell ref="A35:M35"/>
    <WedgeCell ref="A36:M36"/>
    <WedgeCell ref="B31:F31"/>
    <WedgeCell ref="A29:M29"/>
    <WedgeCell ref="A22:M22"/>
    <WedgeCell ref="A24:M24"/>
    <WedgeCell ref="B25:M25"/>
    <WedgeCell ref="A27:M27"/>
    <WedgeCell ref="A28:M28"/>
    <WedgeCell ref="F6:I6"/>
    <WedgeCell ref="F8:M8"/>
    <WedgeCell ref="A10:M10"/>
    <WedgeCell ref="A20:M20"/>
    <WedgeCell ref="A21:M21"/>
    <WedgeCell ref="A1:M1"/>
    <WedgeCell ref="A2:M2"/>
    <WedgeCell ref="A4:D4"/>
    <WedgeCell ref="F4:M4"/>
    <WedgeCell ref="F5:I5"/>
  </WedgeCells>
  <conditionalFormatting sqref="G12:M18">
    <cfRule type="expression" dxfId="9" priority="1">
      <formula>G12=1</formula>
    </cfRule>
  </conditionalFormatting>
  <dataValidations count="7">
    <dataValidation type="list" showErrorMessage="1" sqref="C7" xr:uid="{00000000-0002-0000-0000-000000000000}">
      <formula1>"30,60"</formula1>
    </dataValidation>
    <dataValidation type="list" showErrorMessage="1" sqref="G12:M18" xr:uid="{00000000-0002-0000-0000-000003000000}">
      <formula1>"0,1"</formula1>
    </dataValidation>
    <dataValidation type="date" showErrorMessage="1" sqref="C5" xr:uid="{00000000-0002-0000-0000-000004000000}">
      <formula1>46023</formula1>
      <formula2>47118</formula2>
    </dataValidation>
    <dataValidation type="decimal" showErrorMessage="1" sqref="E12:F18 C6" xr:uid="{00000000-0002-0000-0000-000005000000}">
      <formula1>0</formula1>
      <formula2>0.9993055556</formula2>
    </dataValidation>
    <dataValidation type="decimal" showErrorMessage="1" sqref="J5:J6" xr:uid="{00000000-0002-0000-0000-000007000000}">
      <formula1>0</formula1>
      <formula2>24</formula2>
    </dataValidation>
    <dataValidation type="list" allowBlank="1" showInputMessage="1" showErrorMessage="1" errorTitle="Valore non valido" error="Seleziona un codice presente nel menu." sqref="C12:C18" xr:uid="{3C4517CF-A666-4926-BE5A-1D1F7ED60E99}">
      <formula1>AvailableZoneCodes</formula1>
    </dataValidation>
    <dataValidation type="list" allowBlank="1" showInputMessage="1" showErrorMessage="1" sqref="D12:D18" xr:uid="{4E9A5890-8FA8-4DB5-AE69-A6FEDFFECC51}">
      <formula1>CalendarCodes</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Tue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3447B-312D-4A3B-89B8-E7BC7FF5E7B8}">
  <sheetPr>
    <tabColor rgb="FF286567"/>
    <pageSetUpPr fitToPage="1"/>
  </sheetPr>
  <dimension ref="A1:G109"/>
  <sheetViews>
    <sheetView showGridLines="0" workbookViewId="0">
      <pane ySplit="9" topLeftCell="A64" activePane="bottomLeft" state="frozen"/>
      <selection pane="bottomLeft" sqref="A1:G1"/>
    </sheetView>
  </sheetViews>
  <sheetFormatPr defaultRowHeight="13.5"/>
  <cols>
    <col min="1" max="1" width="11" customWidth="1"/>
    <col min="2" max="3" width="15" customWidth="1"/>
    <col min="4" max="4" width="16" customWidth="1"/>
    <col min="5" max="5" width="45" customWidth="1"/>
    <col min="6" max="6" width="13" customWidth="1"/>
    <col min="7" max="7" width="18" customWidth="1"/>
  </cols>
  <sheetData>
    <row r="1" spans="1:7" ht="30" customHeight="1">
      <c r="A1" s="81" t="s">
        <v>847</v>
      </c>
      <c r="B1" s="82"/>
      <c r="C1" s="82"/>
      <c r="D1" s="82"/>
      <c r="E1" s="82"/>
      <c r="F1" s="82"/>
      <c r="G1" s="82"/>
    </row>
    <row r="2" spans="1:7">
      <c r="A2" s="1"/>
      <c r="B2" s="1"/>
      <c r="C2" s="1"/>
      <c r="D2" s="1"/>
      <c r="E2" s="1"/>
      <c r="F2" s="1"/>
      <c r="G2" s="1"/>
    </row>
    <row r="3" spans="1:7" ht="23" customHeight="1">
      <c r="A3" s="82" t="s">
        <v>848</v>
      </c>
      <c r="B3" s="82"/>
      <c r="C3" s="82"/>
      <c r="D3" s="82"/>
      <c r="E3" s="82"/>
      <c r="F3" s="82"/>
      <c r="G3" s="82"/>
    </row>
    <row r="4" spans="1:7" ht="23" customHeight="1">
      <c r="A4" s="82" t="s">
        <v>849</v>
      </c>
      <c r="B4" s="82"/>
      <c r="C4" s="82"/>
      <c r="D4" s="82"/>
      <c r="E4" s="82"/>
      <c r="F4" s="82"/>
      <c r="G4" s="82"/>
    </row>
    <row r="5" spans="1:7" ht="23" customHeight="1">
      <c r="A5" s="82" t="s">
        <v>850</v>
      </c>
      <c r="B5" s="82"/>
      <c r="C5" s="82"/>
      <c r="D5" s="82"/>
      <c r="E5" s="82"/>
      <c r="F5" s="82"/>
      <c r="G5" s="82"/>
    </row>
    <row r="6" spans="1:7" ht="23" customHeight="1">
      <c r="A6" s="1"/>
      <c r="B6" s="1"/>
      <c r="C6" s="1"/>
      <c r="D6" s="1"/>
      <c r="E6" s="1"/>
      <c r="F6" s="1"/>
      <c r="G6" s="1"/>
    </row>
    <row r="7" spans="1:7" ht="23" customHeight="1">
      <c r="A7" s="82" t="s">
        <v>851</v>
      </c>
      <c r="B7" s="82"/>
      <c r="C7" s="82"/>
      <c r="D7" s="82"/>
      <c r="E7" s="82"/>
      <c r="F7" s="82"/>
      <c r="G7" s="82"/>
    </row>
    <row r="8" spans="1:7">
      <c r="A8" s="1"/>
      <c r="B8" s="1"/>
      <c r="C8" s="1"/>
      <c r="D8" s="1"/>
      <c r="E8" s="1"/>
      <c r="F8" s="1"/>
      <c r="G8" s="1"/>
    </row>
    <row r="9" spans="1:7" ht="25.05" customHeight="1">
      <c r="A9" s="31" t="s">
        <v>852</v>
      </c>
      <c r="B9" s="31" t="s">
        <v>73</v>
      </c>
      <c r="C9" s="31" t="s">
        <v>74</v>
      </c>
      <c r="D9" s="31" t="s">
        <v>853</v>
      </c>
      <c r="E9" s="31" t="s">
        <v>854</v>
      </c>
      <c r="F9" s="31" t="s">
        <v>92</v>
      </c>
      <c r="G9" s="31" t="s">
        <v>855</v>
      </c>
    </row>
    <row r="10" spans="1:7" ht="23" customHeight="1">
      <c r="A10" s="5"/>
      <c r="B10" s="4"/>
      <c r="C10" s="4"/>
      <c r="D10" s="5"/>
      <c r="E10" s="5"/>
      <c r="F10" s="5"/>
      <c r="G10" s="18" t="str">
        <f t="shared" ref="G10:G41" si="0">IFERROR(IF(COUNTA(A10:F10)=0,"",IF(AND(ISNUMBER(F10),F10=0),"",IF(AND(F10=1,ISNUMBER(A10),A10=INT(A10),A10&gt;=1,A10&lt;=7,ISNUMBER(B10),ISNUMBER(C10),B10=INT(B10),C10=INT(C10),B10&gt;0,C10&gt;=B10,OR(D10="Rest",D10="Activity")),"OK","CONTROLLA"))),"CONTROLLA")</f>
        <v/>
      </c>
    </row>
    <row r="11" spans="1:7" ht="23" customHeight="1">
      <c r="A11" s="5"/>
      <c r="B11" s="4"/>
      <c r="C11" s="4"/>
      <c r="D11" s="5"/>
      <c r="E11" s="5"/>
      <c r="F11" s="5"/>
      <c r="G11" s="18" t="str">
        <f t="shared" si="0"/>
        <v/>
      </c>
    </row>
    <row r="12" spans="1:7" ht="23" customHeight="1">
      <c r="A12" s="5"/>
      <c r="B12" s="4"/>
      <c r="C12" s="4"/>
      <c r="D12" s="5"/>
      <c r="E12" s="5"/>
      <c r="F12" s="5"/>
      <c r="G12" s="18" t="str">
        <f t="shared" si="0"/>
        <v/>
      </c>
    </row>
    <row r="13" spans="1:7" ht="23" customHeight="1">
      <c r="A13" s="5"/>
      <c r="B13" s="4"/>
      <c r="C13" s="4"/>
      <c r="D13" s="5"/>
      <c r="E13" s="5"/>
      <c r="F13" s="5"/>
      <c r="G13" s="18" t="str">
        <f t="shared" si="0"/>
        <v/>
      </c>
    </row>
    <row r="14" spans="1:7" ht="23" customHeight="1">
      <c r="A14" s="5"/>
      <c r="B14" s="4"/>
      <c r="C14" s="4"/>
      <c r="D14" s="5"/>
      <c r="E14" s="5"/>
      <c r="F14" s="5"/>
      <c r="G14" s="18" t="str">
        <f t="shared" si="0"/>
        <v/>
      </c>
    </row>
    <row r="15" spans="1:7" ht="23" customHeight="1">
      <c r="A15" s="5"/>
      <c r="B15" s="4"/>
      <c r="C15" s="4"/>
      <c r="D15" s="5"/>
      <c r="E15" s="5"/>
      <c r="F15" s="5"/>
      <c r="G15" s="18" t="str">
        <f t="shared" si="0"/>
        <v/>
      </c>
    </row>
    <row r="16" spans="1:7" ht="23" customHeight="1">
      <c r="A16" s="5"/>
      <c r="B16" s="4"/>
      <c r="C16" s="4"/>
      <c r="D16" s="5"/>
      <c r="E16" s="5"/>
      <c r="F16" s="5"/>
      <c r="G16" s="18" t="str">
        <f t="shared" si="0"/>
        <v/>
      </c>
    </row>
    <row r="17" spans="1:7" ht="23" customHeight="1">
      <c r="A17" s="5"/>
      <c r="B17" s="4"/>
      <c r="C17" s="4"/>
      <c r="D17" s="5"/>
      <c r="E17" s="5"/>
      <c r="F17" s="5"/>
      <c r="G17" s="18" t="str">
        <f t="shared" si="0"/>
        <v/>
      </c>
    </row>
    <row r="18" spans="1:7" ht="23" customHeight="1">
      <c r="A18" s="5"/>
      <c r="B18" s="4"/>
      <c r="C18" s="4"/>
      <c r="D18" s="5"/>
      <c r="E18" s="5"/>
      <c r="F18" s="5"/>
      <c r="G18" s="18" t="str">
        <f t="shared" si="0"/>
        <v/>
      </c>
    </row>
    <row r="19" spans="1:7" ht="23" customHeight="1">
      <c r="A19" s="5"/>
      <c r="B19" s="4"/>
      <c r="C19" s="4"/>
      <c r="D19" s="5"/>
      <c r="E19" s="5"/>
      <c r="F19" s="5"/>
      <c r="G19" s="18" t="str">
        <f t="shared" si="0"/>
        <v/>
      </c>
    </row>
    <row r="20" spans="1:7" ht="23" customHeight="1">
      <c r="A20" s="5"/>
      <c r="B20" s="4"/>
      <c r="C20" s="4"/>
      <c r="D20" s="5"/>
      <c r="E20" s="5"/>
      <c r="F20" s="5"/>
      <c r="G20" s="18" t="str">
        <f t="shared" si="0"/>
        <v/>
      </c>
    </row>
    <row r="21" spans="1:7" ht="23" customHeight="1">
      <c r="A21" s="5"/>
      <c r="B21" s="4"/>
      <c r="C21" s="4"/>
      <c r="D21" s="5"/>
      <c r="E21" s="5"/>
      <c r="F21" s="5"/>
      <c r="G21" s="18" t="str">
        <f t="shared" si="0"/>
        <v/>
      </c>
    </row>
    <row r="22" spans="1:7" ht="23" customHeight="1">
      <c r="A22" s="5"/>
      <c r="B22" s="4"/>
      <c r="C22" s="4"/>
      <c r="D22" s="5"/>
      <c r="E22" s="5"/>
      <c r="F22" s="5"/>
      <c r="G22" s="18" t="str">
        <f t="shared" si="0"/>
        <v/>
      </c>
    </row>
    <row r="23" spans="1:7" ht="23" customHeight="1">
      <c r="A23" s="5"/>
      <c r="B23" s="4"/>
      <c r="C23" s="4"/>
      <c r="D23" s="5"/>
      <c r="E23" s="5"/>
      <c r="F23" s="5"/>
      <c r="G23" s="18" t="str">
        <f t="shared" si="0"/>
        <v/>
      </c>
    </row>
    <row r="24" spans="1:7" ht="23" customHeight="1">
      <c r="A24" s="5"/>
      <c r="B24" s="4"/>
      <c r="C24" s="4"/>
      <c r="D24" s="5"/>
      <c r="E24" s="5"/>
      <c r="F24" s="5"/>
      <c r="G24" s="18" t="str">
        <f t="shared" si="0"/>
        <v/>
      </c>
    </row>
    <row r="25" spans="1:7" ht="23" customHeight="1">
      <c r="A25" s="5"/>
      <c r="B25" s="4"/>
      <c r="C25" s="4"/>
      <c r="D25" s="5"/>
      <c r="E25" s="5"/>
      <c r="F25" s="5"/>
      <c r="G25" s="18" t="str">
        <f t="shared" si="0"/>
        <v/>
      </c>
    </row>
    <row r="26" spans="1:7" ht="23" customHeight="1">
      <c r="A26" s="5"/>
      <c r="B26" s="4"/>
      <c r="C26" s="4"/>
      <c r="D26" s="5"/>
      <c r="E26" s="5"/>
      <c r="F26" s="5"/>
      <c r="G26" s="18" t="str">
        <f t="shared" si="0"/>
        <v/>
      </c>
    </row>
    <row r="27" spans="1:7" ht="23" customHeight="1">
      <c r="A27" s="5"/>
      <c r="B27" s="4"/>
      <c r="C27" s="4"/>
      <c r="D27" s="5"/>
      <c r="E27" s="5"/>
      <c r="F27" s="5"/>
      <c r="G27" s="18" t="str">
        <f t="shared" si="0"/>
        <v/>
      </c>
    </row>
    <row r="28" spans="1:7" ht="23" customHeight="1">
      <c r="A28" s="5"/>
      <c r="B28" s="4"/>
      <c r="C28" s="4"/>
      <c r="D28" s="5"/>
      <c r="E28" s="5"/>
      <c r="F28" s="5"/>
      <c r="G28" s="18" t="str">
        <f t="shared" si="0"/>
        <v/>
      </c>
    </row>
    <row r="29" spans="1:7" ht="23" customHeight="1">
      <c r="A29" s="5"/>
      <c r="B29" s="4"/>
      <c r="C29" s="4"/>
      <c r="D29" s="5"/>
      <c r="E29" s="5"/>
      <c r="F29" s="5"/>
      <c r="G29" s="18" t="str">
        <f t="shared" si="0"/>
        <v/>
      </c>
    </row>
    <row r="30" spans="1:7" ht="23" customHeight="1">
      <c r="A30" s="5"/>
      <c r="B30" s="4"/>
      <c r="C30" s="4"/>
      <c r="D30" s="5"/>
      <c r="E30" s="5"/>
      <c r="F30" s="5"/>
      <c r="G30" s="18" t="str">
        <f t="shared" si="0"/>
        <v/>
      </c>
    </row>
    <row r="31" spans="1:7" ht="23" customHeight="1">
      <c r="A31" s="5"/>
      <c r="B31" s="4"/>
      <c r="C31" s="4"/>
      <c r="D31" s="5"/>
      <c r="E31" s="5"/>
      <c r="F31" s="5"/>
      <c r="G31" s="18" t="str">
        <f t="shared" si="0"/>
        <v/>
      </c>
    </row>
    <row r="32" spans="1:7" ht="23" customHeight="1">
      <c r="A32" s="5"/>
      <c r="B32" s="4"/>
      <c r="C32" s="4"/>
      <c r="D32" s="5"/>
      <c r="E32" s="5"/>
      <c r="F32" s="5"/>
      <c r="G32" s="18" t="str">
        <f t="shared" si="0"/>
        <v/>
      </c>
    </row>
    <row r="33" spans="1:7" ht="23" customHeight="1">
      <c r="A33" s="5"/>
      <c r="B33" s="4"/>
      <c r="C33" s="4"/>
      <c r="D33" s="5"/>
      <c r="E33" s="5"/>
      <c r="F33" s="5"/>
      <c r="G33" s="18" t="str">
        <f t="shared" si="0"/>
        <v/>
      </c>
    </row>
    <row r="34" spans="1:7" ht="23" customHeight="1">
      <c r="A34" s="5"/>
      <c r="B34" s="4"/>
      <c r="C34" s="4"/>
      <c r="D34" s="5"/>
      <c r="E34" s="5"/>
      <c r="F34" s="5"/>
      <c r="G34" s="18" t="str">
        <f t="shared" si="0"/>
        <v/>
      </c>
    </row>
    <row r="35" spans="1:7" ht="23" customHeight="1">
      <c r="A35" s="5"/>
      <c r="B35" s="4"/>
      <c r="C35" s="4"/>
      <c r="D35" s="5"/>
      <c r="E35" s="5"/>
      <c r="F35" s="5"/>
      <c r="G35" s="18" t="str">
        <f t="shared" si="0"/>
        <v/>
      </c>
    </row>
    <row r="36" spans="1:7" ht="23" customHeight="1">
      <c r="A36" s="5"/>
      <c r="B36" s="4"/>
      <c r="C36" s="4"/>
      <c r="D36" s="5"/>
      <c r="E36" s="5"/>
      <c r="F36" s="5"/>
      <c r="G36" s="18" t="str">
        <f t="shared" si="0"/>
        <v/>
      </c>
    </row>
    <row r="37" spans="1:7" ht="23" customHeight="1">
      <c r="A37" s="5"/>
      <c r="B37" s="4"/>
      <c r="C37" s="4"/>
      <c r="D37" s="5"/>
      <c r="E37" s="5"/>
      <c r="F37" s="5"/>
      <c r="G37" s="18" t="str">
        <f t="shared" si="0"/>
        <v/>
      </c>
    </row>
    <row r="38" spans="1:7" ht="23" customHeight="1">
      <c r="A38" s="5"/>
      <c r="B38" s="4"/>
      <c r="C38" s="4"/>
      <c r="D38" s="5"/>
      <c r="E38" s="5"/>
      <c r="F38" s="5"/>
      <c r="G38" s="18" t="str">
        <f t="shared" si="0"/>
        <v/>
      </c>
    </row>
    <row r="39" spans="1:7" ht="23" customHeight="1">
      <c r="A39" s="5"/>
      <c r="B39" s="4"/>
      <c r="C39" s="4"/>
      <c r="D39" s="5"/>
      <c r="E39" s="5"/>
      <c r="F39" s="5"/>
      <c r="G39" s="18" t="str">
        <f t="shared" si="0"/>
        <v/>
      </c>
    </row>
    <row r="40" spans="1:7" ht="23" customHeight="1">
      <c r="A40" s="5"/>
      <c r="B40" s="4"/>
      <c r="C40" s="4"/>
      <c r="D40" s="5"/>
      <c r="E40" s="5"/>
      <c r="F40" s="5"/>
      <c r="G40" s="18" t="str">
        <f t="shared" si="0"/>
        <v/>
      </c>
    </row>
    <row r="41" spans="1:7" ht="23" customHeight="1">
      <c r="A41" s="5"/>
      <c r="B41" s="4"/>
      <c r="C41" s="4"/>
      <c r="D41" s="5"/>
      <c r="E41" s="5"/>
      <c r="F41" s="5"/>
      <c r="G41" s="18" t="str">
        <f t="shared" si="0"/>
        <v/>
      </c>
    </row>
    <row r="42" spans="1:7" ht="23" customHeight="1">
      <c r="A42" s="5"/>
      <c r="B42" s="4"/>
      <c r="C42" s="4"/>
      <c r="D42" s="5"/>
      <c r="E42" s="5"/>
      <c r="F42" s="5"/>
      <c r="G42" s="18" t="str">
        <f t="shared" ref="G42:G73" si="1">IFERROR(IF(COUNTA(A42:F42)=0,"",IF(AND(ISNUMBER(F42),F42=0),"",IF(AND(F42=1,ISNUMBER(A42),A42=INT(A42),A42&gt;=1,A42&lt;=7,ISNUMBER(B42),ISNUMBER(C42),B42=INT(B42),C42=INT(C42),B42&gt;0,C42&gt;=B42,OR(D42="Rest",D42="Activity")),"OK","CONTROLLA"))),"CONTROLLA")</f>
        <v/>
      </c>
    </row>
    <row r="43" spans="1:7" ht="23" customHeight="1">
      <c r="A43" s="5"/>
      <c r="B43" s="4"/>
      <c r="C43" s="4"/>
      <c r="D43" s="5"/>
      <c r="E43" s="5"/>
      <c r="F43" s="5"/>
      <c r="G43" s="18" t="str">
        <f t="shared" si="1"/>
        <v/>
      </c>
    </row>
    <row r="44" spans="1:7" ht="23" customHeight="1">
      <c r="A44" s="5"/>
      <c r="B44" s="4"/>
      <c r="C44" s="4"/>
      <c r="D44" s="5"/>
      <c r="E44" s="5"/>
      <c r="F44" s="5"/>
      <c r="G44" s="18" t="str">
        <f t="shared" si="1"/>
        <v/>
      </c>
    </row>
    <row r="45" spans="1:7" ht="23" customHeight="1">
      <c r="A45" s="5"/>
      <c r="B45" s="4"/>
      <c r="C45" s="4"/>
      <c r="D45" s="5"/>
      <c r="E45" s="5"/>
      <c r="F45" s="5"/>
      <c r="G45" s="18" t="str">
        <f t="shared" si="1"/>
        <v/>
      </c>
    </row>
    <row r="46" spans="1:7" ht="23" customHeight="1">
      <c r="A46" s="5"/>
      <c r="B46" s="4"/>
      <c r="C46" s="4"/>
      <c r="D46" s="5"/>
      <c r="E46" s="5"/>
      <c r="F46" s="5"/>
      <c r="G46" s="18" t="str">
        <f t="shared" si="1"/>
        <v/>
      </c>
    </row>
    <row r="47" spans="1:7" ht="23" customHeight="1">
      <c r="A47" s="5"/>
      <c r="B47" s="4"/>
      <c r="C47" s="4"/>
      <c r="D47" s="5"/>
      <c r="E47" s="5"/>
      <c r="F47" s="5"/>
      <c r="G47" s="18" t="str">
        <f t="shared" si="1"/>
        <v/>
      </c>
    </row>
    <row r="48" spans="1:7" ht="23" customHeight="1">
      <c r="A48" s="5"/>
      <c r="B48" s="4"/>
      <c r="C48" s="4"/>
      <c r="D48" s="5"/>
      <c r="E48" s="5"/>
      <c r="F48" s="5"/>
      <c r="G48" s="18" t="str">
        <f t="shared" si="1"/>
        <v/>
      </c>
    </row>
    <row r="49" spans="1:7" ht="23" customHeight="1">
      <c r="A49" s="5"/>
      <c r="B49" s="4"/>
      <c r="C49" s="4"/>
      <c r="D49" s="5"/>
      <c r="E49" s="5"/>
      <c r="F49" s="5"/>
      <c r="G49" s="18" t="str">
        <f t="shared" si="1"/>
        <v/>
      </c>
    </row>
    <row r="50" spans="1:7" ht="23" customHeight="1">
      <c r="A50" s="5"/>
      <c r="B50" s="4"/>
      <c r="C50" s="4"/>
      <c r="D50" s="5"/>
      <c r="E50" s="5"/>
      <c r="F50" s="5"/>
      <c r="G50" s="18" t="str">
        <f t="shared" si="1"/>
        <v/>
      </c>
    </row>
    <row r="51" spans="1:7" ht="23" customHeight="1">
      <c r="A51" s="5"/>
      <c r="B51" s="4"/>
      <c r="C51" s="4"/>
      <c r="D51" s="5"/>
      <c r="E51" s="5"/>
      <c r="F51" s="5"/>
      <c r="G51" s="18" t="str">
        <f t="shared" si="1"/>
        <v/>
      </c>
    </row>
    <row r="52" spans="1:7" ht="23" customHeight="1">
      <c r="A52" s="5"/>
      <c r="B52" s="4"/>
      <c r="C52" s="4"/>
      <c r="D52" s="5"/>
      <c r="E52" s="5"/>
      <c r="F52" s="5"/>
      <c r="G52" s="18" t="str">
        <f t="shared" si="1"/>
        <v/>
      </c>
    </row>
    <row r="53" spans="1:7" ht="23" customHeight="1">
      <c r="A53" s="5"/>
      <c r="B53" s="4"/>
      <c r="C53" s="4"/>
      <c r="D53" s="5"/>
      <c r="E53" s="5"/>
      <c r="F53" s="5"/>
      <c r="G53" s="18" t="str">
        <f t="shared" si="1"/>
        <v/>
      </c>
    </row>
    <row r="54" spans="1:7" ht="23" customHeight="1">
      <c r="A54" s="5"/>
      <c r="B54" s="4"/>
      <c r="C54" s="4"/>
      <c r="D54" s="5"/>
      <c r="E54" s="5"/>
      <c r="F54" s="5"/>
      <c r="G54" s="18" t="str">
        <f t="shared" si="1"/>
        <v/>
      </c>
    </row>
    <row r="55" spans="1:7" ht="23" customHeight="1">
      <c r="A55" s="5"/>
      <c r="B55" s="4"/>
      <c r="C55" s="4"/>
      <c r="D55" s="5"/>
      <c r="E55" s="5"/>
      <c r="F55" s="5"/>
      <c r="G55" s="18" t="str">
        <f t="shared" si="1"/>
        <v/>
      </c>
    </row>
    <row r="56" spans="1:7" ht="23" customHeight="1">
      <c r="A56" s="5"/>
      <c r="B56" s="4"/>
      <c r="C56" s="4"/>
      <c r="D56" s="5"/>
      <c r="E56" s="5"/>
      <c r="F56" s="5"/>
      <c r="G56" s="18" t="str">
        <f t="shared" si="1"/>
        <v/>
      </c>
    </row>
    <row r="57" spans="1:7" ht="23" customHeight="1">
      <c r="A57" s="5"/>
      <c r="B57" s="4"/>
      <c r="C57" s="4"/>
      <c r="D57" s="5"/>
      <c r="E57" s="5"/>
      <c r="F57" s="5"/>
      <c r="G57" s="18" t="str">
        <f t="shared" si="1"/>
        <v/>
      </c>
    </row>
    <row r="58" spans="1:7" ht="23" customHeight="1">
      <c r="A58" s="5"/>
      <c r="B58" s="4"/>
      <c r="C58" s="4"/>
      <c r="D58" s="5"/>
      <c r="E58" s="5"/>
      <c r="F58" s="5"/>
      <c r="G58" s="18" t="str">
        <f t="shared" si="1"/>
        <v/>
      </c>
    </row>
    <row r="59" spans="1:7" ht="23" customHeight="1">
      <c r="A59" s="5"/>
      <c r="B59" s="4"/>
      <c r="C59" s="4"/>
      <c r="D59" s="5"/>
      <c r="E59" s="5"/>
      <c r="F59" s="5"/>
      <c r="G59" s="18" t="str">
        <f t="shared" si="1"/>
        <v/>
      </c>
    </row>
    <row r="60" spans="1:7" ht="23" customHeight="1">
      <c r="A60" s="5"/>
      <c r="B60" s="4"/>
      <c r="C60" s="4"/>
      <c r="D60" s="5"/>
      <c r="E60" s="5"/>
      <c r="F60" s="5"/>
      <c r="G60" s="18" t="str">
        <f t="shared" si="1"/>
        <v/>
      </c>
    </row>
    <row r="61" spans="1:7" ht="23" customHeight="1">
      <c r="A61" s="5"/>
      <c r="B61" s="4"/>
      <c r="C61" s="4"/>
      <c r="D61" s="5"/>
      <c r="E61" s="5"/>
      <c r="F61" s="5"/>
      <c r="G61" s="18" t="str">
        <f t="shared" si="1"/>
        <v/>
      </c>
    </row>
    <row r="62" spans="1:7" ht="23" customHeight="1">
      <c r="A62" s="5"/>
      <c r="B62" s="4"/>
      <c r="C62" s="4"/>
      <c r="D62" s="5"/>
      <c r="E62" s="5"/>
      <c r="F62" s="5"/>
      <c r="G62" s="18" t="str">
        <f t="shared" si="1"/>
        <v/>
      </c>
    </row>
    <row r="63" spans="1:7" ht="23" customHeight="1">
      <c r="A63" s="5"/>
      <c r="B63" s="4"/>
      <c r="C63" s="4"/>
      <c r="D63" s="5"/>
      <c r="E63" s="5"/>
      <c r="F63" s="5"/>
      <c r="G63" s="18" t="str">
        <f t="shared" si="1"/>
        <v/>
      </c>
    </row>
    <row r="64" spans="1:7" ht="23" customHeight="1">
      <c r="A64" s="5"/>
      <c r="B64" s="4"/>
      <c r="C64" s="4"/>
      <c r="D64" s="5"/>
      <c r="E64" s="5"/>
      <c r="F64" s="5"/>
      <c r="G64" s="18" t="str">
        <f t="shared" si="1"/>
        <v/>
      </c>
    </row>
    <row r="65" spans="1:7" ht="23" customHeight="1">
      <c r="A65" s="5"/>
      <c r="B65" s="4"/>
      <c r="C65" s="4"/>
      <c r="D65" s="5"/>
      <c r="E65" s="5"/>
      <c r="F65" s="5"/>
      <c r="G65" s="18" t="str">
        <f t="shared" si="1"/>
        <v/>
      </c>
    </row>
    <row r="66" spans="1:7" ht="23" customHeight="1">
      <c r="A66" s="5"/>
      <c r="B66" s="4"/>
      <c r="C66" s="4"/>
      <c r="D66" s="5"/>
      <c r="E66" s="5"/>
      <c r="F66" s="5"/>
      <c r="G66" s="18" t="str">
        <f t="shared" si="1"/>
        <v/>
      </c>
    </row>
    <row r="67" spans="1:7" ht="23" customHeight="1">
      <c r="A67" s="5"/>
      <c r="B67" s="4"/>
      <c r="C67" s="4"/>
      <c r="D67" s="5"/>
      <c r="E67" s="5"/>
      <c r="F67" s="5"/>
      <c r="G67" s="18" t="str">
        <f t="shared" si="1"/>
        <v/>
      </c>
    </row>
    <row r="68" spans="1:7" ht="23" customHeight="1">
      <c r="A68" s="5"/>
      <c r="B68" s="4"/>
      <c r="C68" s="4"/>
      <c r="D68" s="5"/>
      <c r="E68" s="5"/>
      <c r="F68" s="5"/>
      <c r="G68" s="18" t="str">
        <f t="shared" si="1"/>
        <v/>
      </c>
    </row>
    <row r="69" spans="1:7" ht="23" customHeight="1">
      <c r="A69" s="5"/>
      <c r="B69" s="4"/>
      <c r="C69" s="4"/>
      <c r="D69" s="5"/>
      <c r="E69" s="5"/>
      <c r="F69" s="5"/>
      <c r="G69" s="18" t="str">
        <f t="shared" si="1"/>
        <v/>
      </c>
    </row>
    <row r="70" spans="1:7" ht="23" customHeight="1">
      <c r="A70" s="5"/>
      <c r="B70" s="4"/>
      <c r="C70" s="4"/>
      <c r="D70" s="5"/>
      <c r="E70" s="5"/>
      <c r="F70" s="5"/>
      <c r="G70" s="18" t="str">
        <f t="shared" si="1"/>
        <v/>
      </c>
    </row>
    <row r="71" spans="1:7" ht="23" customHeight="1">
      <c r="A71" s="5"/>
      <c r="B71" s="4"/>
      <c r="C71" s="4"/>
      <c r="D71" s="5"/>
      <c r="E71" s="5"/>
      <c r="F71" s="5"/>
      <c r="G71" s="18" t="str">
        <f t="shared" si="1"/>
        <v/>
      </c>
    </row>
    <row r="72" spans="1:7" ht="23" customHeight="1">
      <c r="A72" s="5"/>
      <c r="B72" s="4"/>
      <c r="C72" s="4"/>
      <c r="D72" s="5"/>
      <c r="E72" s="5"/>
      <c r="F72" s="5"/>
      <c r="G72" s="18" t="str">
        <f t="shared" si="1"/>
        <v/>
      </c>
    </row>
    <row r="73" spans="1:7" ht="23" customHeight="1">
      <c r="A73" s="5"/>
      <c r="B73" s="4"/>
      <c r="C73" s="4"/>
      <c r="D73" s="5"/>
      <c r="E73" s="5"/>
      <c r="F73" s="5"/>
      <c r="G73" s="18" t="str">
        <f t="shared" si="1"/>
        <v/>
      </c>
    </row>
    <row r="74" spans="1:7" ht="23" customHeight="1">
      <c r="A74" s="5"/>
      <c r="B74" s="4"/>
      <c r="C74" s="4"/>
      <c r="D74" s="5"/>
      <c r="E74" s="5"/>
      <c r="F74" s="5"/>
      <c r="G74" s="18" t="str">
        <f t="shared" ref="G74:G105" si="2">IFERROR(IF(COUNTA(A74:F74)=0,"",IF(AND(ISNUMBER(F74),F74=0),"",IF(AND(F74=1,ISNUMBER(A74),A74=INT(A74),A74&gt;=1,A74&lt;=7,ISNUMBER(B74),ISNUMBER(C74),B74=INT(B74),C74=INT(C74),B74&gt;0,C74&gt;=B74,OR(D74="Rest",D74="Activity")),"OK","CONTROLLA"))),"CONTROLLA")</f>
        <v/>
      </c>
    </row>
    <row r="75" spans="1:7" ht="23" customHeight="1">
      <c r="A75" s="5"/>
      <c r="B75" s="4"/>
      <c r="C75" s="4"/>
      <c r="D75" s="5"/>
      <c r="E75" s="5"/>
      <c r="F75" s="5"/>
      <c r="G75" s="18" t="str">
        <f t="shared" si="2"/>
        <v/>
      </c>
    </row>
    <row r="76" spans="1:7" ht="23" customHeight="1">
      <c r="A76" s="5"/>
      <c r="B76" s="4"/>
      <c r="C76" s="4"/>
      <c r="D76" s="5"/>
      <c r="E76" s="5"/>
      <c r="F76" s="5"/>
      <c r="G76" s="18" t="str">
        <f t="shared" si="2"/>
        <v/>
      </c>
    </row>
    <row r="77" spans="1:7" ht="23" customHeight="1">
      <c r="A77" s="5"/>
      <c r="B77" s="4"/>
      <c r="C77" s="4"/>
      <c r="D77" s="5"/>
      <c r="E77" s="5"/>
      <c r="F77" s="5"/>
      <c r="G77" s="18" t="str">
        <f t="shared" si="2"/>
        <v/>
      </c>
    </row>
    <row r="78" spans="1:7" ht="23" customHeight="1">
      <c r="A78" s="5"/>
      <c r="B78" s="4"/>
      <c r="C78" s="4"/>
      <c r="D78" s="5"/>
      <c r="E78" s="5"/>
      <c r="F78" s="5"/>
      <c r="G78" s="18" t="str">
        <f t="shared" si="2"/>
        <v/>
      </c>
    </row>
    <row r="79" spans="1:7" ht="23" customHeight="1">
      <c r="A79" s="5"/>
      <c r="B79" s="4"/>
      <c r="C79" s="4"/>
      <c r="D79" s="5"/>
      <c r="E79" s="5"/>
      <c r="F79" s="5"/>
      <c r="G79" s="18" t="str">
        <f t="shared" si="2"/>
        <v/>
      </c>
    </row>
    <row r="80" spans="1:7" ht="23" customHeight="1">
      <c r="A80" s="5"/>
      <c r="B80" s="4"/>
      <c r="C80" s="4"/>
      <c r="D80" s="5"/>
      <c r="E80" s="5"/>
      <c r="F80" s="5"/>
      <c r="G80" s="18" t="str">
        <f t="shared" si="2"/>
        <v/>
      </c>
    </row>
    <row r="81" spans="1:7" ht="23" customHeight="1">
      <c r="A81" s="5"/>
      <c r="B81" s="4"/>
      <c r="C81" s="4"/>
      <c r="D81" s="5"/>
      <c r="E81" s="5"/>
      <c r="F81" s="5"/>
      <c r="G81" s="18" t="str">
        <f t="shared" si="2"/>
        <v/>
      </c>
    </row>
    <row r="82" spans="1:7" ht="23" customHeight="1">
      <c r="A82" s="5"/>
      <c r="B82" s="4"/>
      <c r="C82" s="4"/>
      <c r="D82" s="5"/>
      <c r="E82" s="5"/>
      <c r="F82" s="5"/>
      <c r="G82" s="18" t="str">
        <f t="shared" si="2"/>
        <v/>
      </c>
    </row>
    <row r="83" spans="1:7" ht="23" customHeight="1">
      <c r="A83" s="5"/>
      <c r="B83" s="4"/>
      <c r="C83" s="4"/>
      <c r="D83" s="5"/>
      <c r="E83" s="5"/>
      <c r="F83" s="5"/>
      <c r="G83" s="18" t="str">
        <f t="shared" si="2"/>
        <v/>
      </c>
    </row>
    <row r="84" spans="1:7" ht="23" customHeight="1">
      <c r="A84" s="5"/>
      <c r="B84" s="4"/>
      <c r="C84" s="4"/>
      <c r="D84" s="5"/>
      <c r="E84" s="5"/>
      <c r="F84" s="5"/>
      <c r="G84" s="18" t="str">
        <f t="shared" si="2"/>
        <v/>
      </c>
    </row>
    <row r="85" spans="1:7" ht="23" customHeight="1">
      <c r="A85" s="5"/>
      <c r="B85" s="4"/>
      <c r="C85" s="4"/>
      <c r="D85" s="5"/>
      <c r="E85" s="5"/>
      <c r="F85" s="5"/>
      <c r="G85" s="18" t="str">
        <f t="shared" si="2"/>
        <v/>
      </c>
    </row>
    <row r="86" spans="1:7" ht="23" customHeight="1">
      <c r="A86" s="5"/>
      <c r="B86" s="4"/>
      <c r="C86" s="4"/>
      <c r="D86" s="5"/>
      <c r="E86" s="5"/>
      <c r="F86" s="5"/>
      <c r="G86" s="18" t="str">
        <f t="shared" si="2"/>
        <v/>
      </c>
    </row>
    <row r="87" spans="1:7" ht="23" customHeight="1">
      <c r="A87" s="5"/>
      <c r="B87" s="4"/>
      <c r="C87" s="4"/>
      <c r="D87" s="5"/>
      <c r="E87" s="5"/>
      <c r="F87" s="5"/>
      <c r="G87" s="18" t="str">
        <f t="shared" si="2"/>
        <v/>
      </c>
    </row>
    <row r="88" spans="1:7" ht="23" customHeight="1">
      <c r="A88" s="5"/>
      <c r="B88" s="4"/>
      <c r="C88" s="4"/>
      <c r="D88" s="5"/>
      <c r="E88" s="5"/>
      <c r="F88" s="5"/>
      <c r="G88" s="18" t="str">
        <f t="shared" si="2"/>
        <v/>
      </c>
    </row>
    <row r="89" spans="1:7" ht="23" customHeight="1">
      <c r="A89" s="5"/>
      <c r="B89" s="4"/>
      <c r="C89" s="4"/>
      <c r="D89" s="5"/>
      <c r="E89" s="5"/>
      <c r="F89" s="5"/>
      <c r="G89" s="18" t="str">
        <f t="shared" si="2"/>
        <v/>
      </c>
    </row>
    <row r="90" spans="1:7" ht="23" customHeight="1">
      <c r="A90" s="5"/>
      <c r="B90" s="4"/>
      <c r="C90" s="4"/>
      <c r="D90" s="5"/>
      <c r="E90" s="5"/>
      <c r="F90" s="5"/>
      <c r="G90" s="18" t="str">
        <f t="shared" si="2"/>
        <v/>
      </c>
    </row>
    <row r="91" spans="1:7" ht="23" customHeight="1">
      <c r="A91" s="5"/>
      <c r="B91" s="4"/>
      <c r="C91" s="4"/>
      <c r="D91" s="5"/>
      <c r="E91" s="5"/>
      <c r="F91" s="5"/>
      <c r="G91" s="18" t="str">
        <f t="shared" si="2"/>
        <v/>
      </c>
    </row>
    <row r="92" spans="1:7" ht="23" customHeight="1">
      <c r="A92" s="5"/>
      <c r="B92" s="4"/>
      <c r="C92" s="4"/>
      <c r="D92" s="5"/>
      <c r="E92" s="5"/>
      <c r="F92" s="5"/>
      <c r="G92" s="18" t="str">
        <f t="shared" si="2"/>
        <v/>
      </c>
    </row>
    <row r="93" spans="1:7" ht="23" customHeight="1">
      <c r="A93" s="5"/>
      <c r="B93" s="4"/>
      <c r="C93" s="4"/>
      <c r="D93" s="5"/>
      <c r="E93" s="5"/>
      <c r="F93" s="5"/>
      <c r="G93" s="18" t="str">
        <f t="shared" si="2"/>
        <v/>
      </c>
    </row>
    <row r="94" spans="1:7" ht="23" customHeight="1">
      <c r="A94" s="5"/>
      <c r="B94" s="4"/>
      <c r="C94" s="4"/>
      <c r="D94" s="5"/>
      <c r="E94" s="5"/>
      <c r="F94" s="5"/>
      <c r="G94" s="18" t="str">
        <f t="shared" si="2"/>
        <v/>
      </c>
    </row>
    <row r="95" spans="1:7" ht="23" customHeight="1">
      <c r="A95" s="5"/>
      <c r="B95" s="4"/>
      <c r="C95" s="4"/>
      <c r="D95" s="5"/>
      <c r="E95" s="5"/>
      <c r="F95" s="5"/>
      <c r="G95" s="18" t="str">
        <f t="shared" si="2"/>
        <v/>
      </c>
    </row>
    <row r="96" spans="1:7" ht="23" customHeight="1">
      <c r="A96" s="5"/>
      <c r="B96" s="4"/>
      <c r="C96" s="4"/>
      <c r="D96" s="5"/>
      <c r="E96" s="5"/>
      <c r="F96" s="5"/>
      <c r="G96" s="18" t="str">
        <f t="shared" si="2"/>
        <v/>
      </c>
    </row>
    <row r="97" spans="1:7" ht="23" customHeight="1">
      <c r="A97" s="5"/>
      <c r="B97" s="4"/>
      <c r="C97" s="4"/>
      <c r="D97" s="5"/>
      <c r="E97" s="5"/>
      <c r="F97" s="5"/>
      <c r="G97" s="18" t="str">
        <f t="shared" si="2"/>
        <v/>
      </c>
    </row>
    <row r="98" spans="1:7" ht="23" customHeight="1">
      <c r="A98" s="5"/>
      <c r="B98" s="4"/>
      <c r="C98" s="4"/>
      <c r="D98" s="5"/>
      <c r="E98" s="5"/>
      <c r="F98" s="5"/>
      <c r="G98" s="18" t="str">
        <f t="shared" si="2"/>
        <v/>
      </c>
    </row>
    <row r="99" spans="1:7" ht="23" customHeight="1">
      <c r="A99" s="5"/>
      <c r="B99" s="4"/>
      <c r="C99" s="4"/>
      <c r="D99" s="5"/>
      <c r="E99" s="5"/>
      <c r="F99" s="5"/>
      <c r="G99" s="18" t="str">
        <f t="shared" si="2"/>
        <v/>
      </c>
    </row>
    <row r="100" spans="1:7" ht="23" customHeight="1">
      <c r="A100" s="5"/>
      <c r="B100" s="4"/>
      <c r="C100" s="4"/>
      <c r="D100" s="5"/>
      <c r="E100" s="5"/>
      <c r="F100" s="5"/>
      <c r="G100" s="18" t="str">
        <f t="shared" si="2"/>
        <v/>
      </c>
    </row>
    <row r="101" spans="1:7" ht="23" customHeight="1">
      <c r="A101" s="5"/>
      <c r="B101" s="4"/>
      <c r="C101" s="4"/>
      <c r="D101" s="5"/>
      <c r="E101" s="5"/>
      <c r="F101" s="5"/>
      <c r="G101" s="18" t="str">
        <f t="shared" si="2"/>
        <v/>
      </c>
    </row>
    <row r="102" spans="1:7" ht="23" customHeight="1">
      <c r="A102" s="5"/>
      <c r="B102" s="4"/>
      <c r="C102" s="4"/>
      <c r="D102" s="5"/>
      <c r="E102" s="5"/>
      <c r="F102" s="5"/>
      <c r="G102" s="18" t="str">
        <f t="shared" si="2"/>
        <v/>
      </c>
    </row>
    <row r="103" spans="1:7" ht="23" customHeight="1">
      <c r="A103" s="5"/>
      <c r="B103" s="4"/>
      <c r="C103" s="4"/>
      <c r="D103" s="5"/>
      <c r="E103" s="5"/>
      <c r="F103" s="5"/>
      <c r="G103" s="18" t="str">
        <f t="shared" si="2"/>
        <v/>
      </c>
    </row>
    <row r="104" spans="1:7" ht="23" customHeight="1">
      <c r="A104" s="5"/>
      <c r="B104" s="4"/>
      <c r="C104" s="4"/>
      <c r="D104" s="5"/>
      <c r="E104" s="5"/>
      <c r="F104" s="5"/>
      <c r="G104" s="18" t="str">
        <f t="shared" si="2"/>
        <v/>
      </c>
    </row>
    <row r="105" spans="1:7" ht="23" customHeight="1">
      <c r="A105" s="5"/>
      <c r="B105" s="4"/>
      <c r="C105" s="4"/>
      <c r="D105" s="5"/>
      <c r="E105" s="5"/>
      <c r="F105" s="5"/>
      <c r="G105" s="18" t="str">
        <f t="shared" si="2"/>
        <v/>
      </c>
    </row>
    <row r="106" spans="1:7" ht="23" customHeight="1">
      <c r="A106" s="5"/>
      <c r="B106" s="4"/>
      <c r="C106" s="4"/>
      <c r="D106" s="5"/>
      <c r="E106" s="5"/>
      <c r="F106" s="5"/>
      <c r="G106" s="18" t="str">
        <f t="shared" ref="G106:G109" si="3">IFERROR(IF(COUNTA(A106:F106)=0,"",IF(AND(ISNUMBER(F106),F106=0),"",IF(AND(F106=1,ISNUMBER(A106),A106=INT(A106),A106&gt;=1,A106&lt;=7,ISNUMBER(B106),ISNUMBER(C106),B106=INT(B106),C106=INT(C106),B106&gt;0,C106&gt;=B106,OR(D106="Rest",D106="Activity")),"OK","CONTROLLA"))),"CONTROLLA")</f>
        <v/>
      </c>
    </row>
    <row r="107" spans="1:7" ht="23" customHeight="1">
      <c r="A107" s="5"/>
      <c r="B107" s="4"/>
      <c r="C107" s="4"/>
      <c r="D107" s="5"/>
      <c r="E107" s="5"/>
      <c r="F107" s="5"/>
      <c r="G107" s="18" t="str">
        <f t="shared" si="3"/>
        <v/>
      </c>
    </row>
    <row r="108" spans="1:7" ht="23" customHeight="1">
      <c r="A108" s="5"/>
      <c r="B108" s="4"/>
      <c r="C108" s="4"/>
      <c r="D108" s="5"/>
      <c r="E108" s="5"/>
      <c r="F108" s="5"/>
      <c r="G108" s="18" t="str">
        <f t="shared" si="3"/>
        <v/>
      </c>
    </row>
    <row r="109" spans="1:7" ht="23" customHeight="1">
      <c r="A109" s="5"/>
      <c r="B109" s="4"/>
      <c r="C109" s="4"/>
      <c r="D109" s="5"/>
      <c r="E109" s="5"/>
      <c r="F109" s="5"/>
      <c r="G109" s="18" t="str">
        <f t="shared" si="3"/>
        <v/>
      </c>
    </row>
  </sheetData>
  <WedgeCells count="5">
    <WedgeCell ref="A1:G1"/>
    <WedgeCell ref="A3:G3"/>
    <WedgeCell ref="A4:G4"/>
    <WedgeCell ref="A5:G5"/>
    <WedgeCell ref="A7:G7"/>
  </WedgeCells>
  <conditionalFormatting sqref="G10:G109">
    <cfRule type="expression" dxfId="8" priority="1">
      <formula>G10="CONTROLLA"</formula>
    </cfRule>
  </conditionalFormatting>
  <dataValidations count="3">
    <dataValidation type="list" showErrorMessage="1" sqref="D10:D109" xr:uid="{F027C238-7B91-43BB-8255-6F182F84EB58}">
      <formula1>"Rest,Activity"</formula1>
    </dataValidation>
    <dataValidation type="list" showErrorMessage="1" sqref="F10:F109" xr:uid="{38F72434-983F-47BD-AF9E-5DD7536A0428}">
      <formula1>"0,1"</formula1>
    </dataValidation>
    <dataValidation type="whole" showErrorMessage="1" sqref="A10:A109" xr:uid="{EAD1C702-E979-46A8-91A4-1C42163B1AD7}">
      <formula1>1</formula1>
      <formula2>7</formula2>
    </dataValidation>
  </dataValidations>
  <pagemargins left="0.7" right="0.7" top="0.75" bottom="0.75" header="0.3" footer="0.3"/>
  <pageSetup paperSize="9" scale="9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Tue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86567"/>
    <pageSetUpPr fitToPage="1"/>
  </sheetPr>
  <dimension ref="A1:X42"/>
  <sheetViews>
    <sheetView showGridLines="0" tabSelected="1" zoomScale="90" zoomScaleNormal="90" workbookViewId="0">
      <pane ySplit="16" topLeftCell="A17" activePane="bottomLeft" state="frozen"/>
      <selection pane="bottomLeft" sqref="A1:H1"/>
    </sheetView>
  </sheetViews>
  <sheetFormatPr defaultRowHeight="13.5"/>
  <cols>
    <col min="1" max="1" width="20" customWidth="1"/>
    <col min="2" max="8" width="18.5" customWidth="1"/>
    <col min="10" max="24" width="0" hidden="1" customWidth="1"/>
  </cols>
  <sheetData>
    <row r="1" spans="1:24" ht="23" customHeight="1">
      <c r="A1" s="52" t="s">
        <v>51</v>
      </c>
      <c r="B1" s="53"/>
      <c r="C1" s="53"/>
      <c r="D1" s="53"/>
      <c r="E1" s="53"/>
      <c r="F1" s="53"/>
      <c r="G1" s="53"/>
      <c r="H1" s="53"/>
      <c r="I1" s="1"/>
      <c r="J1" s="1"/>
      <c r="K1" s="1"/>
      <c r="L1" s="1"/>
      <c r="M1" s="1"/>
      <c r="N1" s="1"/>
      <c r="O1" s="1"/>
      <c r="P1" s="1"/>
      <c r="Q1" s="1"/>
      <c r="R1" s="1"/>
      <c r="S1" s="1"/>
      <c r="T1" s="1"/>
      <c r="U1" s="1"/>
      <c r="V1" s="1"/>
      <c r="W1" s="1"/>
      <c r="X1" s="1"/>
    </row>
    <row r="2" spans="1:24" ht="16.05" customHeight="1">
      <c r="A2" s="54" t="str">
        <f>"Day in "&amp;Planner!B8&amp;"  |  "&amp;RIGHT("0"&amp;DAY(Planner!B4),2)&amp;"/"&amp;RIGHT("0"&amp;MONTH(Planner!B4),2)&amp;"/"&amp;YEAR(Planner!B4)&amp;"  |  "&amp;"24 hours, 60-minute intervals"</f>
        <v>Day in  Hanoi  |  24/09/2026  |  24 hours, 60-minute intervals</v>
      </c>
      <c r="B2" s="54"/>
      <c r="C2" s="54"/>
      <c r="D2" s="54"/>
      <c r="E2" s="54"/>
      <c r="F2" s="54"/>
      <c r="G2" s="54"/>
      <c r="H2" s="54"/>
      <c r="I2" s="1"/>
      <c r="J2" s="1"/>
      <c r="K2" s="1"/>
      <c r="L2" s="1"/>
      <c r="M2" s="1"/>
      <c r="N2" s="1"/>
      <c r="O2" s="1"/>
      <c r="P2" s="1"/>
      <c r="Q2" s="1"/>
      <c r="R2" s="1"/>
      <c r="S2" s="1"/>
      <c r="T2" s="1"/>
      <c r="U2" s="1"/>
      <c r="V2" s="1"/>
      <c r="W2" s="1"/>
      <c r="X2" s="1"/>
    </row>
    <row r="3" spans="1:24" ht="17" customHeight="1">
      <c r="A3" s="55" t="str">
        <f>Info!B3</f>
        <v>Moon at view start: 🌔 Waxing gibbous | next: 🌕 Full moon 26/09 16:49 UTC</v>
      </c>
      <c r="B3" s="55"/>
      <c r="C3" s="55"/>
      <c r="D3" s="55"/>
      <c r="E3" s="55"/>
      <c r="F3" s="55"/>
      <c r="G3" s="55"/>
      <c r="H3" s="55"/>
      <c r="I3" s="1"/>
      <c r="J3" s="1"/>
      <c r="K3" s="1"/>
      <c r="L3" s="1"/>
      <c r="M3" s="1"/>
      <c r="N3" s="1"/>
      <c r="O3" s="1"/>
      <c r="P3" s="1"/>
      <c r="Q3" s="1"/>
      <c r="R3" s="1"/>
      <c r="S3" s="1"/>
      <c r="T3" s="1"/>
      <c r="U3" s="1"/>
      <c r="V3" s="1"/>
      <c r="W3" s="1"/>
      <c r="X3" s="1"/>
    </row>
    <row r="4" spans="1:24" ht="20" customHeight="1">
      <c r="A4" s="2" t="s">
        <v>52</v>
      </c>
      <c r="B4" s="16">
        <f>Parametri!C5</f>
        <v>46289</v>
      </c>
      <c r="C4" s="2" t="s">
        <v>16</v>
      </c>
      <c r="D4" s="17">
        <f>Parametri!C6</f>
        <v>0</v>
      </c>
      <c r="E4" s="2" t="s">
        <v>53</v>
      </c>
      <c r="F4" s="18">
        <f>Parametri!C7</f>
        <v>30</v>
      </c>
      <c r="G4" s="2" t="s">
        <v>54</v>
      </c>
      <c r="H4" s="2">
        <f>48*F4/60</f>
        <v>24</v>
      </c>
      <c r="I4" s="1"/>
      <c r="J4" s="1"/>
      <c r="K4" s="1"/>
      <c r="L4" s="1"/>
      <c r="M4" s="1"/>
      <c r="N4" s="1"/>
      <c r="O4" s="1"/>
      <c r="P4" s="1"/>
      <c r="Q4" s="1"/>
      <c r="R4" s="1"/>
      <c r="S4" s="1"/>
      <c r="T4" s="1"/>
      <c r="U4" s="1"/>
      <c r="V4" s="1"/>
      <c r="W4" s="1"/>
      <c r="X4" s="1"/>
    </row>
    <row r="5" spans="1:24" ht="20" customHeight="1">
      <c r="A5" s="2" t="s">
        <v>55</v>
      </c>
      <c r="B5" s="19">
        <f>Parametri!J5</f>
        <v>2</v>
      </c>
      <c r="C5" s="2" t="s">
        <v>56</v>
      </c>
      <c r="D5" s="19">
        <f>Parametri!J6</f>
        <v>2</v>
      </c>
      <c r="E5" s="2" t="s">
        <v>57</v>
      </c>
      <c r="F5" s="56" t="s">
        <v>58</v>
      </c>
      <c r="G5" s="56"/>
      <c r="H5" s="56"/>
      <c r="I5" s="1"/>
      <c r="J5" s="1"/>
      <c r="K5" s="1"/>
      <c r="L5" s="1"/>
      <c r="M5" s="1"/>
      <c r="N5" s="1"/>
      <c r="O5" s="1"/>
      <c r="P5" s="1"/>
      <c r="Q5" s="1"/>
      <c r="R5" s="1"/>
      <c r="S5" s="1"/>
      <c r="T5" s="1"/>
      <c r="U5" s="1"/>
      <c r="V5" s="1"/>
      <c r="W5" s="1"/>
      <c r="X5" s="1"/>
    </row>
    <row r="6" spans="1:24" ht="18" customHeight="1">
      <c r="A6" s="57" t="s">
        <v>59</v>
      </c>
      <c r="B6" s="58"/>
      <c r="C6" s="59" t="s">
        <v>60</v>
      </c>
      <c r="D6" s="59"/>
      <c r="E6" s="60" t="s">
        <v>61</v>
      </c>
      <c r="F6" s="60"/>
      <c r="G6" s="61" t="s">
        <v>62</v>
      </c>
      <c r="H6" s="61"/>
      <c r="I6" s="1"/>
      <c r="J6" s="1"/>
      <c r="K6" s="1"/>
      <c r="L6" s="1"/>
      <c r="M6" s="1"/>
      <c r="N6" s="1"/>
      <c r="O6" s="1"/>
      <c r="P6" s="1"/>
      <c r="Q6" s="1"/>
      <c r="R6" s="1"/>
      <c r="S6" s="1"/>
      <c r="T6" s="1"/>
      <c r="U6" s="1"/>
      <c r="V6" s="1"/>
      <c r="W6" s="1"/>
      <c r="X6" s="1"/>
    </row>
    <row r="7" spans="1:24" ht="17" customHeight="1">
      <c r="A7" s="51" t="str">
        <f>IF(NOT(Calcoli!$B$8),"CONTROLLA ECCEZIONI: completa le righe attive o disattivale.",IF(NOT(Calcoli!$B$7),"CHECK PARAMETERS: invalid date, time, time zone or margins.",IF(COUNTIF(Calcoli!$B$10:$H$10,FALSE)&gt;0,"CONTROLLA PARAMETRI: fuso, calendario, orari o riposi non validi.",IF(COUNTIF(Calcoli!$R$17:$X$88,-1)&gt;0,"CONTROLLA ECCEZIONI/FUSI: sovrapposizione di date o dati fuori copertura.","Personal exceptions &gt; festività &gt; recuperi nazionali &gt; riposi settimanali &gt; orari."))))</f>
        <v>Personal exceptions &gt; festività &gt; recuperi nazionali &gt; riposi settimanali &gt; orari.</v>
      </c>
      <c r="B7" s="51"/>
      <c r="C7" s="51"/>
      <c r="D7" s="51"/>
      <c r="E7" s="51"/>
      <c r="F7" s="51"/>
      <c r="G7" s="51"/>
      <c r="H7" s="51"/>
      <c r="I7" s="1"/>
      <c r="J7" s="1"/>
      <c r="K7" s="1"/>
      <c r="L7" s="1"/>
      <c r="M7" s="1"/>
      <c r="N7" s="1"/>
      <c r="O7" s="1"/>
      <c r="P7" s="1"/>
      <c r="Q7" s="1"/>
      <c r="R7" s="1"/>
      <c r="S7" s="1"/>
      <c r="T7" s="1"/>
      <c r="U7" s="1"/>
      <c r="V7" s="1"/>
      <c r="W7" s="1"/>
      <c r="X7" s="1"/>
    </row>
    <row r="8" spans="1:24" ht="21" customHeight="1">
      <c r="A8" s="3" t="s">
        <v>13</v>
      </c>
      <c r="B8" s="3" t="str">
        <f>IF(LEN(Calcoli!B94)=2,_xlfn.UNICHAR(127397+CODE(LEFT(Calcoli!B94,1)))&amp;_xlfn.UNICHAR(127397+CODE(RIGHT(Calcoli!B94,1)))&amp;" ","")&amp;Parametri!B12</f>
        <v> Hanoi</v>
      </c>
      <c r="C8" s="3" t="str">
        <f>IF(LEN(Calcoli!C94)=2,_xlfn.UNICHAR(127397+CODE(LEFT(Calcoli!C94,1)))&amp;_xlfn.UNICHAR(127397+CODE(RIGHT(Calcoli!C94,1)))&amp;" ","")&amp;Parametri!B13</f>
        <v> Mumbai</v>
      </c>
      <c r="D8" s="3" t="str">
        <f>IF(LEN(Calcoli!D94)=2,_xlfn.UNICHAR(127397+CODE(LEFT(Calcoli!D94,1)))&amp;_xlfn.UNICHAR(127397+CODE(RIGHT(Calcoli!D94,1)))&amp;" ","")&amp;Parametri!B14</f>
        <v> Minsk</v>
      </c>
      <c r="E8" s="3" t="str">
        <f>IF(LEN(Calcoli!E94)=2,_xlfn.UNICHAR(127397+CODE(LEFT(Calcoli!E94,1)))&amp;_xlfn.UNICHAR(127397+CODE(RIGHT(Calcoli!E94,1)))&amp;" ","")&amp;Parametri!B15</f>
        <v> Rome</v>
      </c>
      <c r="F8" s="3" t="str">
        <f>IF(LEN(Calcoli!F94)=2,_xlfn.UNICHAR(127397+CODE(LEFT(Calcoli!F94,1)))&amp;_xlfn.UNICHAR(127397+CODE(RIGHT(Calcoli!F94,1)))&amp;" ","")&amp;Parametri!B16</f>
        <v> London</v>
      </c>
      <c r="G8" s="3" t="str">
        <f>IF(LEN(Calcoli!G94)=2,_xlfn.UNICHAR(127397+CODE(LEFT(Calcoli!G94,1)))&amp;_xlfn.UNICHAR(127397+CODE(RIGHT(Calcoli!G94,1)))&amp;" ","")&amp;Parametri!B17</f>
        <v> New York</v>
      </c>
      <c r="H8" s="3" t="str">
        <f>IF(LEN(Calcoli!H94)=2,_xlfn.UNICHAR(127397+CODE(LEFT(Calcoli!H94,1)))&amp;_xlfn.UNICHAR(127397+CODE(RIGHT(Calcoli!H94,1)))&amp;" ","")&amp;Parametri!B18</f>
        <v> Los Angeles</v>
      </c>
      <c r="I8" s="1"/>
      <c r="J8" s="1"/>
      <c r="K8" s="1"/>
      <c r="L8" s="1"/>
      <c r="M8" s="1"/>
      <c r="N8" s="1"/>
      <c r="O8" s="1"/>
      <c r="P8" s="1"/>
      <c r="Q8" s="1"/>
      <c r="R8" s="1"/>
      <c r="S8" s="1"/>
      <c r="T8" s="1"/>
      <c r="U8" s="1"/>
      <c r="V8" s="1"/>
      <c r="W8" s="1"/>
      <c r="X8" s="1"/>
    </row>
    <row r="9" spans="1:24" ht="16.05" customHeight="1">
      <c r="A9" s="6" t="s">
        <v>63</v>
      </c>
      <c r="B9" s="13" t="str">
        <f>Parametri!C12</f>
        <v>hanoi</v>
      </c>
      <c r="C9" s="13" t="str">
        <f>Parametri!C13</f>
        <v>mumbai</v>
      </c>
      <c r="D9" s="13" t="str">
        <f>Parametri!C14</f>
        <v>minsk</v>
      </c>
      <c r="E9" s="13" t="str">
        <f>Parametri!C15</f>
        <v>rome</v>
      </c>
      <c r="F9" s="13" t="str">
        <f>Parametri!C16</f>
        <v>london</v>
      </c>
      <c r="G9" s="13" t="str">
        <f>Parametri!C17</f>
        <v>new-york</v>
      </c>
      <c r="H9" s="13" t="str">
        <f>Parametri!C18</f>
        <v>los-angeles</v>
      </c>
      <c r="I9" s="1"/>
      <c r="J9" s="1"/>
      <c r="K9" s="1"/>
      <c r="L9" s="1"/>
      <c r="M9" s="1"/>
      <c r="N9" s="1"/>
      <c r="O9" s="1"/>
      <c r="P9" s="1"/>
      <c r="Q9" s="1"/>
      <c r="R9" s="1"/>
      <c r="S9" s="1"/>
      <c r="T9" s="1"/>
      <c r="U9" s="1"/>
      <c r="V9" s="1"/>
      <c r="W9" s="1"/>
      <c r="X9" s="1"/>
    </row>
    <row r="10" spans="1:24" ht="16.05" customHeight="1">
      <c r="A10" s="6" t="s">
        <v>15</v>
      </c>
      <c r="B10" s="14" t="str">
        <f>Parametri!D12</f>
        <v>VN</v>
      </c>
      <c r="C10" s="14" t="str">
        <f>Parametri!D13</f>
        <v>IN</v>
      </c>
      <c r="D10" s="14" t="str">
        <f>Parametri!D14</f>
        <v>BY</v>
      </c>
      <c r="E10" s="14" t="str">
        <f>Parametri!D15</f>
        <v>IT</v>
      </c>
      <c r="F10" s="14" t="str">
        <f>Parametri!D16</f>
        <v>GB-ENG</v>
      </c>
      <c r="G10" s="14" t="str">
        <f>Parametri!D17</f>
        <v>US</v>
      </c>
      <c r="H10" s="14" t="str">
        <f>Parametri!D18</f>
        <v>US</v>
      </c>
      <c r="I10" s="1"/>
      <c r="J10" s="1"/>
      <c r="K10" s="1"/>
      <c r="L10" s="1"/>
      <c r="M10" s="1"/>
      <c r="N10" s="1"/>
      <c r="O10" s="1"/>
      <c r="P10" s="1"/>
      <c r="Q10" s="1"/>
      <c r="R10" s="1"/>
      <c r="S10" s="1"/>
      <c r="T10" s="1"/>
      <c r="U10" s="1"/>
      <c r="V10" s="1"/>
      <c r="W10" s="1"/>
      <c r="X10" s="1"/>
    </row>
    <row r="11" spans="1:24" ht="16.05" customHeight="1">
      <c r="A11" s="6" t="s">
        <v>64</v>
      </c>
      <c r="B11" s="15">
        <f>Parametri!E12</f>
        <v>0.20833333333333301</v>
      </c>
      <c r="C11" s="15">
        <f>Parametri!E13</f>
        <v>0.375</v>
      </c>
      <c r="D11" s="15">
        <f>Parametri!E14</f>
        <v>0.375</v>
      </c>
      <c r="E11" s="15">
        <f>Parametri!E15</f>
        <v>0.375</v>
      </c>
      <c r="F11" s="15">
        <f>Parametri!E16</f>
        <v>0.375</v>
      </c>
      <c r="G11" s="15">
        <f>Parametri!E17</f>
        <v>0.375</v>
      </c>
      <c r="H11" s="15">
        <f>Parametri!E18</f>
        <v>0.375</v>
      </c>
      <c r="I11" s="1"/>
      <c r="J11" s="1"/>
      <c r="K11" s="1"/>
      <c r="L11" s="1"/>
      <c r="M11" s="1"/>
      <c r="N11" s="1"/>
      <c r="O11" s="1"/>
      <c r="P11" s="1"/>
      <c r="Q11" s="1"/>
      <c r="R11" s="1"/>
      <c r="S11" s="1"/>
      <c r="T11" s="1"/>
      <c r="U11" s="1"/>
      <c r="V11" s="1"/>
      <c r="W11" s="1"/>
      <c r="X11" s="1"/>
    </row>
    <row r="12" spans="1:24" ht="16.05" customHeight="1">
      <c r="A12" s="6" t="s">
        <v>65</v>
      </c>
      <c r="B12" s="15">
        <f>Parametri!F12</f>
        <v>0.95833333333333304</v>
      </c>
      <c r="C12" s="15">
        <f>Parametri!F13</f>
        <v>0.75</v>
      </c>
      <c r="D12" s="15">
        <f>Parametri!F14</f>
        <v>0.75</v>
      </c>
      <c r="E12" s="15">
        <f>Parametri!F15</f>
        <v>0.75</v>
      </c>
      <c r="F12" s="15">
        <f>Parametri!F16</f>
        <v>0.75</v>
      </c>
      <c r="G12" s="15">
        <f>Parametri!F17</f>
        <v>0.75</v>
      </c>
      <c r="H12" s="15">
        <f>Parametri!F18</f>
        <v>0.75</v>
      </c>
      <c r="I12" s="1"/>
      <c r="J12" s="1"/>
      <c r="K12" s="1"/>
      <c r="L12" s="1"/>
      <c r="M12" s="1"/>
      <c r="N12" s="1"/>
      <c r="O12" s="1"/>
      <c r="P12" s="1"/>
      <c r="Q12" s="1"/>
      <c r="R12" s="1"/>
      <c r="S12" s="1"/>
      <c r="T12" s="1"/>
      <c r="U12" s="1"/>
      <c r="V12" s="1"/>
      <c r="W12" s="1"/>
      <c r="X12" s="1"/>
    </row>
    <row r="13" spans="1:24" ht="16.05" customHeight="1">
      <c r="A13" s="6" t="s">
        <v>66</v>
      </c>
      <c r="B13" s="30" t="str">
        <f>IF(SUM(Parametri!G12:M12)=0,"—",TRIM(IF(Parametri!G12=1,"Mon ","")&amp;IF(Parametri!H12=1,"Tue ","")&amp;IF(Parametri!I12=1,"Wed ","")&amp;IF(Parametri!J12=1,"Thu ","")&amp;IF(Parametri!K12=1,"Fri ","")&amp;IF(Parametri!L12=1,"Sat ","")&amp;IF(Parametri!M12=1,"Sun ","")))</f>
        <v>—</v>
      </c>
      <c r="C13" s="30" t="str">
        <f>IF(SUM(Parametri!G13:M13)=0,"—",TRIM(IF(Parametri!G13=1,"Mon ","")&amp;IF(Parametri!H13=1,"Tue ","")&amp;IF(Parametri!I13=1,"Wed ","")&amp;IF(Parametri!J13=1,"Thu ","")&amp;IF(Parametri!K13=1,"Fri ","")&amp;IF(Parametri!L13=1,"Sat ","")&amp;IF(Parametri!M13=1,"Sun ","")))</f>
        <v>Sat Sun</v>
      </c>
      <c r="D13" s="30" t="str">
        <f>IF(SUM(Parametri!G14:M14)=0,"—",TRIM(IF(Parametri!G14=1,"Mon ","")&amp;IF(Parametri!H14=1,"Tue ","")&amp;IF(Parametri!I14=1,"Wed ","")&amp;IF(Parametri!J14=1,"Thu ","")&amp;IF(Parametri!K14=1,"Fri ","")&amp;IF(Parametri!L14=1,"Sat ","")&amp;IF(Parametri!M14=1,"Sun ","")))</f>
        <v>Sat Sun</v>
      </c>
      <c r="E13" s="30" t="str">
        <f>IF(SUM(Parametri!G15:M15)=0,"—",TRIM(IF(Parametri!G15=1,"Mon ","")&amp;IF(Parametri!H15=1,"Tue ","")&amp;IF(Parametri!I15=1,"Wed ","")&amp;IF(Parametri!J15=1,"Thu ","")&amp;IF(Parametri!K15=1,"Fri ","")&amp;IF(Parametri!L15=1,"Sat ","")&amp;IF(Parametri!M15=1,"Sun ","")))</f>
        <v>Sat Sun</v>
      </c>
      <c r="F13" s="30" t="str">
        <f>IF(SUM(Parametri!G16:M16)=0,"—",TRIM(IF(Parametri!G16=1,"Mon ","")&amp;IF(Parametri!H16=1,"Tue ","")&amp;IF(Parametri!I16=1,"Wed ","")&amp;IF(Parametri!J16=1,"Thu ","")&amp;IF(Parametri!K16=1,"Fri ","")&amp;IF(Parametri!L16=1,"Sat ","")&amp;IF(Parametri!M16=1,"Sun ","")))</f>
        <v>Sat Sun</v>
      </c>
      <c r="G13" s="30" t="str">
        <f>IF(SUM(Parametri!G17:M17)=0,"—",TRIM(IF(Parametri!G17=1,"Mon ","")&amp;IF(Parametri!H17=1,"Tue ","")&amp;IF(Parametri!I17=1,"Wed ","")&amp;IF(Parametri!J17=1,"Thu ","")&amp;IF(Parametri!K17=1,"Fri ","")&amp;IF(Parametri!L17=1,"Sat ","")&amp;IF(Parametri!M17=1,"Sun ","")))</f>
        <v>Sat Sun</v>
      </c>
      <c r="H13" s="30" t="str">
        <f>IF(SUM(Parametri!G18:M18)=0,"—",TRIM(IF(Parametri!G18=1,"Mon ","")&amp;IF(Parametri!H18=1,"Tue ","")&amp;IF(Parametri!I18=1,"Wed ","")&amp;IF(Parametri!J18=1,"Thu ","")&amp;IF(Parametri!K18=1,"Fri ","")&amp;IF(Parametri!L18=1,"Sat ","")&amp;IF(Parametri!M18=1,"Sun ","")))</f>
        <v>Sat Sun</v>
      </c>
      <c r="I13" s="1"/>
      <c r="J13" s="1"/>
      <c r="K13" s="1"/>
      <c r="L13" s="1"/>
      <c r="M13" s="1"/>
      <c r="N13" s="1"/>
      <c r="O13" s="1"/>
      <c r="P13" s="1"/>
      <c r="Q13" s="1"/>
      <c r="R13" s="1"/>
      <c r="S13" s="1"/>
      <c r="T13" s="1"/>
      <c r="U13" s="1"/>
      <c r="V13" s="1"/>
      <c r="W13" s="1"/>
      <c r="X13" s="1"/>
    </row>
    <row r="14" spans="1:24" ht="16.05" customHeight="1">
      <c r="A14" s="6" t="s">
        <v>67</v>
      </c>
      <c r="B14" s="10" t="str">
        <f>Calcoli!B14</f>
        <v>Not loaded</v>
      </c>
      <c r="C14" s="10" t="str">
        <f>Calcoli!C14</f>
        <v>Outside period</v>
      </c>
      <c r="D14" s="10" t="str">
        <f>Calcoli!D14</f>
        <v>Not loaded</v>
      </c>
      <c r="E14" s="10" t="str">
        <f>Calcoli!E14</f>
        <v>Outside period</v>
      </c>
      <c r="F14" s="10" t="str">
        <f>Calcoli!F14</f>
        <v>Outside period</v>
      </c>
      <c r="G14" s="10" t="str">
        <f>Calcoli!G14</f>
        <v>Outside period</v>
      </c>
      <c r="H14" s="10" t="str">
        <f>Calcoli!H14</f>
        <v>Outside period</v>
      </c>
      <c r="I14" s="1"/>
      <c r="J14" s="1"/>
      <c r="K14" s="1"/>
      <c r="L14" s="1"/>
      <c r="M14" s="1"/>
      <c r="N14" s="1"/>
      <c r="O14" s="1"/>
      <c r="P14" s="1"/>
      <c r="Q14" s="1"/>
      <c r="R14" s="1"/>
      <c r="S14" s="1"/>
      <c r="T14" s="1"/>
      <c r="U14" s="1"/>
      <c r="V14" s="1"/>
      <c r="W14" s="1"/>
      <c r="X14" s="1"/>
    </row>
    <row r="15" spans="1:24" ht="17" customHeight="1">
      <c r="A15" s="55" t="str">
        <f>Info!B4</f>
        <v>Observances (info only): Blessed Virgin Mary of Mercy</v>
      </c>
      <c r="B15" s="55"/>
      <c r="C15" s="55"/>
      <c r="D15" s="55"/>
      <c r="E15" s="55"/>
      <c r="F15" s="55"/>
      <c r="G15" s="55"/>
      <c r="H15" s="55"/>
      <c r="I15" s="1"/>
      <c r="J15" s="1"/>
      <c r="K15" s="1"/>
      <c r="L15" s="1"/>
      <c r="M15" s="1"/>
      <c r="N15" s="1"/>
      <c r="O15" s="1"/>
      <c r="P15" s="1"/>
      <c r="Q15" s="1"/>
      <c r="R15" s="1"/>
      <c r="S15" s="1"/>
      <c r="T15" s="1"/>
      <c r="U15" s="1"/>
      <c r="V15" s="1"/>
      <c r="W15" s="1"/>
      <c r="X15" s="1"/>
    </row>
    <row r="16" spans="1:24" ht="21" customHeight="1">
      <c r="A16" s="3" t="s">
        <v>68</v>
      </c>
      <c r="B16" s="3" t="str">
        <f t="shared" ref="B16:H16" si="0">B8</f>
        <v> Hanoi</v>
      </c>
      <c r="C16" s="3" t="str">
        <f t="shared" si="0"/>
        <v> Mumbai</v>
      </c>
      <c r="D16" s="3" t="str">
        <f t="shared" si="0"/>
        <v> Minsk</v>
      </c>
      <c r="E16" s="3" t="str">
        <f t="shared" si="0"/>
        <v> Rome</v>
      </c>
      <c r="F16" s="3" t="str">
        <f t="shared" si="0"/>
        <v> London</v>
      </c>
      <c r="G16" s="3" t="str">
        <f t="shared" si="0"/>
        <v> New York</v>
      </c>
      <c r="H16" s="3" t="str">
        <f t="shared" si="0"/>
        <v> Los Angeles</v>
      </c>
      <c r="I16" s="1"/>
      <c r="J16" s="1"/>
      <c r="K16" s="1"/>
      <c r="L16" s="1"/>
      <c r="M16" s="1"/>
      <c r="N16" s="1"/>
      <c r="O16" s="1"/>
      <c r="P16" s="1"/>
      <c r="Q16" s="1"/>
      <c r="R16" s="1"/>
      <c r="S16" s="1"/>
      <c r="T16" s="1"/>
      <c r="U16" s="1"/>
      <c r="V16" s="1"/>
      <c r="W16" s="1"/>
      <c r="X16" s="1"/>
    </row>
    <row r="17" spans="1:24" ht="13.5" customHeight="1">
      <c r="A17" s="11">
        <f>Calcoli!A17</f>
        <v>46288.708333333336</v>
      </c>
      <c r="B17" s="12">
        <f>Calcoli!B17</f>
        <v>46289</v>
      </c>
      <c r="C17" s="12">
        <f>Calcoli!C17</f>
        <v>46288.9375</v>
      </c>
      <c r="D17" s="12">
        <f>Calcoli!D17</f>
        <v>46288.833333333336</v>
      </c>
      <c r="E17" s="12">
        <f>Calcoli!E17</f>
        <v>46288.791666666664</v>
      </c>
      <c r="F17" s="12">
        <f>Calcoli!F17</f>
        <v>46288.75</v>
      </c>
      <c r="G17" s="12">
        <f>Calcoli!G17</f>
        <v>46288.541666666664</v>
      </c>
      <c r="H17" s="12">
        <f>Calcoli!H17</f>
        <v>46288.416666666664</v>
      </c>
      <c r="I17" s="1"/>
      <c r="J17" s="1">
        <f>Calcoli!R17</f>
        <v>1</v>
      </c>
      <c r="K17" s="1">
        <f>Calcoli!S17</f>
        <v>0</v>
      </c>
      <c r="L17" s="1">
        <f>Calcoli!T17</f>
        <v>0</v>
      </c>
      <c r="M17" s="1">
        <f>Calcoli!U17</f>
        <v>1</v>
      </c>
      <c r="N17" s="1">
        <f>Calcoli!V17</f>
        <v>1</v>
      </c>
      <c r="O17" s="1">
        <f>Calcoli!W17</f>
        <v>2</v>
      </c>
      <c r="P17" s="1">
        <f>Calcoli!X17</f>
        <v>2</v>
      </c>
      <c r="Q17" s="1"/>
      <c r="R17" s="1">
        <f>Calcoli!Z17</f>
        <v>0</v>
      </c>
      <c r="S17" s="1">
        <f>Calcoli!AA17</f>
        <v>0</v>
      </c>
      <c r="T17" s="1">
        <f>Calcoli!AB17</f>
        <v>0</v>
      </c>
      <c r="U17" s="1">
        <f>Calcoli!AC17</f>
        <v>0</v>
      </c>
      <c r="V17" s="1">
        <f>Calcoli!AD17</f>
        <v>0</v>
      </c>
      <c r="W17" s="1">
        <f>Calcoli!AE17</f>
        <v>0</v>
      </c>
      <c r="X17" s="1">
        <f>Calcoli!AF17</f>
        <v>0</v>
      </c>
    </row>
    <row r="18" spans="1:24" ht="13.5" customHeight="1">
      <c r="A18" s="11">
        <f>Calcoli!A18</f>
        <v>46288.75</v>
      </c>
      <c r="B18" s="12">
        <f>Calcoli!B18</f>
        <v>46289.041666666664</v>
      </c>
      <c r="C18" s="12">
        <f>Calcoli!C18</f>
        <v>46288.979166666664</v>
      </c>
      <c r="D18" s="12">
        <f>Calcoli!D18</f>
        <v>46288.875</v>
      </c>
      <c r="E18" s="12">
        <f>Calcoli!E18</f>
        <v>46288.833333333336</v>
      </c>
      <c r="F18" s="12">
        <f>Calcoli!F18</f>
        <v>46288.791666666664</v>
      </c>
      <c r="G18" s="12">
        <f>Calcoli!G18</f>
        <v>46288.583333333336</v>
      </c>
      <c r="H18" s="12">
        <f>Calcoli!H18</f>
        <v>46288.458333333336</v>
      </c>
      <c r="I18" s="1"/>
      <c r="J18" s="1">
        <f>Calcoli!R18</f>
        <v>0</v>
      </c>
      <c r="K18" s="1">
        <f>Calcoli!S18</f>
        <v>0</v>
      </c>
      <c r="L18" s="1">
        <f>Calcoli!T18</f>
        <v>0</v>
      </c>
      <c r="M18" s="1">
        <f>Calcoli!U18</f>
        <v>0</v>
      </c>
      <c r="N18" s="1">
        <f>Calcoli!V18</f>
        <v>1</v>
      </c>
      <c r="O18" s="1">
        <f>Calcoli!W18</f>
        <v>2</v>
      </c>
      <c r="P18" s="1">
        <f>Calcoli!X18</f>
        <v>2</v>
      </c>
      <c r="Q18" s="1"/>
      <c r="R18" s="1">
        <f>Calcoli!Z18</f>
        <v>0</v>
      </c>
      <c r="S18" s="1">
        <f>Calcoli!AA18</f>
        <v>0</v>
      </c>
      <c r="T18" s="1">
        <f>Calcoli!AB18</f>
        <v>0</v>
      </c>
      <c r="U18" s="1">
        <f>Calcoli!AC18</f>
        <v>0</v>
      </c>
      <c r="V18" s="1">
        <f>Calcoli!AD18</f>
        <v>0</v>
      </c>
      <c r="W18" s="1">
        <f>Calcoli!AE18</f>
        <v>0</v>
      </c>
      <c r="X18" s="1">
        <f>Calcoli!AF18</f>
        <v>0</v>
      </c>
    </row>
    <row r="19" spans="1:24" ht="13.5" customHeight="1">
      <c r="A19" s="11">
        <f>Calcoli!A19</f>
        <v>46288.791666666664</v>
      </c>
      <c r="B19" s="12">
        <f>Calcoli!B19</f>
        <v>46289.083333333336</v>
      </c>
      <c r="C19" s="12">
        <f>Calcoli!C19</f>
        <v>46289.020833333336</v>
      </c>
      <c r="D19" s="12">
        <f>Calcoli!D19</f>
        <v>46288.916666666664</v>
      </c>
      <c r="E19" s="12">
        <f>Calcoli!E19</f>
        <v>46288.875</v>
      </c>
      <c r="F19" s="12">
        <f>Calcoli!F19</f>
        <v>46288.833333333336</v>
      </c>
      <c r="G19" s="12">
        <f>Calcoli!G19</f>
        <v>46288.625</v>
      </c>
      <c r="H19" s="12">
        <f>Calcoli!H19</f>
        <v>46288.5</v>
      </c>
      <c r="I19" s="1"/>
      <c r="J19" s="1">
        <f>Calcoli!R19</f>
        <v>0</v>
      </c>
      <c r="K19" s="1">
        <f>Calcoli!S19</f>
        <v>0</v>
      </c>
      <c r="L19" s="1">
        <f>Calcoli!T19</f>
        <v>0</v>
      </c>
      <c r="M19" s="1">
        <f>Calcoli!U19</f>
        <v>0</v>
      </c>
      <c r="N19" s="1">
        <f>Calcoli!V19</f>
        <v>0</v>
      </c>
      <c r="O19" s="1">
        <f>Calcoli!W19</f>
        <v>2</v>
      </c>
      <c r="P19" s="1">
        <f>Calcoli!X19</f>
        <v>2</v>
      </c>
      <c r="Q19" s="1"/>
      <c r="R19" s="1">
        <f>Calcoli!Z19</f>
        <v>0</v>
      </c>
      <c r="S19" s="1">
        <f>Calcoli!AA19</f>
        <v>0</v>
      </c>
      <c r="T19" s="1">
        <f>Calcoli!AB19</f>
        <v>0</v>
      </c>
      <c r="U19" s="1">
        <f>Calcoli!AC19</f>
        <v>0</v>
      </c>
      <c r="V19" s="1">
        <f>Calcoli!AD19</f>
        <v>0</v>
      </c>
      <c r="W19" s="1">
        <f>Calcoli!AE19</f>
        <v>0</v>
      </c>
      <c r="X19" s="1">
        <f>Calcoli!AF19</f>
        <v>0</v>
      </c>
    </row>
    <row r="20" spans="1:24" ht="13.5" customHeight="1">
      <c r="A20" s="11">
        <f>Calcoli!A20</f>
        <v>46288.833333333336</v>
      </c>
      <c r="B20" s="12">
        <f>Calcoli!B20</f>
        <v>46289.125</v>
      </c>
      <c r="C20" s="12">
        <f>Calcoli!C20</f>
        <v>46289.0625</v>
      </c>
      <c r="D20" s="12">
        <f>Calcoli!D20</f>
        <v>46288.958333333336</v>
      </c>
      <c r="E20" s="12">
        <f>Calcoli!E20</f>
        <v>46288.916666666664</v>
      </c>
      <c r="F20" s="12">
        <f>Calcoli!F20</f>
        <v>46288.875</v>
      </c>
      <c r="G20" s="12">
        <f>Calcoli!G20</f>
        <v>46288.666666666664</v>
      </c>
      <c r="H20" s="12">
        <f>Calcoli!H20</f>
        <v>46288.541666666664</v>
      </c>
      <c r="I20" s="1"/>
      <c r="J20" s="1">
        <f>Calcoli!R20</f>
        <v>1</v>
      </c>
      <c r="K20" s="1">
        <f>Calcoli!S20</f>
        <v>0</v>
      </c>
      <c r="L20" s="1">
        <f>Calcoli!T20</f>
        <v>0</v>
      </c>
      <c r="M20" s="1">
        <f>Calcoli!U20</f>
        <v>0</v>
      </c>
      <c r="N20" s="1">
        <f>Calcoli!V20</f>
        <v>0</v>
      </c>
      <c r="O20" s="1">
        <f>Calcoli!W20</f>
        <v>2</v>
      </c>
      <c r="P20" s="1">
        <f>Calcoli!X20</f>
        <v>2</v>
      </c>
      <c r="Q20" s="1"/>
      <c r="R20" s="1">
        <f>Calcoli!Z20</f>
        <v>0</v>
      </c>
      <c r="S20" s="1">
        <f>Calcoli!AA20</f>
        <v>0</v>
      </c>
      <c r="T20" s="1">
        <f>Calcoli!AB20</f>
        <v>0</v>
      </c>
      <c r="U20" s="1">
        <f>Calcoli!AC20</f>
        <v>0</v>
      </c>
      <c r="V20" s="1">
        <f>Calcoli!AD20</f>
        <v>0</v>
      </c>
      <c r="W20" s="1">
        <f>Calcoli!AE20</f>
        <v>0</v>
      </c>
      <c r="X20" s="1">
        <f>Calcoli!AF20</f>
        <v>0</v>
      </c>
    </row>
    <row r="21" spans="1:24" ht="13.5" customHeight="1">
      <c r="A21" s="11">
        <f>Calcoli!A21</f>
        <v>46288.875</v>
      </c>
      <c r="B21" s="12">
        <f>Calcoli!B21</f>
        <v>46289.166666666664</v>
      </c>
      <c r="C21" s="12">
        <f>Calcoli!C21</f>
        <v>46289.104166666664</v>
      </c>
      <c r="D21" s="12">
        <f>Calcoli!D21</f>
        <v>46289</v>
      </c>
      <c r="E21" s="12">
        <f>Calcoli!E21</f>
        <v>46288.958333333336</v>
      </c>
      <c r="F21" s="12">
        <f>Calcoli!F21</f>
        <v>46288.916666666664</v>
      </c>
      <c r="G21" s="12">
        <f>Calcoli!G21</f>
        <v>46288.708333333336</v>
      </c>
      <c r="H21" s="12">
        <f>Calcoli!H21</f>
        <v>46288.583333333336</v>
      </c>
      <c r="I21" s="1"/>
      <c r="J21" s="1">
        <f>Calcoli!R21</f>
        <v>1</v>
      </c>
      <c r="K21" s="1">
        <f>Calcoli!S21</f>
        <v>0</v>
      </c>
      <c r="L21" s="1">
        <f>Calcoli!T21</f>
        <v>0</v>
      </c>
      <c r="M21" s="1">
        <f>Calcoli!U21</f>
        <v>0</v>
      </c>
      <c r="N21" s="1">
        <f>Calcoli!V21</f>
        <v>0</v>
      </c>
      <c r="O21" s="1">
        <f>Calcoli!W21</f>
        <v>2</v>
      </c>
      <c r="P21" s="1">
        <f>Calcoli!X21</f>
        <v>2</v>
      </c>
      <c r="Q21" s="1"/>
      <c r="R21" s="1">
        <f>Calcoli!Z21</f>
        <v>0</v>
      </c>
      <c r="S21" s="1">
        <f>Calcoli!AA21</f>
        <v>0</v>
      </c>
      <c r="T21" s="1">
        <f>Calcoli!AB21</f>
        <v>0</v>
      </c>
      <c r="U21" s="1">
        <f>Calcoli!AC21</f>
        <v>0</v>
      </c>
      <c r="V21" s="1">
        <f>Calcoli!AD21</f>
        <v>0</v>
      </c>
      <c r="W21" s="1">
        <f>Calcoli!AE21</f>
        <v>0</v>
      </c>
      <c r="X21" s="1">
        <f>Calcoli!AF21</f>
        <v>0</v>
      </c>
    </row>
    <row r="22" spans="1:24" ht="13.5" customHeight="1">
      <c r="A22" s="11">
        <f>Calcoli!A22</f>
        <v>46288.916666666664</v>
      </c>
      <c r="B22" s="12">
        <f>Calcoli!B22</f>
        <v>46289.208333333336</v>
      </c>
      <c r="C22" s="12">
        <f>Calcoli!C22</f>
        <v>46289.145833333336</v>
      </c>
      <c r="D22" s="12">
        <f>Calcoli!D22</f>
        <v>46289.041666666664</v>
      </c>
      <c r="E22" s="12">
        <f>Calcoli!E22</f>
        <v>46289</v>
      </c>
      <c r="F22" s="12">
        <f>Calcoli!F22</f>
        <v>46288.958333333336</v>
      </c>
      <c r="G22" s="12">
        <f>Calcoli!G22</f>
        <v>46288.75</v>
      </c>
      <c r="H22" s="12">
        <f>Calcoli!H22</f>
        <v>46288.625</v>
      </c>
      <c r="I22" s="1"/>
      <c r="J22" s="1">
        <f>Calcoli!R22</f>
        <v>2</v>
      </c>
      <c r="K22" s="1">
        <f>Calcoli!S22</f>
        <v>0</v>
      </c>
      <c r="L22" s="1">
        <f>Calcoli!T22</f>
        <v>0</v>
      </c>
      <c r="M22" s="1">
        <f>Calcoli!U22</f>
        <v>0</v>
      </c>
      <c r="N22" s="1">
        <f>Calcoli!V22</f>
        <v>0</v>
      </c>
      <c r="O22" s="1">
        <f>Calcoli!W22</f>
        <v>1</v>
      </c>
      <c r="P22" s="1">
        <f>Calcoli!X22</f>
        <v>2</v>
      </c>
      <c r="Q22" s="1"/>
      <c r="R22" s="1">
        <f>Calcoli!Z22</f>
        <v>0</v>
      </c>
      <c r="S22" s="1">
        <f>Calcoli!AA22</f>
        <v>0</v>
      </c>
      <c r="T22" s="1">
        <f>Calcoli!AB22</f>
        <v>0</v>
      </c>
      <c r="U22" s="1">
        <f>Calcoli!AC22</f>
        <v>0</v>
      </c>
      <c r="V22" s="1">
        <f>Calcoli!AD22</f>
        <v>0</v>
      </c>
      <c r="W22" s="1">
        <f>Calcoli!AE22</f>
        <v>0</v>
      </c>
      <c r="X22" s="1">
        <f>Calcoli!AF22</f>
        <v>0</v>
      </c>
    </row>
    <row r="23" spans="1:24" ht="13.5" customHeight="1">
      <c r="A23" s="11">
        <f>Calcoli!A23</f>
        <v>46288.958333333336</v>
      </c>
      <c r="B23" s="12">
        <f>Calcoli!B23</f>
        <v>46289.25</v>
      </c>
      <c r="C23" s="12">
        <f>Calcoli!C23</f>
        <v>46289.1875</v>
      </c>
      <c r="D23" s="12">
        <f>Calcoli!D23</f>
        <v>46289.083333333336</v>
      </c>
      <c r="E23" s="12">
        <f>Calcoli!E23</f>
        <v>46289.041666666664</v>
      </c>
      <c r="F23" s="12">
        <f>Calcoli!F23</f>
        <v>46289</v>
      </c>
      <c r="G23" s="12">
        <f>Calcoli!G23</f>
        <v>46288.791666666664</v>
      </c>
      <c r="H23" s="12">
        <f>Calcoli!H23</f>
        <v>46288.666666666664</v>
      </c>
      <c r="I23" s="1"/>
      <c r="J23" s="1">
        <f>Calcoli!R23</f>
        <v>2</v>
      </c>
      <c r="K23" s="1">
        <f>Calcoli!S23</f>
        <v>0</v>
      </c>
      <c r="L23" s="1">
        <f>Calcoli!T23</f>
        <v>0</v>
      </c>
      <c r="M23" s="1">
        <f>Calcoli!U23</f>
        <v>0</v>
      </c>
      <c r="N23" s="1">
        <f>Calcoli!V23</f>
        <v>0</v>
      </c>
      <c r="O23" s="1">
        <f>Calcoli!W23</f>
        <v>1</v>
      </c>
      <c r="P23" s="1">
        <f>Calcoli!X23</f>
        <v>2</v>
      </c>
      <c r="Q23" s="1"/>
      <c r="R23" s="1">
        <f>Calcoli!Z23</f>
        <v>0</v>
      </c>
      <c r="S23" s="1">
        <f>Calcoli!AA23</f>
        <v>0</v>
      </c>
      <c r="T23" s="1">
        <f>Calcoli!AB23</f>
        <v>0</v>
      </c>
      <c r="U23" s="1">
        <f>Calcoli!AC23</f>
        <v>0</v>
      </c>
      <c r="V23" s="1">
        <f>Calcoli!AD23</f>
        <v>0</v>
      </c>
      <c r="W23" s="1">
        <f>Calcoli!AE23</f>
        <v>0</v>
      </c>
      <c r="X23" s="1">
        <f>Calcoli!AF23</f>
        <v>0</v>
      </c>
    </row>
    <row r="24" spans="1:24" ht="13.5" customHeight="1">
      <c r="A24" s="11">
        <f>Calcoli!A24</f>
        <v>46289</v>
      </c>
      <c r="B24" s="12">
        <f>Calcoli!B24</f>
        <v>46289.291666666664</v>
      </c>
      <c r="C24" s="12">
        <f>Calcoli!C24</f>
        <v>46289.229166666664</v>
      </c>
      <c r="D24" s="12">
        <f>Calcoli!D24</f>
        <v>46289.125</v>
      </c>
      <c r="E24" s="12">
        <f>Calcoli!E24</f>
        <v>46289.083333333336</v>
      </c>
      <c r="F24" s="12">
        <f>Calcoli!F24</f>
        <v>46289.041666666664</v>
      </c>
      <c r="G24" s="12">
        <f>Calcoli!G24</f>
        <v>46288.833333333336</v>
      </c>
      <c r="H24" s="12">
        <f>Calcoli!H24</f>
        <v>46288.708333333336</v>
      </c>
      <c r="I24" s="1"/>
      <c r="J24" s="1">
        <f>Calcoli!R24</f>
        <v>2</v>
      </c>
      <c r="K24" s="1">
        <f>Calcoli!S24</f>
        <v>0</v>
      </c>
      <c r="L24" s="1">
        <f>Calcoli!T24</f>
        <v>0</v>
      </c>
      <c r="M24" s="1">
        <f>Calcoli!U24</f>
        <v>0</v>
      </c>
      <c r="N24" s="1">
        <f>Calcoli!V24</f>
        <v>0</v>
      </c>
      <c r="O24" s="1">
        <f>Calcoli!W24</f>
        <v>0</v>
      </c>
      <c r="P24" s="1">
        <f>Calcoli!X24</f>
        <v>2</v>
      </c>
      <c r="Q24" s="1"/>
      <c r="R24" s="1">
        <f>Calcoli!Z24</f>
        <v>0</v>
      </c>
      <c r="S24" s="1">
        <f>Calcoli!AA24</f>
        <v>0</v>
      </c>
      <c r="T24" s="1">
        <f>Calcoli!AB24</f>
        <v>0</v>
      </c>
      <c r="U24" s="1">
        <f>Calcoli!AC24</f>
        <v>0</v>
      </c>
      <c r="V24" s="1">
        <f>Calcoli!AD24</f>
        <v>0</v>
      </c>
      <c r="W24" s="1">
        <f>Calcoli!AE24</f>
        <v>0</v>
      </c>
      <c r="X24" s="1">
        <f>Calcoli!AF24</f>
        <v>0</v>
      </c>
    </row>
    <row r="25" spans="1:24" ht="13.5" customHeight="1">
      <c r="A25" s="11">
        <f>Calcoli!A25</f>
        <v>46289.041666666664</v>
      </c>
      <c r="B25" s="12">
        <f>Calcoli!B25</f>
        <v>46289.333333333336</v>
      </c>
      <c r="C25" s="12">
        <f>Calcoli!C25</f>
        <v>46289.270833333336</v>
      </c>
      <c r="D25" s="12">
        <f>Calcoli!D25</f>
        <v>46289.166666666664</v>
      </c>
      <c r="E25" s="12">
        <f>Calcoli!E25</f>
        <v>46289.125</v>
      </c>
      <c r="F25" s="12">
        <f>Calcoli!F25</f>
        <v>46289.083333333336</v>
      </c>
      <c r="G25" s="12">
        <f>Calcoli!G25</f>
        <v>46288.875</v>
      </c>
      <c r="H25" s="12">
        <f>Calcoli!H25</f>
        <v>46288.75</v>
      </c>
      <c r="I25" s="1"/>
      <c r="J25" s="1">
        <f>Calcoli!R25</f>
        <v>2</v>
      </c>
      <c r="K25" s="1">
        <f>Calcoli!S25</f>
        <v>0</v>
      </c>
      <c r="L25" s="1">
        <f>Calcoli!T25</f>
        <v>0</v>
      </c>
      <c r="M25" s="1">
        <f>Calcoli!U25</f>
        <v>0</v>
      </c>
      <c r="N25" s="1">
        <f>Calcoli!V25</f>
        <v>0</v>
      </c>
      <c r="O25" s="1">
        <f>Calcoli!W25</f>
        <v>0</v>
      </c>
      <c r="P25" s="1">
        <f>Calcoli!X25</f>
        <v>1</v>
      </c>
      <c r="Q25" s="1"/>
      <c r="R25" s="1">
        <f>Calcoli!Z25</f>
        <v>0</v>
      </c>
      <c r="S25" s="1">
        <f>Calcoli!AA25</f>
        <v>0</v>
      </c>
      <c r="T25" s="1">
        <f>Calcoli!AB25</f>
        <v>0</v>
      </c>
      <c r="U25" s="1">
        <f>Calcoli!AC25</f>
        <v>0</v>
      </c>
      <c r="V25" s="1">
        <f>Calcoli!AD25</f>
        <v>0</v>
      </c>
      <c r="W25" s="1">
        <f>Calcoli!AE25</f>
        <v>0</v>
      </c>
      <c r="X25" s="1">
        <f>Calcoli!AF25</f>
        <v>0</v>
      </c>
    </row>
    <row r="26" spans="1:24" ht="13.5" customHeight="1">
      <c r="A26" s="11">
        <f>Calcoli!A26</f>
        <v>46289.083333333336</v>
      </c>
      <c r="B26" s="12">
        <f>Calcoli!B26</f>
        <v>46289.375</v>
      </c>
      <c r="C26" s="12">
        <f>Calcoli!C26</f>
        <v>46289.3125</v>
      </c>
      <c r="D26" s="12">
        <f>Calcoli!D26</f>
        <v>46289.208333333336</v>
      </c>
      <c r="E26" s="12">
        <f>Calcoli!E26</f>
        <v>46289.166666666664</v>
      </c>
      <c r="F26" s="12">
        <f>Calcoli!F26</f>
        <v>46289.125</v>
      </c>
      <c r="G26" s="12">
        <f>Calcoli!G26</f>
        <v>46288.916666666664</v>
      </c>
      <c r="H26" s="12">
        <f>Calcoli!H26</f>
        <v>46288.791666666664</v>
      </c>
      <c r="I26" s="1"/>
      <c r="J26" s="1">
        <f>Calcoli!R26</f>
        <v>2</v>
      </c>
      <c r="K26" s="1">
        <f>Calcoli!S26</f>
        <v>1</v>
      </c>
      <c r="L26" s="1">
        <f>Calcoli!T26</f>
        <v>0</v>
      </c>
      <c r="M26" s="1">
        <f>Calcoli!U26</f>
        <v>0</v>
      </c>
      <c r="N26" s="1">
        <f>Calcoli!V26</f>
        <v>0</v>
      </c>
      <c r="O26" s="1">
        <f>Calcoli!W26</f>
        <v>0</v>
      </c>
      <c r="P26" s="1">
        <f>Calcoli!X26</f>
        <v>1</v>
      </c>
      <c r="Q26" s="1"/>
      <c r="R26" s="1">
        <f>Calcoli!Z26</f>
        <v>0</v>
      </c>
      <c r="S26" s="1">
        <f>Calcoli!AA26</f>
        <v>0</v>
      </c>
      <c r="T26" s="1">
        <f>Calcoli!AB26</f>
        <v>0</v>
      </c>
      <c r="U26" s="1">
        <f>Calcoli!AC26</f>
        <v>0</v>
      </c>
      <c r="V26" s="1">
        <f>Calcoli!AD26</f>
        <v>0</v>
      </c>
      <c r="W26" s="1">
        <f>Calcoli!AE26</f>
        <v>0</v>
      </c>
      <c r="X26" s="1">
        <f>Calcoli!AF26</f>
        <v>0</v>
      </c>
    </row>
    <row r="27" spans="1:24" ht="13.5" customHeight="1">
      <c r="A27" s="11">
        <f>Calcoli!A27</f>
        <v>46289.125</v>
      </c>
      <c r="B27" s="12">
        <f>Calcoli!B27</f>
        <v>46289.416666666664</v>
      </c>
      <c r="C27" s="12">
        <f>Calcoli!C27</f>
        <v>46289.354166666664</v>
      </c>
      <c r="D27" s="12">
        <f>Calcoli!D27</f>
        <v>46289.25</v>
      </c>
      <c r="E27" s="12">
        <f>Calcoli!E27</f>
        <v>46289.208333333336</v>
      </c>
      <c r="F27" s="12">
        <f>Calcoli!F27</f>
        <v>46289.166666666664</v>
      </c>
      <c r="G27" s="12">
        <f>Calcoli!G27</f>
        <v>46288.958333333336</v>
      </c>
      <c r="H27" s="12">
        <f>Calcoli!H27</f>
        <v>46288.833333333336</v>
      </c>
      <c r="I27" s="1"/>
      <c r="J27" s="1">
        <f>Calcoli!R27</f>
        <v>2</v>
      </c>
      <c r="K27" s="1">
        <f>Calcoli!S27</f>
        <v>1</v>
      </c>
      <c r="L27" s="1">
        <f>Calcoli!T27</f>
        <v>0</v>
      </c>
      <c r="M27" s="1">
        <f>Calcoli!U27</f>
        <v>0</v>
      </c>
      <c r="N27" s="1">
        <f>Calcoli!V27</f>
        <v>0</v>
      </c>
      <c r="O27" s="1">
        <f>Calcoli!W27</f>
        <v>0</v>
      </c>
      <c r="P27" s="1">
        <f>Calcoli!X27</f>
        <v>0</v>
      </c>
      <c r="Q27" s="1"/>
      <c r="R27" s="1">
        <f>Calcoli!Z27</f>
        <v>0</v>
      </c>
      <c r="S27" s="1">
        <f>Calcoli!AA27</f>
        <v>0</v>
      </c>
      <c r="T27" s="1">
        <f>Calcoli!AB27</f>
        <v>0</v>
      </c>
      <c r="U27" s="1">
        <f>Calcoli!AC27</f>
        <v>0</v>
      </c>
      <c r="V27" s="1">
        <f>Calcoli!AD27</f>
        <v>0</v>
      </c>
      <c r="W27" s="1">
        <f>Calcoli!AE27</f>
        <v>0</v>
      </c>
      <c r="X27" s="1">
        <f>Calcoli!AF27</f>
        <v>0</v>
      </c>
    </row>
    <row r="28" spans="1:24" ht="13.5" customHeight="1">
      <c r="A28" s="11">
        <f>Calcoli!A28</f>
        <v>46289.166666666664</v>
      </c>
      <c r="B28" s="12">
        <f>Calcoli!B28</f>
        <v>46289.458333333336</v>
      </c>
      <c r="C28" s="12">
        <f>Calcoli!C28</f>
        <v>46289.395833333336</v>
      </c>
      <c r="D28" s="12">
        <f>Calcoli!D28</f>
        <v>46289.291666666664</v>
      </c>
      <c r="E28" s="12">
        <f>Calcoli!E28</f>
        <v>46289.25</v>
      </c>
      <c r="F28" s="12">
        <f>Calcoli!F28</f>
        <v>46289.208333333336</v>
      </c>
      <c r="G28" s="12">
        <f>Calcoli!G28</f>
        <v>46289</v>
      </c>
      <c r="H28" s="12">
        <f>Calcoli!H28</f>
        <v>46288.875</v>
      </c>
      <c r="I28" s="1"/>
      <c r="J28" s="1">
        <f>Calcoli!R28</f>
        <v>2</v>
      </c>
      <c r="K28" s="1">
        <f>Calcoli!S28</f>
        <v>2</v>
      </c>
      <c r="L28" s="1">
        <f>Calcoli!T28</f>
        <v>1</v>
      </c>
      <c r="M28" s="1">
        <f>Calcoli!U28</f>
        <v>0</v>
      </c>
      <c r="N28" s="1">
        <f>Calcoli!V28</f>
        <v>0</v>
      </c>
      <c r="O28" s="1">
        <f>Calcoli!W28</f>
        <v>0</v>
      </c>
      <c r="P28" s="1">
        <f>Calcoli!X28</f>
        <v>0</v>
      </c>
      <c r="Q28" s="1"/>
      <c r="R28" s="1">
        <f>Calcoli!Z28</f>
        <v>0</v>
      </c>
      <c r="S28" s="1">
        <f>Calcoli!AA28</f>
        <v>0</v>
      </c>
      <c r="T28" s="1">
        <f>Calcoli!AB28</f>
        <v>0</v>
      </c>
      <c r="U28" s="1">
        <f>Calcoli!AC28</f>
        <v>0</v>
      </c>
      <c r="V28" s="1">
        <f>Calcoli!AD28</f>
        <v>0</v>
      </c>
      <c r="W28" s="1">
        <f>Calcoli!AE28</f>
        <v>0</v>
      </c>
      <c r="X28" s="1">
        <f>Calcoli!AF28</f>
        <v>0</v>
      </c>
    </row>
    <row r="29" spans="1:24" ht="13.5" customHeight="1">
      <c r="A29" s="11">
        <f>Calcoli!A29</f>
        <v>46289.208333333336</v>
      </c>
      <c r="B29" s="12">
        <f>Calcoli!B29</f>
        <v>46289.5</v>
      </c>
      <c r="C29" s="12">
        <f>Calcoli!C29</f>
        <v>46289.4375</v>
      </c>
      <c r="D29" s="12">
        <f>Calcoli!D29</f>
        <v>46289.333333333336</v>
      </c>
      <c r="E29" s="12">
        <f>Calcoli!E29</f>
        <v>46289.291666666664</v>
      </c>
      <c r="F29" s="12">
        <f>Calcoli!F29</f>
        <v>46289.25</v>
      </c>
      <c r="G29" s="12">
        <f>Calcoli!G29</f>
        <v>46289.041666666664</v>
      </c>
      <c r="H29" s="12">
        <f>Calcoli!H29</f>
        <v>46288.916666666664</v>
      </c>
      <c r="I29" s="1"/>
      <c r="J29" s="1">
        <f>Calcoli!R29</f>
        <v>2</v>
      </c>
      <c r="K29" s="1">
        <f>Calcoli!S29</f>
        <v>2</v>
      </c>
      <c r="L29" s="1">
        <f>Calcoli!T29</f>
        <v>1</v>
      </c>
      <c r="M29" s="1">
        <f>Calcoli!U29</f>
        <v>1</v>
      </c>
      <c r="N29" s="1">
        <f>Calcoli!V29</f>
        <v>0</v>
      </c>
      <c r="O29" s="1">
        <f>Calcoli!W29</f>
        <v>0</v>
      </c>
      <c r="P29" s="1">
        <f>Calcoli!X29</f>
        <v>0</v>
      </c>
      <c r="Q29" s="1"/>
      <c r="R29" s="1">
        <f>Calcoli!Z29</f>
        <v>0</v>
      </c>
      <c r="S29" s="1">
        <f>Calcoli!AA29</f>
        <v>0</v>
      </c>
      <c r="T29" s="1">
        <f>Calcoli!AB29</f>
        <v>0</v>
      </c>
      <c r="U29" s="1">
        <f>Calcoli!AC29</f>
        <v>0</v>
      </c>
      <c r="V29" s="1">
        <f>Calcoli!AD29</f>
        <v>0</v>
      </c>
      <c r="W29" s="1">
        <f>Calcoli!AE29</f>
        <v>0</v>
      </c>
      <c r="X29" s="1">
        <f>Calcoli!AF29</f>
        <v>0</v>
      </c>
    </row>
    <row r="30" spans="1:24" ht="13.5" customHeight="1">
      <c r="A30" s="11">
        <f>Calcoli!A30</f>
        <v>46289.25</v>
      </c>
      <c r="B30" s="12">
        <f>Calcoli!B30</f>
        <v>46289.541666666664</v>
      </c>
      <c r="C30" s="12">
        <f>Calcoli!C30</f>
        <v>46289.479166666664</v>
      </c>
      <c r="D30" s="12">
        <f>Calcoli!D30</f>
        <v>46289.375</v>
      </c>
      <c r="E30" s="12">
        <f>Calcoli!E30</f>
        <v>46289.333333333336</v>
      </c>
      <c r="F30" s="12">
        <f>Calcoli!F30</f>
        <v>46289.291666666664</v>
      </c>
      <c r="G30" s="12">
        <f>Calcoli!G30</f>
        <v>46289.083333333336</v>
      </c>
      <c r="H30" s="12">
        <f>Calcoli!H30</f>
        <v>46288.958333333336</v>
      </c>
      <c r="I30" s="1"/>
      <c r="J30" s="1">
        <f>Calcoli!R30</f>
        <v>2</v>
      </c>
      <c r="K30" s="1">
        <f>Calcoli!S30</f>
        <v>2</v>
      </c>
      <c r="L30" s="1">
        <f>Calcoli!T30</f>
        <v>2</v>
      </c>
      <c r="M30" s="1">
        <f>Calcoli!U30</f>
        <v>1</v>
      </c>
      <c r="N30" s="1">
        <f>Calcoli!V30</f>
        <v>1</v>
      </c>
      <c r="O30" s="1">
        <f>Calcoli!W30</f>
        <v>0</v>
      </c>
      <c r="P30" s="1">
        <f>Calcoli!X30</f>
        <v>0</v>
      </c>
      <c r="Q30" s="1"/>
      <c r="R30" s="1">
        <f>Calcoli!Z30</f>
        <v>0</v>
      </c>
      <c r="S30" s="1">
        <f>Calcoli!AA30</f>
        <v>0</v>
      </c>
      <c r="T30" s="1">
        <f>Calcoli!AB30</f>
        <v>0</v>
      </c>
      <c r="U30" s="1">
        <f>Calcoli!AC30</f>
        <v>0</v>
      </c>
      <c r="V30" s="1">
        <f>Calcoli!AD30</f>
        <v>0</v>
      </c>
      <c r="W30" s="1">
        <f>Calcoli!AE30</f>
        <v>0</v>
      </c>
      <c r="X30" s="1">
        <f>Calcoli!AF30</f>
        <v>0</v>
      </c>
    </row>
    <row r="31" spans="1:24" ht="13.5" customHeight="1">
      <c r="A31" s="11">
        <f>Calcoli!A31</f>
        <v>46289.291666666664</v>
      </c>
      <c r="B31" s="12">
        <f>Calcoli!B31</f>
        <v>46289.583333333336</v>
      </c>
      <c r="C31" s="12">
        <f>Calcoli!C31</f>
        <v>46289.520833333336</v>
      </c>
      <c r="D31" s="12">
        <f>Calcoli!D31</f>
        <v>46289.416666666664</v>
      </c>
      <c r="E31" s="12">
        <f>Calcoli!E31</f>
        <v>46289.375</v>
      </c>
      <c r="F31" s="12">
        <f>Calcoli!F31</f>
        <v>46289.333333333336</v>
      </c>
      <c r="G31" s="12">
        <f>Calcoli!G31</f>
        <v>46289.125</v>
      </c>
      <c r="H31" s="12">
        <f>Calcoli!H31</f>
        <v>46289</v>
      </c>
      <c r="I31" s="1"/>
      <c r="J31" s="1">
        <f>Calcoli!R31</f>
        <v>2</v>
      </c>
      <c r="K31" s="1">
        <f>Calcoli!S31</f>
        <v>2</v>
      </c>
      <c r="L31" s="1">
        <f>Calcoli!T31</f>
        <v>2</v>
      </c>
      <c r="M31" s="1">
        <f>Calcoli!U31</f>
        <v>2</v>
      </c>
      <c r="N31" s="1">
        <f>Calcoli!V31</f>
        <v>1</v>
      </c>
      <c r="O31" s="1">
        <f>Calcoli!W31</f>
        <v>0</v>
      </c>
      <c r="P31" s="1">
        <f>Calcoli!X31</f>
        <v>0</v>
      </c>
      <c r="Q31" s="1"/>
      <c r="R31" s="1">
        <f>Calcoli!Z31</f>
        <v>0</v>
      </c>
      <c r="S31" s="1">
        <f>Calcoli!AA31</f>
        <v>0</v>
      </c>
      <c r="T31" s="1">
        <f>Calcoli!AB31</f>
        <v>0</v>
      </c>
      <c r="U31" s="1">
        <f>Calcoli!AC31</f>
        <v>0</v>
      </c>
      <c r="V31" s="1">
        <f>Calcoli!AD31</f>
        <v>0</v>
      </c>
      <c r="W31" s="1">
        <f>Calcoli!AE31</f>
        <v>0</v>
      </c>
      <c r="X31" s="1">
        <f>Calcoli!AF31</f>
        <v>0</v>
      </c>
    </row>
    <row r="32" spans="1:24" ht="13.5" customHeight="1">
      <c r="A32" s="11">
        <f>Calcoli!A32</f>
        <v>46289.333333333336</v>
      </c>
      <c r="B32" s="12">
        <f>Calcoli!B32</f>
        <v>46289.625</v>
      </c>
      <c r="C32" s="12">
        <f>Calcoli!C32</f>
        <v>46289.5625</v>
      </c>
      <c r="D32" s="12">
        <f>Calcoli!D32</f>
        <v>46289.458333333336</v>
      </c>
      <c r="E32" s="12">
        <f>Calcoli!E32</f>
        <v>46289.416666666664</v>
      </c>
      <c r="F32" s="12">
        <f>Calcoli!F32</f>
        <v>46289.375</v>
      </c>
      <c r="G32" s="12">
        <f>Calcoli!G32</f>
        <v>46289.166666666664</v>
      </c>
      <c r="H32" s="12">
        <f>Calcoli!H32</f>
        <v>46289.041666666664</v>
      </c>
      <c r="I32" s="1"/>
      <c r="J32" s="1">
        <f>Calcoli!R32</f>
        <v>2</v>
      </c>
      <c r="K32" s="1">
        <f>Calcoli!S32</f>
        <v>2</v>
      </c>
      <c r="L32" s="1">
        <f>Calcoli!T32</f>
        <v>2</v>
      </c>
      <c r="M32" s="1">
        <f>Calcoli!U32</f>
        <v>2</v>
      </c>
      <c r="N32" s="1">
        <f>Calcoli!V32</f>
        <v>2</v>
      </c>
      <c r="O32" s="1">
        <f>Calcoli!W32</f>
        <v>0</v>
      </c>
      <c r="P32" s="1">
        <f>Calcoli!X32</f>
        <v>0</v>
      </c>
      <c r="Q32" s="1"/>
      <c r="R32" s="1">
        <f>Calcoli!Z32</f>
        <v>0</v>
      </c>
      <c r="S32" s="1">
        <f>Calcoli!AA32</f>
        <v>0</v>
      </c>
      <c r="T32" s="1">
        <f>Calcoli!AB32</f>
        <v>0</v>
      </c>
      <c r="U32" s="1">
        <f>Calcoli!AC32</f>
        <v>0</v>
      </c>
      <c r="V32" s="1">
        <f>Calcoli!AD32</f>
        <v>0</v>
      </c>
      <c r="W32" s="1">
        <f>Calcoli!AE32</f>
        <v>0</v>
      </c>
      <c r="X32" s="1">
        <f>Calcoli!AF32</f>
        <v>0</v>
      </c>
    </row>
    <row r="33" spans="1:24" ht="13.5" customHeight="1">
      <c r="A33" s="11">
        <f>Calcoli!A33</f>
        <v>46289.375</v>
      </c>
      <c r="B33" s="12">
        <f>Calcoli!B33</f>
        <v>46289.666666666664</v>
      </c>
      <c r="C33" s="12">
        <f>Calcoli!C33</f>
        <v>46289.604166666664</v>
      </c>
      <c r="D33" s="12">
        <f>Calcoli!D33</f>
        <v>46289.5</v>
      </c>
      <c r="E33" s="12">
        <f>Calcoli!E33</f>
        <v>46289.458333333336</v>
      </c>
      <c r="F33" s="12">
        <f>Calcoli!F33</f>
        <v>46289.416666666664</v>
      </c>
      <c r="G33" s="12">
        <f>Calcoli!G33</f>
        <v>46289.208333333336</v>
      </c>
      <c r="H33" s="12">
        <f>Calcoli!H33</f>
        <v>46289.083333333336</v>
      </c>
      <c r="I33" s="1"/>
      <c r="J33" s="1">
        <f>Calcoli!R33</f>
        <v>2</v>
      </c>
      <c r="K33" s="1">
        <f>Calcoli!S33</f>
        <v>2</v>
      </c>
      <c r="L33" s="1">
        <f>Calcoli!T33</f>
        <v>2</v>
      </c>
      <c r="M33" s="1">
        <f>Calcoli!U33</f>
        <v>2</v>
      </c>
      <c r="N33" s="1">
        <f>Calcoli!V33</f>
        <v>2</v>
      </c>
      <c r="O33" s="1">
        <f>Calcoli!W33</f>
        <v>0</v>
      </c>
      <c r="P33" s="1">
        <f>Calcoli!X33</f>
        <v>0</v>
      </c>
      <c r="Q33" s="1"/>
      <c r="R33" s="1">
        <f>Calcoli!Z33</f>
        <v>0</v>
      </c>
      <c r="S33" s="1">
        <f>Calcoli!AA33</f>
        <v>0</v>
      </c>
      <c r="T33" s="1">
        <f>Calcoli!AB33</f>
        <v>0</v>
      </c>
      <c r="U33" s="1">
        <f>Calcoli!AC33</f>
        <v>0</v>
      </c>
      <c r="V33" s="1">
        <f>Calcoli!AD33</f>
        <v>0</v>
      </c>
      <c r="W33" s="1">
        <f>Calcoli!AE33</f>
        <v>0</v>
      </c>
      <c r="X33" s="1">
        <f>Calcoli!AF33</f>
        <v>0</v>
      </c>
    </row>
    <row r="34" spans="1:24" ht="13.5" customHeight="1">
      <c r="A34" s="11">
        <f>Calcoli!A34</f>
        <v>46289.416666666664</v>
      </c>
      <c r="B34" s="12">
        <f>Calcoli!B34</f>
        <v>46289.708333333336</v>
      </c>
      <c r="C34" s="12">
        <f>Calcoli!C34</f>
        <v>46289.645833333336</v>
      </c>
      <c r="D34" s="12">
        <f>Calcoli!D34</f>
        <v>46289.541666666664</v>
      </c>
      <c r="E34" s="12">
        <f>Calcoli!E34</f>
        <v>46289.5</v>
      </c>
      <c r="F34" s="12">
        <f>Calcoli!F34</f>
        <v>46289.458333333336</v>
      </c>
      <c r="G34" s="12">
        <f>Calcoli!G34</f>
        <v>46289.25</v>
      </c>
      <c r="H34" s="12">
        <f>Calcoli!H34</f>
        <v>46289.125</v>
      </c>
      <c r="I34" s="1"/>
      <c r="J34" s="1">
        <f>Calcoli!R34</f>
        <v>2</v>
      </c>
      <c r="K34" s="1">
        <f>Calcoli!S34</f>
        <v>2</v>
      </c>
      <c r="L34" s="1">
        <f>Calcoli!T34</f>
        <v>2</v>
      </c>
      <c r="M34" s="1">
        <f>Calcoli!U34</f>
        <v>2</v>
      </c>
      <c r="N34" s="1">
        <f>Calcoli!V34</f>
        <v>2</v>
      </c>
      <c r="O34" s="1">
        <f>Calcoli!W34</f>
        <v>0</v>
      </c>
      <c r="P34" s="1">
        <f>Calcoli!X34</f>
        <v>0</v>
      </c>
      <c r="Q34" s="1"/>
      <c r="R34" s="1">
        <f>Calcoli!Z34</f>
        <v>0</v>
      </c>
      <c r="S34" s="1">
        <f>Calcoli!AA34</f>
        <v>0</v>
      </c>
      <c r="T34" s="1">
        <f>Calcoli!AB34</f>
        <v>0</v>
      </c>
      <c r="U34" s="1">
        <f>Calcoli!AC34</f>
        <v>0</v>
      </c>
      <c r="V34" s="1">
        <f>Calcoli!AD34</f>
        <v>0</v>
      </c>
      <c r="W34" s="1">
        <f>Calcoli!AE34</f>
        <v>0</v>
      </c>
      <c r="X34" s="1">
        <f>Calcoli!AF34</f>
        <v>0</v>
      </c>
    </row>
    <row r="35" spans="1:24" ht="13.5" customHeight="1">
      <c r="A35" s="11">
        <f>Calcoli!A35</f>
        <v>46289.458333333336</v>
      </c>
      <c r="B35" s="12">
        <f>Calcoli!B35</f>
        <v>46289.75</v>
      </c>
      <c r="C35" s="12">
        <f>Calcoli!C35</f>
        <v>46289.6875</v>
      </c>
      <c r="D35" s="12">
        <f>Calcoli!D35</f>
        <v>46289.583333333336</v>
      </c>
      <c r="E35" s="12">
        <f>Calcoli!E35</f>
        <v>46289.541666666664</v>
      </c>
      <c r="F35" s="12">
        <f>Calcoli!F35</f>
        <v>46289.5</v>
      </c>
      <c r="G35" s="12">
        <f>Calcoli!G35</f>
        <v>46289.291666666664</v>
      </c>
      <c r="H35" s="12">
        <f>Calcoli!H35</f>
        <v>46289.166666666664</v>
      </c>
      <c r="I35" s="1"/>
      <c r="J35" s="1">
        <f>Calcoli!R35</f>
        <v>2</v>
      </c>
      <c r="K35" s="1">
        <f>Calcoli!S35</f>
        <v>2</v>
      </c>
      <c r="L35" s="1">
        <f>Calcoli!T35</f>
        <v>2</v>
      </c>
      <c r="M35" s="1">
        <f>Calcoli!U35</f>
        <v>2</v>
      </c>
      <c r="N35" s="1">
        <f>Calcoli!V35</f>
        <v>2</v>
      </c>
      <c r="O35" s="1">
        <f>Calcoli!W35</f>
        <v>1</v>
      </c>
      <c r="P35" s="1">
        <f>Calcoli!X35</f>
        <v>0</v>
      </c>
      <c r="Q35" s="1"/>
      <c r="R35" s="1">
        <f>Calcoli!Z35</f>
        <v>0</v>
      </c>
      <c r="S35" s="1">
        <f>Calcoli!AA35</f>
        <v>0</v>
      </c>
      <c r="T35" s="1">
        <f>Calcoli!AB35</f>
        <v>0</v>
      </c>
      <c r="U35" s="1">
        <f>Calcoli!AC35</f>
        <v>0</v>
      </c>
      <c r="V35" s="1">
        <f>Calcoli!AD35</f>
        <v>0</v>
      </c>
      <c r="W35" s="1">
        <f>Calcoli!AE35</f>
        <v>0</v>
      </c>
      <c r="X35" s="1">
        <f>Calcoli!AF35</f>
        <v>0</v>
      </c>
    </row>
    <row r="36" spans="1:24" ht="13.5" customHeight="1">
      <c r="A36" s="11">
        <f>Calcoli!A36</f>
        <v>46289.5</v>
      </c>
      <c r="B36" s="12">
        <f>Calcoli!B36</f>
        <v>46289.791666666664</v>
      </c>
      <c r="C36" s="12">
        <f>Calcoli!C36</f>
        <v>46289.729166666664</v>
      </c>
      <c r="D36" s="12">
        <f>Calcoli!D36</f>
        <v>46289.625</v>
      </c>
      <c r="E36" s="12">
        <f>Calcoli!E36</f>
        <v>46289.583333333336</v>
      </c>
      <c r="F36" s="12">
        <f>Calcoli!F36</f>
        <v>46289.541666666664</v>
      </c>
      <c r="G36" s="12">
        <f>Calcoli!G36</f>
        <v>46289.333333333336</v>
      </c>
      <c r="H36" s="12">
        <f>Calcoli!H36</f>
        <v>46289.208333333336</v>
      </c>
      <c r="I36" s="1"/>
      <c r="J36" s="1">
        <f>Calcoli!R36</f>
        <v>2</v>
      </c>
      <c r="K36" s="1">
        <f>Calcoli!S36</f>
        <v>2</v>
      </c>
      <c r="L36" s="1">
        <f>Calcoli!T36</f>
        <v>2</v>
      </c>
      <c r="M36" s="1">
        <f>Calcoli!U36</f>
        <v>2</v>
      </c>
      <c r="N36" s="1">
        <f>Calcoli!V36</f>
        <v>2</v>
      </c>
      <c r="O36" s="1">
        <f>Calcoli!W36</f>
        <v>1</v>
      </c>
      <c r="P36" s="1">
        <f>Calcoli!X36</f>
        <v>0</v>
      </c>
      <c r="Q36" s="1"/>
      <c r="R36" s="1">
        <f>Calcoli!Z36</f>
        <v>0</v>
      </c>
      <c r="S36" s="1">
        <f>Calcoli!AA36</f>
        <v>0</v>
      </c>
      <c r="T36" s="1">
        <f>Calcoli!AB36</f>
        <v>0</v>
      </c>
      <c r="U36" s="1">
        <f>Calcoli!AC36</f>
        <v>0</v>
      </c>
      <c r="V36" s="1">
        <f>Calcoli!AD36</f>
        <v>0</v>
      </c>
      <c r="W36" s="1">
        <f>Calcoli!AE36</f>
        <v>0</v>
      </c>
      <c r="X36" s="1">
        <f>Calcoli!AF36</f>
        <v>0</v>
      </c>
    </row>
    <row r="37" spans="1:24" ht="13.5" customHeight="1">
      <c r="A37" s="11">
        <f>Calcoli!A37</f>
        <v>46289.541666666664</v>
      </c>
      <c r="B37" s="12">
        <f>Calcoli!B37</f>
        <v>46289.833333333336</v>
      </c>
      <c r="C37" s="12">
        <f>Calcoli!C37</f>
        <v>46289.770833333336</v>
      </c>
      <c r="D37" s="12">
        <f>Calcoli!D37</f>
        <v>46289.666666666664</v>
      </c>
      <c r="E37" s="12">
        <f>Calcoli!E37</f>
        <v>46289.625</v>
      </c>
      <c r="F37" s="12">
        <f>Calcoli!F37</f>
        <v>46289.583333333336</v>
      </c>
      <c r="G37" s="12">
        <f>Calcoli!G37</f>
        <v>46289.375</v>
      </c>
      <c r="H37" s="12">
        <f>Calcoli!H37</f>
        <v>46289.25</v>
      </c>
      <c r="I37" s="1"/>
      <c r="J37" s="1">
        <f>Calcoli!R37</f>
        <v>2</v>
      </c>
      <c r="K37" s="1">
        <f>Calcoli!S37</f>
        <v>1</v>
      </c>
      <c r="L37" s="1">
        <f>Calcoli!T37</f>
        <v>2</v>
      </c>
      <c r="M37" s="1">
        <f>Calcoli!U37</f>
        <v>2</v>
      </c>
      <c r="N37" s="1">
        <f>Calcoli!V37</f>
        <v>2</v>
      </c>
      <c r="O37" s="1">
        <f>Calcoli!W37</f>
        <v>2</v>
      </c>
      <c r="P37" s="1">
        <f>Calcoli!X37</f>
        <v>0</v>
      </c>
      <c r="Q37" s="1"/>
      <c r="R37" s="1">
        <f>Calcoli!Z37</f>
        <v>0</v>
      </c>
      <c r="S37" s="1">
        <f>Calcoli!AA37</f>
        <v>0</v>
      </c>
      <c r="T37" s="1">
        <f>Calcoli!AB37</f>
        <v>0</v>
      </c>
      <c r="U37" s="1">
        <f>Calcoli!AC37</f>
        <v>0</v>
      </c>
      <c r="V37" s="1">
        <f>Calcoli!AD37</f>
        <v>0</v>
      </c>
      <c r="W37" s="1">
        <f>Calcoli!AE37</f>
        <v>0</v>
      </c>
      <c r="X37" s="1">
        <f>Calcoli!AF37</f>
        <v>0</v>
      </c>
    </row>
    <row r="38" spans="1:24" ht="13.5" customHeight="1">
      <c r="A38" s="11">
        <f>Calcoli!A38</f>
        <v>46289.583333333336</v>
      </c>
      <c r="B38" s="12">
        <f>Calcoli!B38</f>
        <v>46289.875</v>
      </c>
      <c r="C38" s="12">
        <f>Calcoli!C38</f>
        <v>46289.8125</v>
      </c>
      <c r="D38" s="12">
        <f>Calcoli!D38</f>
        <v>46289.708333333336</v>
      </c>
      <c r="E38" s="12">
        <f>Calcoli!E38</f>
        <v>46289.666666666664</v>
      </c>
      <c r="F38" s="12">
        <f>Calcoli!F38</f>
        <v>46289.625</v>
      </c>
      <c r="G38" s="12">
        <f>Calcoli!G38</f>
        <v>46289.416666666664</v>
      </c>
      <c r="H38" s="12">
        <f>Calcoli!H38</f>
        <v>46289.291666666664</v>
      </c>
      <c r="I38" s="1"/>
      <c r="J38" s="1">
        <f>Calcoli!R38</f>
        <v>2</v>
      </c>
      <c r="K38" s="1">
        <f>Calcoli!S38</f>
        <v>1</v>
      </c>
      <c r="L38" s="1">
        <f>Calcoli!T38</f>
        <v>2</v>
      </c>
      <c r="M38" s="1">
        <f>Calcoli!U38</f>
        <v>2</v>
      </c>
      <c r="N38" s="1">
        <f>Calcoli!V38</f>
        <v>2</v>
      </c>
      <c r="O38" s="1">
        <f>Calcoli!W38</f>
        <v>2</v>
      </c>
      <c r="P38" s="1">
        <f>Calcoli!X38</f>
        <v>1</v>
      </c>
      <c r="Q38" s="1"/>
      <c r="R38" s="1">
        <f>Calcoli!Z38</f>
        <v>0</v>
      </c>
      <c r="S38" s="1">
        <f>Calcoli!AA38</f>
        <v>0</v>
      </c>
      <c r="T38" s="1">
        <f>Calcoli!AB38</f>
        <v>0</v>
      </c>
      <c r="U38" s="1">
        <f>Calcoli!AC38</f>
        <v>0</v>
      </c>
      <c r="V38" s="1">
        <f>Calcoli!AD38</f>
        <v>0</v>
      </c>
      <c r="W38" s="1">
        <f>Calcoli!AE38</f>
        <v>0</v>
      </c>
      <c r="X38" s="1">
        <f>Calcoli!AF38</f>
        <v>0</v>
      </c>
    </row>
    <row r="39" spans="1:24" ht="13.5" customHeight="1">
      <c r="A39" s="11">
        <f>Calcoli!A39</f>
        <v>46289.625</v>
      </c>
      <c r="B39" s="12">
        <f>Calcoli!B39</f>
        <v>46289.916666666664</v>
      </c>
      <c r="C39" s="12">
        <f>Calcoli!C39</f>
        <v>46289.854166666664</v>
      </c>
      <c r="D39" s="12">
        <f>Calcoli!D39</f>
        <v>46289.75</v>
      </c>
      <c r="E39" s="12">
        <f>Calcoli!E39</f>
        <v>46289.708333333336</v>
      </c>
      <c r="F39" s="12">
        <f>Calcoli!F39</f>
        <v>46289.666666666664</v>
      </c>
      <c r="G39" s="12">
        <f>Calcoli!G39</f>
        <v>46289.458333333336</v>
      </c>
      <c r="H39" s="12">
        <f>Calcoli!H39</f>
        <v>46289.333333333336</v>
      </c>
      <c r="I39" s="1"/>
      <c r="J39" s="1">
        <f>Calcoli!R39</f>
        <v>2</v>
      </c>
      <c r="K39" s="1">
        <f>Calcoli!S39</f>
        <v>0</v>
      </c>
      <c r="L39" s="1">
        <f>Calcoli!T39</f>
        <v>1</v>
      </c>
      <c r="M39" s="1">
        <f>Calcoli!U39</f>
        <v>2</v>
      </c>
      <c r="N39" s="1">
        <f>Calcoli!V39</f>
        <v>2</v>
      </c>
      <c r="O39" s="1">
        <f>Calcoli!W39</f>
        <v>2</v>
      </c>
      <c r="P39" s="1">
        <f>Calcoli!X39</f>
        <v>1</v>
      </c>
      <c r="Q39" s="1"/>
      <c r="R39" s="1">
        <f>Calcoli!Z39</f>
        <v>0</v>
      </c>
      <c r="S39" s="1">
        <f>Calcoli!AA39</f>
        <v>0</v>
      </c>
      <c r="T39" s="1">
        <f>Calcoli!AB39</f>
        <v>0</v>
      </c>
      <c r="U39" s="1">
        <f>Calcoli!AC39</f>
        <v>0</v>
      </c>
      <c r="V39" s="1">
        <f>Calcoli!AD39</f>
        <v>0</v>
      </c>
      <c r="W39" s="1">
        <f>Calcoli!AE39</f>
        <v>0</v>
      </c>
      <c r="X39" s="1">
        <f>Calcoli!AF39</f>
        <v>0</v>
      </c>
    </row>
    <row r="40" spans="1:24" ht="13.5" customHeight="1">
      <c r="A40" s="11">
        <f>Calcoli!A40</f>
        <v>46289.666666666664</v>
      </c>
      <c r="B40" s="12">
        <f>Calcoli!B40</f>
        <v>46289.958333333336</v>
      </c>
      <c r="C40" s="12">
        <f>Calcoli!C40</f>
        <v>46289.895833333336</v>
      </c>
      <c r="D40" s="12">
        <f>Calcoli!D40</f>
        <v>46289.791666666664</v>
      </c>
      <c r="E40" s="12">
        <f>Calcoli!E40</f>
        <v>46289.75</v>
      </c>
      <c r="F40" s="12">
        <f>Calcoli!F40</f>
        <v>46289.708333333336</v>
      </c>
      <c r="G40" s="12">
        <f>Calcoli!G40</f>
        <v>46289.5</v>
      </c>
      <c r="H40" s="12">
        <f>Calcoli!H40</f>
        <v>46289.375</v>
      </c>
      <c r="I40" s="1"/>
      <c r="J40" s="1">
        <f>Calcoli!R40</f>
        <v>1</v>
      </c>
      <c r="K40" s="1">
        <f>Calcoli!S40</f>
        <v>0</v>
      </c>
      <c r="L40" s="1">
        <f>Calcoli!T40</f>
        <v>1</v>
      </c>
      <c r="M40" s="1">
        <f>Calcoli!U40</f>
        <v>1</v>
      </c>
      <c r="N40" s="1">
        <f>Calcoli!V40</f>
        <v>2</v>
      </c>
      <c r="O40" s="1">
        <f>Calcoli!W40</f>
        <v>2</v>
      </c>
      <c r="P40" s="1">
        <f>Calcoli!X40</f>
        <v>2</v>
      </c>
      <c r="Q40" s="1"/>
      <c r="R40" s="1">
        <f>Calcoli!Z40</f>
        <v>0</v>
      </c>
      <c r="S40" s="1">
        <f>Calcoli!AA40</f>
        <v>0</v>
      </c>
      <c r="T40" s="1">
        <f>Calcoli!AB40</f>
        <v>0</v>
      </c>
      <c r="U40" s="1">
        <f>Calcoli!AC40</f>
        <v>0</v>
      </c>
      <c r="V40" s="1">
        <f>Calcoli!AD40</f>
        <v>0</v>
      </c>
      <c r="W40" s="1">
        <f>Calcoli!AE40</f>
        <v>0</v>
      </c>
      <c r="X40" s="1">
        <f>Calcoli!AF40</f>
        <v>0</v>
      </c>
    </row>
    <row r="41" spans="1:24" ht="28.05" customHeight="1">
      <c r="A41" s="37" t="s">
        <v>1459</v>
      </c>
      <c r="B41" s="37" t="str">
        <f>IF(COUNTIF(Weather[Code],B9)=0,"Not loaded",IF(INDEX(Weather[TemperatureC],MATCH(B9,Weather[Code],0))="","Non disponibile",IF(OR(LEFT(INDEX(Weather[Status],MATCH(B9,Weather[Code],0)),5)="stale",ISNUMBER(SEARCH("aged",INDEX(Weather[Status],MATCH(B9,Weather[Code],0))))),"! ","")&amp;Calcoli!B96&amp;" "&amp;ROUND(INDEX(Weather[TemperatureC],MATCH(B9,Weather[Code],0)),0)&amp;" °C "&amp;LEFT(INDEX(Weather[Description],MATCH(B9,Weather[Code],0)),15)&amp;CHAR(10)&amp;TEXT(DAY(INDEX(Weather[ObservedUtc],MATCH(B9,Weather[Code],0))),"00")&amp;"/"&amp;TEXT(MONTH(INDEX(Weather[ObservedUtc],MATCH(B9,Weather[Code],0))),"00")&amp;" "&amp;TEXT(HOUR(INDEX(Weather[ObservedUtc],MATCH(B9,Weather[Code],0))),"00")&amp;":"&amp;TEXT(MINUTE(INDEX(Weather[ObservedUtc],MATCH(B9,Weather[Code],0))),"00")&amp;" UTC"))</f>
        <v xml:space="preserve"> 26 °C few clouds
23/09 20:56 UTC</v>
      </c>
      <c r="C41" s="37" t="str">
        <f>IF(COUNTIF(Weather[Code],C9)=0,"Not loaded",IF(INDEX(Weather[TemperatureC],MATCH(C9,Weather[Code],0))="","Non disponibile",IF(OR(LEFT(INDEX(Weather[Status],MATCH(C9,Weather[Code],0)),5)="stale",ISNUMBER(SEARCH("aged",INDEX(Weather[Status],MATCH(C9,Weather[Code],0))))),"! ","")&amp;Calcoli!C96&amp;" "&amp;ROUND(INDEX(Weather[TemperatureC],MATCH(C9,Weather[Code],0)),0)&amp;" °C "&amp;LEFT(INDEX(Weather[Description],MATCH(C9,Weather[Code],0)),15)&amp;CHAR(10)&amp;TEXT(DAY(INDEX(Weather[ObservedUtc],MATCH(C9,Weather[Code],0))),"00")&amp;"/"&amp;TEXT(MONTH(INDEX(Weather[ObservedUtc],MATCH(C9,Weather[Code],0))),"00")&amp;" "&amp;TEXT(HOUR(INDEX(Weather[ObservedUtc],MATCH(C9,Weather[Code],0))),"00")&amp;":"&amp;TEXT(MINUTE(INDEX(Weather[ObservedUtc],MATCH(C9,Weather[Code],0))),"00")&amp;" UTC"))</f>
        <v>🌧️ 29 °C light rain
23/09 20:56 UTC</v>
      </c>
      <c r="D41" s="37" t="str">
        <f>IF(COUNTIF(Weather[Code],D9)=0,"Not loaded",IF(INDEX(Weather[TemperatureC],MATCH(D9,Weather[Code],0))="","Non disponibile",IF(OR(LEFT(INDEX(Weather[Status],MATCH(D9,Weather[Code],0)),5)="stale",ISNUMBER(SEARCH("aged",INDEX(Weather[Status],MATCH(D9,Weather[Code],0))))),"! ","")&amp;Calcoli!D96&amp;" "&amp;ROUND(INDEX(Weather[TemperatureC],MATCH(D9,Weather[Code],0)),0)&amp;" °C "&amp;LEFT(INDEX(Weather[Description],MATCH(D9,Weather[Code],0)),15)&amp;CHAR(10)&amp;TEXT(DAY(INDEX(Weather[ObservedUtc],MATCH(D9,Weather[Code],0))),"00")&amp;"/"&amp;TEXT(MONTH(INDEX(Weather[ObservedUtc],MATCH(D9,Weather[Code],0))),"00")&amp;" "&amp;TEXT(HOUR(INDEX(Weather[ObservedUtc],MATCH(D9,Weather[Code],0))),"00")&amp;":"&amp;TEXT(MINUTE(INDEX(Weather[ObservedUtc],MATCH(D9,Weather[Code],0))),"00")&amp;" UTC"))</f>
        <v>⛅ 9 °C scattered clouds
23/09 20:56 UTC</v>
      </c>
      <c r="E41" s="37" t="str">
        <f>IF(COUNTIF(Weather[Code],E9)=0,"Not loaded",IF(INDEX(Weather[TemperatureC],MATCH(E9,Weather[Code],0))="","Non disponibile",IF(OR(LEFT(INDEX(Weather[Status],MATCH(E9,Weather[Code],0)),5)="stale",ISNUMBER(SEARCH("aged",INDEX(Weather[Status],MATCH(E9,Weather[Code],0))))),"! ","")&amp;Calcoli!E96&amp;" "&amp;ROUND(INDEX(Weather[TemperatureC],MATCH(E9,Weather[Code],0)),0)&amp;" °C "&amp;LEFT(INDEX(Weather[Description],MATCH(E9,Weather[Code],0)),15)&amp;CHAR(10)&amp;TEXT(DAY(INDEX(Weather[ObservedUtc],MATCH(E9,Weather[Code],0))),"00")&amp;"/"&amp;TEXT(MONTH(INDEX(Weather[ObservedUtc],MATCH(E9,Weather[Code],0))),"00")&amp;" "&amp;TEXT(HOUR(INDEX(Weather[ObservedUtc],MATCH(E9,Weather[Code],0))),"00")&amp;":"&amp;TEXT(MINUTE(INDEX(Weather[ObservedUtc],MATCH(E9,Weather[Code],0))),"00")&amp;" UTC"))</f>
        <v>☀️ 21 °C clear sky
23/09 20:56 UTC</v>
      </c>
      <c r="F41" s="37" t="str">
        <f>IF(COUNTIF(Weather[Code],F9)=0,"Not loaded",IF(INDEX(Weather[TemperatureC],MATCH(F9,Weather[Code],0))="","Non disponibile",IF(OR(LEFT(INDEX(Weather[Status],MATCH(F9,Weather[Code],0)),5)="stale",ISNUMBER(SEARCH("aged",INDEX(Weather[Status],MATCH(F9,Weather[Code],0))))),"! ","")&amp;Calcoli!F96&amp;" "&amp;ROUND(INDEX(Weather[TemperatureC],MATCH(F9,Weather[Code],0)),0)&amp;" °C "&amp;LEFT(INDEX(Weather[Description],MATCH(F9,Weather[Code],0)),15)&amp;CHAR(10)&amp;TEXT(DAY(INDEX(Weather[ObservedUtc],MATCH(F9,Weather[Code],0))),"00")&amp;"/"&amp;TEXT(MONTH(INDEX(Weather[ObservedUtc],MATCH(F9,Weather[Code],0))),"00")&amp;" "&amp;TEXT(HOUR(INDEX(Weather[ObservedUtc],MATCH(F9,Weather[Code],0))),"00")&amp;":"&amp;TEXT(MINUTE(INDEX(Weather[ObservedUtc],MATCH(F9,Weather[Code],0))),"00")&amp;" UTC"))</f>
        <v>⛅ 16 °C scattered clouds
23/09 20:55 UTC</v>
      </c>
      <c r="G41" s="37" t="str">
        <f>IF(COUNTIF(Weather[Code],G9)=0,"Not loaded",IF(INDEX(Weather[TemperatureC],MATCH(G9,Weather[Code],0))="","Non disponibile",IF(OR(LEFT(INDEX(Weather[Status],MATCH(G9,Weather[Code],0)),5)="stale",ISNUMBER(SEARCH("aged",INDEX(Weather[Status],MATCH(G9,Weather[Code],0))))),"! ","")&amp;Calcoli!G96&amp;" "&amp;ROUND(INDEX(Weather[TemperatureC],MATCH(G9,Weather[Code],0)),0)&amp;" °C "&amp;LEFT(INDEX(Weather[Description],MATCH(G9,Weather[Code],0)),15)&amp;CHAR(10)&amp;TEXT(DAY(INDEX(Weather[ObservedUtc],MATCH(G9,Weather[Code],0))),"00")&amp;"/"&amp;TEXT(MONTH(INDEX(Weather[ObservedUtc],MATCH(G9,Weather[Code],0))),"00")&amp;" "&amp;TEXT(HOUR(INDEX(Weather[ObservedUtc],MATCH(G9,Weather[Code],0))),"00")&amp;":"&amp;TEXT(MINUTE(INDEX(Weather[ObservedUtc],MATCH(G9,Weather[Code],0))),"00")&amp;" UTC"))</f>
        <v>🌡️ 20 °C overcast
23/09 20:55 UTC</v>
      </c>
      <c r="H41" s="37" t="str">
        <f>IF(COUNTIF(Weather[Code],H9)=0,"Not loaded",IF(INDEX(Weather[TemperatureC],MATCH(H9,Weather[Code],0))="","Non disponibile",IF(OR(LEFT(INDEX(Weather[Status],MATCH(H9,Weather[Code],0)),5)="stale",ISNUMBER(SEARCH("aged",INDEX(Weather[Status],MATCH(H9,Weather[Code],0))))),"! ","")&amp;Calcoli!H96&amp;" "&amp;ROUND(INDEX(Weather[TemperatureC],MATCH(H9,Weather[Code],0)),0)&amp;" °C "&amp;LEFT(INDEX(Weather[Description],MATCH(H9,Weather[Code],0)),15)&amp;CHAR(10)&amp;TEXT(DAY(INDEX(Weather[ObservedUtc],MATCH(H9,Weather[Code],0))),"00")&amp;"/"&amp;TEXT(MONTH(INDEX(Weather[ObservedUtc],MATCH(H9,Weather[Code],0))),"00")&amp;" "&amp;TEXT(HOUR(INDEX(Weather[ObservedUtc],MATCH(H9,Weather[Code],0))),"00")&amp;":"&amp;TEXT(MINUTE(INDEX(Weather[ObservedUtc],MATCH(H9,Weather[Code],0))),"00")&amp;" UTC"))</f>
        <v>☀️ 29 °C clear sky
23/09 20:52 UTC</v>
      </c>
      <c r="I41" s="1"/>
      <c r="J41" s="1"/>
      <c r="K41" s="1"/>
      <c r="L41" s="1"/>
      <c r="M41" s="1"/>
      <c r="N41" s="1"/>
      <c r="O41" s="1"/>
      <c r="P41" s="1"/>
      <c r="Q41" s="1"/>
      <c r="R41" s="1"/>
      <c r="S41" s="1"/>
      <c r="T41" s="1"/>
      <c r="U41" s="1"/>
      <c r="V41" s="1"/>
      <c r="W41" s="1"/>
      <c r="X41" s="1"/>
    </row>
    <row r="42" spans="1:24" ht="16.05" customHeight="1">
      <c r="A42" s="51" t="s">
        <v>1460</v>
      </c>
      <c r="B42" s="51"/>
      <c r="C42" s="51"/>
      <c r="D42" s="51"/>
      <c r="E42" s="51"/>
      <c r="F42" s="51"/>
      <c r="G42" s="51"/>
      <c r="H42" s="51"/>
      <c r="I42" s="1"/>
      <c r="J42" s="1"/>
      <c r="K42" s="1"/>
      <c r="L42" s="1"/>
      <c r="M42" s="1"/>
      <c r="N42" s="1"/>
      <c r="O42" s="1"/>
      <c r="P42" s="1"/>
      <c r="Q42" s="1"/>
      <c r="R42" s="1"/>
      <c r="S42" s="1"/>
      <c r="T42" s="1"/>
      <c r="U42" s="1"/>
      <c r="V42" s="1"/>
      <c r="W42" s="1"/>
      <c r="X42" s="1"/>
    </row>
  </sheetData>
  <WedgeCells count="11">
    <WedgeCell ref="A42:H42"/>
    <WedgeCell ref="A1:H1"/>
    <WedgeCell ref="A2:H2"/>
    <WedgeCell ref="A3:H3"/>
    <WedgeCell ref="A15:H15"/>
    <WedgeCell ref="F5:H5"/>
    <WedgeCell ref="A6:B6"/>
    <WedgeCell ref="C6:D6"/>
    <WedgeCell ref="E6:F6"/>
    <WedgeCell ref="G6:H6"/>
    <WedgeCell ref="A7:H7"/>
  </WedgeCells>
  <conditionalFormatting sqref="B17:H40">
    <cfRule type="expression" dxfId="7" priority="1">
      <formula>J17=2</formula>
    </cfRule>
    <cfRule type="expression" dxfId="6" priority="2">
      <formula>J17=1</formula>
    </cfRule>
    <cfRule type="expression" dxfId="5" priority="3">
      <formula>J17=-1</formula>
    </cfRule>
    <cfRule type="expression" dxfId="4" priority="4">
      <formula>R17&gt;=1</formula>
    </cfRule>
  </conditionalFormatting>
  <printOptions horizontalCentered="1"/>
  <pagemargins left="0.18" right="0.18" top="0.18" bottom="0.22" header="0.05" footer="0.08"/>
  <pageSetup paperSize="9" scale="85" orientation="landscape" r:id="rId1"/>
  <headerFooter>
    <oddFooter>&amp;R&amp;"Arial"&amp;8&amp;P / &amp;N&amp;L&amp;"Arial"&amp;8WorkTrail · Planner indipendente</oddFooter>
  </headerFooter>
</worksheet>
</file>

<file path=xl/worksheets/sheet5.xml><?xml version="1.0" encoding="utf-8"?>
<worksheet xmlns="http://schemas.openxmlformats.org/spreadsheetml/2006/main" xmlns:r="http://schemas.openxmlformats.org/officeDocument/2006/relationships" xmlns:mc="http://schemas.openxmlformats.org/Tue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86567"/>
    <pageSetUpPr fitToPage="1"/>
  </sheetPr>
  <dimension ref="A1:X66"/>
  <sheetViews>
    <sheetView showGridLines="0" zoomScale="90" zoomScaleNormal="90" workbookViewId="0">
      <pane ySplit="16" topLeftCell="A69" activePane="bottomLeft" state="frozen"/>
      <selection pane="bottomLeft" sqref="A1:H1"/>
    </sheetView>
  </sheetViews>
  <sheetFormatPr defaultRowHeight="13.5"/>
  <cols>
    <col min="1" max="1" width="20" customWidth="1"/>
    <col min="2" max="8" width="18.5" customWidth="1"/>
    <col min="10" max="24" width="0" hidden="1" customWidth="1"/>
  </cols>
  <sheetData>
    <row r="1" spans="1:24" ht="23" customHeight="1">
      <c r="A1" s="52" t="s">
        <v>69</v>
      </c>
      <c r="B1" s="53"/>
      <c r="C1" s="53"/>
      <c r="D1" s="53"/>
      <c r="E1" s="53"/>
      <c r="F1" s="53"/>
      <c r="G1" s="53"/>
      <c r="H1" s="53"/>
      <c r="I1" s="1"/>
      <c r="J1" s="1"/>
      <c r="K1" s="1"/>
      <c r="L1" s="1"/>
      <c r="M1" s="1"/>
      <c r="N1" s="1"/>
      <c r="O1" s="1"/>
      <c r="P1" s="1"/>
      <c r="Q1" s="1"/>
      <c r="R1" s="1"/>
      <c r="S1" s="1"/>
      <c r="T1" s="1"/>
      <c r="U1" s="1"/>
      <c r="V1" s="1"/>
      <c r="W1" s="1"/>
      <c r="X1" s="1"/>
    </row>
    <row r="2" spans="1:24" ht="16.05" customHeight="1">
      <c r="A2" s="54" t="str">
        <f>"Day in "&amp;Planner!B8&amp;"  |  "&amp;RIGHT("0"&amp;DAY(Planner!B4),2)&amp;"/"&amp;RIGHT("0"&amp;MONTH(Planner!B4),2)&amp;"/"&amp;YEAR(Planner!B4)&amp;"  |  "&amp;Planner!H4&amp;" ore, intervalli di "&amp;Planner!F4&amp;" minuti"</f>
        <v>Day in  Hanoi  |  24/09/2026  |  24 hours, 30-minute intervals</v>
      </c>
      <c r="B2" s="54"/>
      <c r="C2" s="54"/>
      <c r="D2" s="54"/>
      <c r="E2" s="54"/>
      <c r="F2" s="54"/>
      <c r="G2" s="54"/>
      <c r="H2" s="54"/>
      <c r="I2" s="1"/>
      <c r="J2" s="1"/>
      <c r="K2" s="1"/>
      <c r="L2" s="1"/>
      <c r="M2" s="1"/>
      <c r="N2" s="1"/>
      <c r="O2" s="1"/>
      <c r="P2" s="1"/>
      <c r="Q2" s="1"/>
      <c r="R2" s="1"/>
      <c r="S2" s="1"/>
      <c r="T2" s="1"/>
      <c r="U2" s="1"/>
      <c r="V2" s="1"/>
      <c r="W2" s="1"/>
      <c r="X2" s="1"/>
    </row>
    <row r="3" spans="1:24" ht="17" customHeight="1">
      <c r="A3" s="55" t="str">
        <f>Info!B3</f>
        <v>Moon at view start: 🌔 Waxing gibbous | next: 🌕 Full moon 26/09 16:49 UTC</v>
      </c>
      <c r="B3" s="55"/>
      <c r="C3" s="55"/>
      <c r="D3" s="55"/>
      <c r="E3" s="55"/>
      <c r="F3" s="55"/>
      <c r="G3" s="55"/>
      <c r="H3" s="55"/>
      <c r="I3" s="1"/>
      <c r="J3" s="1"/>
      <c r="K3" s="1"/>
      <c r="L3" s="1"/>
      <c r="M3" s="1"/>
      <c r="N3" s="1"/>
      <c r="O3" s="1"/>
      <c r="P3" s="1"/>
      <c r="Q3" s="1"/>
      <c r="R3" s="1"/>
      <c r="S3" s="1"/>
      <c r="T3" s="1"/>
      <c r="U3" s="1"/>
      <c r="V3" s="1"/>
      <c r="W3" s="1"/>
      <c r="X3" s="1"/>
    </row>
    <row r="4" spans="1:24" ht="20" customHeight="1">
      <c r="A4" s="2" t="s">
        <v>52</v>
      </c>
      <c r="B4" s="16">
        <f>Parametri!C5</f>
        <v>46289</v>
      </c>
      <c r="C4" s="2" t="s">
        <v>16</v>
      </c>
      <c r="D4" s="17">
        <f>Parametri!C6</f>
        <v>0</v>
      </c>
      <c r="E4" s="2" t="s">
        <v>53</v>
      </c>
      <c r="F4" s="18">
        <f>Parametri!C7</f>
        <v>30</v>
      </c>
      <c r="G4" s="2" t="s">
        <v>54</v>
      </c>
      <c r="H4" s="2">
        <f>48*F4/60</f>
        <v>24</v>
      </c>
      <c r="I4" s="1"/>
      <c r="J4" s="1"/>
      <c r="K4" s="1"/>
      <c r="L4" s="1"/>
      <c r="M4" s="1"/>
      <c r="N4" s="1"/>
      <c r="O4" s="1"/>
      <c r="P4" s="1"/>
      <c r="Q4" s="1"/>
      <c r="R4" s="1"/>
      <c r="S4" s="1"/>
      <c r="T4" s="1"/>
      <c r="U4" s="1"/>
      <c r="V4" s="1"/>
      <c r="W4" s="1"/>
      <c r="X4" s="1"/>
    </row>
    <row r="5" spans="1:24" ht="20" customHeight="1">
      <c r="A5" s="2" t="s">
        <v>55</v>
      </c>
      <c r="B5" s="19">
        <f>Parametri!J5</f>
        <v>2</v>
      </c>
      <c r="C5" s="2" t="s">
        <v>56</v>
      </c>
      <c r="D5" s="19">
        <f>Parametri!J6</f>
        <v>2</v>
      </c>
      <c r="E5" s="2" t="s">
        <v>57</v>
      </c>
      <c r="F5" s="56" t="s">
        <v>58</v>
      </c>
      <c r="G5" s="56"/>
      <c r="H5" s="56"/>
      <c r="I5" s="1"/>
      <c r="J5" s="1"/>
      <c r="K5" s="1"/>
      <c r="L5" s="1"/>
      <c r="M5" s="1"/>
      <c r="N5" s="1"/>
      <c r="O5" s="1"/>
      <c r="P5" s="1"/>
      <c r="Q5" s="1"/>
      <c r="R5" s="1"/>
      <c r="S5" s="1"/>
      <c r="T5" s="1"/>
      <c r="U5" s="1"/>
      <c r="V5" s="1"/>
      <c r="W5" s="1"/>
      <c r="X5" s="1"/>
    </row>
    <row r="6" spans="1:24" ht="18" customHeight="1">
      <c r="A6" s="57" t="s">
        <v>59</v>
      </c>
      <c r="B6" s="58"/>
      <c r="C6" s="59" t="s">
        <v>60</v>
      </c>
      <c r="D6" s="59"/>
      <c r="E6" s="60" t="s">
        <v>61</v>
      </c>
      <c r="F6" s="60"/>
      <c r="G6" s="61" t="s">
        <v>62</v>
      </c>
      <c r="H6" s="61"/>
      <c r="I6" s="1"/>
      <c r="J6" s="1"/>
      <c r="K6" s="1"/>
      <c r="L6" s="1"/>
      <c r="M6" s="1"/>
      <c r="N6" s="1"/>
      <c r="O6" s="1"/>
      <c r="P6" s="1"/>
      <c r="Q6" s="1"/>
      <c r="R6" s="1"/>
      <c r="S6" s="1"/>
      <c r="T6" s="1"/>
      <c r="U6" s="1"/>
      <c r="V6" s="1"/>
      <c r="W6" s="1"/>
      <c r="X6" s="1"/>
    </row>
    <row r="7" spans="1:24" ht="17" customHeight="1">
      <c r="A7" s="51" t="str">
        <f>IF(NOT(Calcoli!$B$8),"CONTROLLA ECCEZIONI: completa le righe attive o disattivale.",IF(NOT(Calcoli!$B$7),"CHECK PARAMETERS: invalid date, time, time zone or margins.",IF(COUNTIF(Calcoli!$B$10:$H$10,FALSE)&gt;0,"CONTROLLA PARAMETRI: fuso, calendario, orari o riposi non validi.",IF(COUNTIF(Calcoli!$R$17:$X$88,-1)&gt;0,"CONTROLLA ECCEZIONI/FUSI: sovrapposizione di date o dati fuori copertura.","Personal exceptions &gt; festività &gt; recuperi nazionali &gt; riposi settimanali &gt; orari."))))</f>
        <v>Personal exceptions &gt; festività &gt; recuperi nazionali &gt; riposi settimanali &gt; orari.</v>
      </c>
      <c r="B7" s="51"/>
      <c r="C7" s="51"/>
      <c r="D7" s="51"/>
      <c r="E7" s="51"/>
      <c r="F7" s="51"/>
      <c r="G7" s="51"/>
      <c r="H7" s="51"/>
      <c r="I7" s="1"/>
      <c r="J7" s="1"/>
      <c r="K7" s="1"/>
      <c r="L7" s="1"/>
      <c r="M7" s="1"/>
      <c r="N7" s="1"/>
      <c r="O7" s="1"/>
      <c r="P7" s="1"/>
      <c r="Q7" s="1"/>
      <c r="R7" s="1"/>
      <c r="S7" s="1"/>
      <c r="T7" s="1"/>
      <c r="U7" s="1"/>
      <c r="V7" s="1"/>
      <c r="W7" s="1"/>
      <c r="X7" s="1"/>
    </row>
    <row r="8" spans="1:24" ht="21" customHeight="1">
      <c r="A8" s="3" t="s">
        <v>13</v>
      </c>
      <c r="B8" s="3" t="str">
        <f>Planner!B8</f>
        <v> Hanoi</v>
      </c>
      <c r="C8" s="3" t="str">
        <f>Planner!C8</f>
        <v> Mumbai</v>
      </c>
      <c r="D8" s="3" t="str">
        <f>Planner!D8</f>
        <v> Minsk</v>
      </c>
      <c r="E8" s="3" t="str">
        <f>Planner!E8</f>
        <v> Rome</v>
      </c>
      <c r="F8" s="3" t="str">
        <f>Planner!F8</f>
        <v> London</v>
      </c>
      <c r="G8" s="3" t="str">
        <f>Planner!G8</f>
        <v> New York</v>
      </c>
      <c r="H8" s="3" t="str">
        <f>Planner!H8</f>
        <v> Los Angeles</v>
      </c>
      <c r="I8" s="1"/>
      <c r="J8" s="1"/>
      <c r="K8" s="1"/>
      <c r="L8" s="1"/>
      <c r="M8" s="1"/>
      <c r="N8" s="1"/>
      <c r="O8" s="1"/>
      <c r="P8" s="1"/>
      <c r="Q8" s="1"/>
      <c r="R8" s="1"/>
      <c r="S8" s="1"/>
      <c r="T8" s="1"/>
      <c r="U8" s="1"/>
      <c r="V8" s="1"/>
      <c r="W8" s="1"/>
      <c r="X8" s="1"/>
    </row>
    <row r="9" spans="1:24" ht="16.05" customHeight="1">
      <c r="A9" s="6" t="s">
        <v>63</v>
      </c>
      <c r="B9" s="13" t="str">
        <f>Parametri!C12</f>
        <v>hanoi</v>
      </c>
      <c r="C9" s="13" t="str">
        <f>Parametri!C13</f>
        <v>mumbai</v>
      </c>
      <c r="D9" s="13" t="str">
        <f>Parametri!C14</f>
        <v>minsk</v>
      </c>
      <c r="E9" s="13" t="str">
        <f>Parametri!C15</f>
        <v>rome</v>
      </c>
      <c r="F9" s="13" t="str">
        <f>Parametri!C16</f>
        <v>london</v>
      </c>
      <c r="G9" s="13" t="str">
        <f>Parametri!C17</f>
        <v>new-york</v>
      </c>
      <c r="H9" s="13" t="str">
        <f>Parametri!C18</f>
        <v>los-angeles</v>
      </c>
      <c r="I9" s="1"/>
      <c r="J9" s="1"/>
      <c r="K9" s="1"/>
      <c r="L9" s="1"/>
      <c r="M9" s="1"/>
      <c r="N9" s="1"/>
      <c r="O9" s="1"/>
      <c r="P9" s="1"/>
      <c r="Q9" s="1"/>
      <c r="R9" s="1"/>
      <c r="S9" s="1"/>
      <c r="T9" s="1"/>
      <c r="U9" s="1"/>
      <c r="V9" s="1"/>
      <c r="W9" s="1"/>
      <c r="X9" s="1"/>
    </row>
    <row r="10" spans="1:24" ht="16.05" customHeight="1">
      <c r="A10" s="6" t="s">
        <v>15</v>
      </c>
      <c r="B10" s="14" t="str">
        <f>Parametri!D12</f>
        <v>VN</v>
      </c>
      <c r="C10" s="14" t="str">
        <f>Parametri!D13</f>
        <v>IN</v>
      </c>
      <c r="D10" s="14" t="str">
        <f>Parametri!D14</f>
        <v>BY</v>
      </c>
      <c r="E10" s="14" t="str">
        <f>Parametri!D15</f>
        <v>IT</v>
      </c>
      <c r="F10" s="14" t="str">
        <f>Parametri!D16</f>
        <v>GB-ENG</v>
      </c>
      <c r="G10" s="14" t="str">
        <f>Parametri!D17</f>
        <v>US</v>
      </c>
      <c r="H10" s="14" t="str">
        <f>Parametri!D18</f>
        <v>US</v>
      </c>
      <c r="I10" s="1"/>
      <c r="J10" s="1"/>
      <c r="K10" s="1"/>
      <c r="L10" s="1"/>
      <c r="M10" s="1"/>
      <c r="N10" s="1"/>
      <c r="O10" s="1"/>
      <c r="P10" s="1"/>
      <c r="Q10" s="1"/>
      <c r="R10" s="1"/>
      <c r="S10" s="1"/>
      <c r="T10" s="1"/>
      <c r="U10" s="1"/>
      <c r="V10" s="1"/>
      <c r="W10" s="1"/>
      <c r="X10" s="1"/>
    </row>
    <row r="11" spans="1:24" ht="16.05" customHeight="1">
      <c r="A11" s="6" t="s">
        <v>64</v>
      </c>
      <c r="B11" s="15">
        <f>Parametri!E12</f>
        <v>0.20833333333333301</v>
      </c>
      <c r="C11" s="15">
        <f>Parametri!E13</f>
        <v>0.375</v>
      </c>
      <c r="D11" s="15">
        <f>Parametri!E14</f>
        <v>0.375</v>
      </c>
      <c r="E11" s="15">
        <f>Parametri!E15</f>
        <v>0.375</v>
      </c>
      <c r="F11" s="15">
        <f>Parametri!E16</f>
        <v>0.375</v>
      </c>
      <c r="G11" s="15">
        <f>Parametri!E17</f>
        <v>0.375</v>
      </c>
      <c r="H11" s="15">
        <f>Parametri!E18</f>
        <v>0.375</v>
      </c>
      <c r="I11" s="1"/>
      <c r="J11" s="1"/>
      <c r="K11" s="1"/>
      <c r="L11" s="1"/>
      <c r="M11" s="1"/>
      <c r="N11" s="1"/>
      <c r="O11" s="1"/>
      <c r="P11" s="1"/>
      <c r="Q11" s="1"/>
      <c r="R11" s="1"/>
      <c r="S11" s="1"/>
      <c r="T11" s="1"/>
      <c r="U11" s="1"/>
      <c r="V11" s="1"/>
      <c r="W11" s="1"/>
      <c r="X11" s="1"/>
    </row>
    <row r="12" spans="1:24" ht="16.05" customHeight="1">
      <c r="A12" s="6" t="s">
        <v>65</v>
      </c>
      <c r="B12" s="15">
        <f>Parametri!F12</f>
        <v>0.95833333333333304</v>
      </c>
      <c r="C12" s="15">
        <f>Parametri!F13</f>
        <v>0.75</v>
      </c>
      <c r="D12" s="15">
        <f>Parametri!F14</f>
        <v>0.75</v>
      </c>
      <c r="E12" s="15">
        <f>Parametri!F15</f>
        <v>0.75</v>
      </c>
      <c r="F12" s="15">
        <f>Parametri!F16</f>
        <v>0.75</v>
      </c>
      <c r="G12" s="15">
        <f>Parametri!F17</f>
        <v>0.75</v>
      </c>
      <c r="H12" s="15">
        <f>Parametri!F18</f>
        <v>0.75</v>
      </c>
      <c r="I12" s="1"/>
      <c r="J12" s="1"/>
      <c r="K12" s="1"/>
      <c r="L12" s="1"/>
      <c r="M12" s="1"/>
      <c r="N12" s="1"/>
      <c r="O12" s="1"/>
      <c r="P12" s="1"/>
      <c r="Q12" s="1"/>
      <c r="R12" s="1"/>
      <c r="S12" s="1"/>
      <c r="T12" s="1"/>
      <c r="U12" s="1"/>
      <c r="V12" s="1"/>
      <c r="W12" s="1"/>
      <c r="X12" s="1"/>
    </row>
    <row r="13" spans="1:24" ht="16.05" customHeight="1">
      <c r="A13" s="6" t="s">
        <v>66</v>
      </c>
      <c r="B13" s="30" t="str">
        <f>IF(SUM(Parametri!G12:M12)=0,"—",TRIM(IF(Parametri!G12=1,"Mon ","")&amp;IF(Parametri!H12=1,"Tue ","")&amp;IF(Parametri!I12=1,"Wed ","")&amp;IF(Parametri!J12=1,"Thu ","")&amp;IF(Parametri!K12=1,"Fri ","")&amp;IF(Parametri!L12=1,"Sat ","")&amp;IF(Parametri!M12=1,"Sun ","")))</f>
        <v>—</v>
      </c>
      <c r="C13" s="30" t="str">
        <f>IF(SUM(Parametri!G13:M13)=0,"—",TRIM(IF(Parametri!G13=1,"Mon ","")&amp;IF(Parametri!H13=1,"Tue ","")&amp;IF(Parametri!I13=1,"Wed ","")&amp;IF(Parametri!J13=1,"Thu ","")&amp;IF(Parametri!K13=1,"Fri ","")&amp;IF(Parametri!L13=1,"Sat ","")&amp;IF(Parametri!M13=1,"Sun ","")))</f>
        <v>Sat Sun</v>
      </c>
      <c r="D13" s="30" t="str">
        <f>IF(SUM(Parametri!G14:M14)=0,"—",TRIM(IF(Parametri!G14=1,"Mon ","")&amp;IF(Parametri!H14=1,"Tue ","")&amp;IF(Parametri!I14=1,"Wed ","")&amp;IF(Parametri!J14=1,"Thu ","")&amp;IF(Parametri!K14=1,"Fri ","")&amp;IF(Parametri!L14=1,"Sat ","")&amp;IF(Parametri!M14=1,"Sun ","")))</f>
        <v>Sat Sun</v>
      </c>
      <c r="E13" s="30" t="str">
        <f>IF(SUM(Parametri!G15:M15)=0,"—",TRIM(IF(Parametri!G15=1,"Mon ","")&amp;IF(Parametri!H15=1,"Tue ","")&amp;IF(Parametri!I15=1,"Wed ","")&amp;IF(Parametri!J15=1,"Thu ","")&amp;IF(Parametri!K15=1,"Fri ","")&amp;IF(Parametri!L15=1,"Sat ","")&amp;IF(Parametri!M15=1,"Sun ","")))</f>
        <v>Sat Sun</v>
      </c>
      <c r="F13" s="30" t="str">
        <f>IF(SUM(Parametri!G16:M16)=0,"—",TRIM(IF(Parametri!G16=1,"Mon ","")&amp;IF(Parametri!H16=1,"Tue ","")&amp;IF(Parametri!I16=1,"Wed ","")&amp;IF(Parametri!J16=1,"Thu ","")&amp;IF(Parametri!K16=1,"Fri ","")&amp;IF(Parametri!L16=1,"Sat ","")&amp;IF(Parametri!M16=1,"Sun ","")))</f>
        <v>Sat Sun</v>
      </c>
      <c r="G13" s="30" t="str">
        <f>IF(SUM(Parametri!G17:M17)=0,"—",TRIM(IF(Parametri!G17=1,"Mon ","")&amp;IF(Parametri!H17=1,"Tue ","")&amp;IF(Parametri!I17=1,"Wed ","")&amp;IF(Parametri!J17=1,"Thu ","")&amp;IF(Parametri!K17=1,"Fri ","")&amp;IF(Parametri!L17=1,"Sat ","")&amp;IF(Parametri!M17=1,"Sun ","")))</f>
        <v>Sat Sun</v>
      </c>
      <c r="H13" s="30" t="str">
        <f>IF(SUM(Parametri!G18:M18)=0,"—",TRIM(IF(Parametri!G18=1,"Mon ","")&amp;IF(Parametri!H18=1,"Tue ","")&amp;IF(Parametri!I18=1,"Wed ","")&amp;IF(Parametri!J18=1,"Thu ","")&amp;IF(Parametri!K18=1,"Fri ","")&amp;IF(Parametri!L18=1,"Sat ","")&amp;IF(Parametri!M18=1,"Sun ","")))</f>
        <v>Sat Sun</v>
      </c>
      <c r="I13" s="1"/>
      <c r="J13" s="1"/>
      <c r="K13" s="1"/>
      <c r="L13" s="1"/>
      <c r="M13" s="1"/>
      <c r="N13" s="1"/>
      <c r="O13" s="1"/>
      <c r="P13" s="1"/>
      <c r="Q13" s="1"/>
      <c r="R13" s="1"/>
      <c r="S13" s="1"/>
      <c r="T13" s="1"/>
      <c r="U13" s="1"/>
      <c r="V13" s="1"/>
      <c r="W13" s="1"/>
      <c r="X13" s="1"/>
    </row>
    <row r="14" spans="1:24" ht="16.05" customHeight="1">
      <c r="A14" s="6" t="s">
        <v>67</v>
      </c>
      <c r="B14" s="10" t="str">
        <f>Calcoli!B15</f>
        <v>Not loaded</v>
      </c>
      <c r="C14" s="10" t="str">
        <f>Calcoli!C15</f>
        <v>Outside period</v>
      </c>
      <c r="D14" s="10" t="str">
        <f>Calcoli!D15</f>
        <v>Not loaded</v>
      </c>
      <c r="E14" s="10" t="str">
        <f>Calcoli!E15</f>
        <v>Outside period</v>
      </c>
      <c r="F14" s="10" t="str">
        <f>Calcoli!F15</f>
        <v>Outside period</v>
      </c>
      <c r="G14" s="10" t="str">
        <f>Calcoli!G15</f>
        <v>Outside period</v>
      </c>
      <c r="H14" s="10" t="str">
        <f>Calcoli!H15</f>
        <v>Outside period</v>
      </c>
      <c r="I14" s="1"/>
      <c r="J14" s="1"/>
      <c r="K14" s="1"/>
      <c r="L14" s="1"/>
      <c r="M14" s="1"/>
      <c r="N14" s="1"/>
      <c r="O14" s="1"/>
      <c r="P14" s="1"/>
      <c r="Q14" s="1"/>
      <c r="R14" s="1"/>
      <c r="S14" s="1"/>
      <c r="T14" s="1"/>
      <c r="U14" s="1"/>
      <c r="V14" s="1"/>
      <c r="W14" s="1"/>
      <c r="X14" s="1"/>
    </row>
    <row r="15" spans="1:24" ht="17" customHeight="1">
      <c r="A15" s="55" t="str">
        <f>Info!B4</f>
        <v>Observances (info only): Blessed Virgin Mary of Mercy</v>
      </c>
      <c r="B15" s="55"/>
      <c r="C15" s="55"/>
      <c r="D15" s="55"/>
      <c r="E15" s="55"/>
      <c r="F15" s="55"/>
      <c r="G15" s="55"/>
      <c r="H15" s="55"/>
      <c r="I15" s="1"/>
      <c r="J15" s="1"/>
      <c r="K15" s="1"/>
      <c r="L15" s="1"/>
      <c r="M15" s="1"/>
      <c r="N15" s="1"/>
      <c r="O15" s="1"/>
      <c r="P15" s="1"/>
      <c r="Q15" s="1"/>
      <c r="R15" s="1"/>
      <c r="S15" s="1"/>
      <c r="T15" s="1"/>
      <c r="U15" s="1"/>
      <c r="V15" s="1"/>
      <c r="W15" s="1"/>
      <c r="X15" s="1"/>
    </row>
    <row r="16" spans="1:24" ht="21" customHeight="1">
      <c r="A16" s="3" t="s">
        <v>68</v>
      </c>
      <c r="B16" s="3" t="str">
        <f t="shared" ref="B16:H16" si="0">B8</f>
        <v> Hanoi</v>
      </c>
      <c r="C16" s="3" t="str">
        <f t="shared" si="0"/>
        <v> Mumbai</v>
      </c>
      <c r="D16" s="3" t="str">
        <f t="shared" si="0"/>
        <v> Minsk</v>
      </c>
      <c r="E16" s="3" t="str">
        <f t="shared" si="0"/>
        <v> Rome</v>
      </c>
      <c r="F16" s="3" t="str">
        <f t="shared" si="0"/>
        <v> London</v>
      </c>
      <c r="G16" s="3" t="str">
        <f t="shared" si="0"/>
        <v> New York</v>
      </c>
      <c r="H16" s="3" t="str">
        <f t="shared" si="0"/>
        <v> Los Angeles</v>
      </c>
      <c r="I16" s="1"/>
      <c r="J16" s="1"/>
      <c r="K16" s="1"/>
      <c r="L16" s="1"/>
      <c r="M16" s="1"/>
      <c r="N16" s="1"/>
      <c r="O16" s="1"/>
      <c r="P16" s="1"/>
      <c r="Q16" s="1"/>
      <c r="R16" s="1"/>
      <c r="S16" s="1"/>
      <c r="T16" s="1"/>
      <c r="U16" s="1"/>
      <c r="V16" s="1"/>
      <c r="W16" s="1"/>
      <c r="X16" s="1"/>
    </row>
    <row r="17" spans="1:24" ht="13.5" customHeight="1">
      <c r="A17" s="11">
        <f>Calcoli!A41</f>
        <v>46288.708333333336</v>
      </c>
      <c r="B17" s="12">
        <f>Calcoli!B41</f>
        <v>46289</v>
      </c>
      <c r="C17" s="12">
        <f>Calcoli!C41</f>
        <v>46288.9375</v>
      </c>
      <c r="D17" s="12">
        <f>Calcoli!D41</f>
        <v>46288.833333333336</v>
      </c>
      <c r="E17" s="12">
        <f>Calcoli!E41</f>
        <v>46288.791666666664</v>
      </c>
      <c r="F17" s="12">
        <f>Calcoli!F41</f>
        <v>46288.75</v>
      </c>
      <c r="G17" s="12">
        <f>Calcoli!G41</f>
        <v>46288.541666666664</v>
      </c>
      <c r="H17" s="12">
        <f>Calcoli!H41</f>
        <v>46288.416666666664</v>
      </c>
      <c r="I17" s="1"/>
      <c r="J17" s="1">
        <f>Calcoli!R41</f>
        <v>1</v>
      </c>
      <c r="K17" s="1">
        <f>Calcoli!S41</f>
        <v>0</v>
      </c>
      <c r="L17" s="1">
        <f>Calcoli!T41</f>
        <v>0</v>
      </c>
      <c r="M17" s="1">
        <f>Calcoli!U41</f>
        <v>1</v>
      </c>
      <c r="N17" s="1">
        <f>Calcoli!V41</f>
        <v>1</v>
      </c>
      <c r="O17" s="1">
        <f>Calcoli!W41</f>
        <v>2</v>
      </c>
      <c r="P17" s="1">
        <f>Calcoli!X41</f>
        <v>2</v>
      </c>
      <c r="Q17" s="1"/>
      <c r="R17" s="1">
        <f>Calcoli!Z41</f>
        <v>0</v>
      </c>
      <c r="S17" s="1">
        <f>Calcoli!AA41</f>
        <v>0</v>
      </c>
      <c r="T17" s="1">
        <f>Calcoli!AB41</f>
        <v>0</v>
      </c>
      <c r="U17" s="1">
        <f>Calcoli!AC41</f>
        <v>0</v>
      </c>
      <c r="V17" s="1">
        <f>Calcoli!AD41</f>
        <v>0</v>
      </c>
      <c r="W17" s="1">
        <f>Calcoli!AE41</f>
        <v>0</v>
      </c>
      <c r="X17" s="1">
        <f>Calcoli!AF41</f>
        <v>0</v>
      </c>
    </row>
    <row r="18" spans="1:24" ht="13.5" customHeight="1">
      <c r="A18" s="11">
        <f>Calcoli!A42</f>
        <v>46288.729166666664</v>
      </c>
      <c r="B18" s="12">
        <f>Calcoli!B42</f>
        <v>46289.020833333336</v>
      </c>
      <c r="C18" s="12">
        <f>Calcoli!C42</f>
        <v>46288.958333333336</v>
      </c>
      <c r="D18" s="12">
        <f>Calcoli!D42</f>
        <v>46288.854166666664</v>
      </c>
      <c r="E18" s="12">
        <f>Calcoli!E42</f>
        <v>46288.8125</v>
      </c>
      <c r="F18" s="12">
        <f>Calcoli!F42</f>
        <v>46288.770833333336</v>
      </c>
      <c r="G18" s="12">
        <f>Calcoli!G42</f>
        <v>46288.5625</v>
      </c>
      <c r="H18" s="12">
        <f>Calcoli!H42</f>
        <v>46288.4375</v>
      </c>
      <c r="I18" s="1"/>
      <c r="J18" s="1">
        <f>Calcoli!R42</f>
        <v>1</v>
      </c>
      <c r="K18" s="1">
        <f>Calcoli!S42</f>
        <v>0</v>
      </c>
      <c r="L18" s="1">
        <f>Calcoli!T42</f>
        <v>0</v>
      </c>
      <c r="M18" s="1">
        <f>Calcoli!U42</f>
        <v>1</v>
      </c>
      <c r="N18" s="1">
        <f>Calcoli!V42</f>
        <v>1</v>
      </c>
      <c r="O18" s="1">
        <f>Calcoli!W42</f>
        <v>2</v>
      </c>
      <c r="P18" s="1">
        <f>Calcoli!X42</f>
        <v>2</v>
      </c>
      <c r="Q18" s="1"/>
      <c r="R18" s="1">
        <f>Calcoli!Z42</f>
        <v>0</v>
      </c>
      <c r="S18" s="1">
        <f>Calcoli!AA42</f>
        <v>0</v>
      </c>
      <c r="T18" s="1">
        <f>Calcoli!AB42</f>
        <v>0</v>
      </c>
      <c r="U18" s="1">
        <f>Calcoli!AC42</f>
        <v>0</v>
      </c>
      <c r="V18" s="1">
        <f>Calcoli!AD42</f>
        <v>0</v>
      </c>
      <c r="W18" s="1">
        <f>Calcoli!AE42</f>
        <v>0</v>
      </c>
      <c r="X18" s="1">
        <f>Calcoli!AF42</f>
        <v>0</v>
      </c>
    </row>
    <row r="19" spans="1:24" ht="13.5" customHeight="1">
      <c r="A19" s="11">
        <f>Calcoli!A43</f>
        <v>46288.75</v>
      </c>
      <c r="B19" s="12">
        <f>Calcoli!B43</f>
        <v>46289.041666666664</v>
      </c>
      <c r="C19" s="12">
        <f>Calcoli!C43</f>
        <v>46288.979166666664</v>
      </c>
      <c r="D19" s="12">
        <f>Calcoli!D43</f>
        <v>46288.875</v>
      </c>
      <c r="E19" s="12">
        <f>Calcoli!E43</f>
        <v>46288.833333333336</v>
      </c>
      <c r="F19" s="12">
        <f>Calcoli!F43</f>
        <v>46288.791666666664</v>
      </c>
      <c r="G19" s="12">
        <f>Calcoli!G43</f>
        <v>46288.583333333336</v>
      </c>
      <c r="H19" s="12">
        <f>Calcoli!H43</f>
        <v>46288.458333333336</v>
      </c>
      <c r="I19" s="1"/>
      <c r="J19" s="1">
        <f>Calcoli!R43</f>
        <v>0</v>
      </c>
      <c r="K19" s="1">
        <f>Calcoli!S43</f>
        <v>0</v>
      </c>
      <c r="L19" s="1">
        <f>Calcoli!T43</f>
        <v>0</v>
      </c>
      <c r="M19" s="1">
        <f>Calcoli!U43</f>
        <v>0</v>
      </c>
      <c r="N19" s="1">
        <f>Calcoli!V43</f>
        <v>1</v>
      </c>
      <c r="O19" s="1">
        <f>Calcoli!W43</f>
        <v>2</v>
      </c>
      <c r="P19" s="1">
        <f>Calcoli!X43</f>
        <v>2</v>
      </c>
      <c r="Q19" s="1"/>
      <c r="R19" s="1">
        <f>Calcoli!Z43</f>
        <v>0</v>
      </c>
      <c r="S19" s="1">
        <f>Calcoli!AA43</f>
        <v>0</v>
      </c>
      <c r="T19" s="1">
        <f>Calcoli!AB43</f>
        <v>0</v>
      </c>
      <c r="U19" s="1">
        <f>Calcoli!AC43</f>
        <v>0</v>
      </c>
      <c r="V19" s="1">
        <f>Calcoli!AD43</f>
        <v>0</v>
      </c>
      <c r="W19" s="1">
        <f>Calcoli!AE43</f>
        <v>0</v>
      </c>
      <c r="X19" s="1">
        <f>Calcoli!AF43</f>
        <v>0</v>
      </c>
    </row>
    <row r="20" spans="1:24" ht="13.5" customHeight="1">
      <c r="A20" s="11">
        <f>Calcoli!A44</f>
        <v>46288.770833333336</v>
      </c>
      <c r="B20" s="12">
        <f>Calcoli!B44</f>
        <v>46289.0625</v>
      </c>
      <c r="C20" s="12">
        <f>Calcoli!C44</f>
        <v>46289</v>
      </c>
      <c r="D20" s="12">
        <f>Calcoli!D44</f>
        <v>46288.895833333336</v>
      </c>
      <c r="E20" s="12">
        <f>Calcoli!E44</f>
        <v>46288.854166666664</v>
      </c>
      <c r="F20" s="12">
        <f>Calcoli!F44</f>
        <v>46288.8125</v>
      </c>
      <c r="G20" s="12">
        <f>Calcoli!G44</f>
        <v>46288.604166666664</v>
      </c>
      <c r="H20" s="12">
        <f>Calcoli!H44</f>
        <v>46288.479166666664</v>
      </c>
      <c r="I20" s="1"/>
      <c r="J20" s="1">
        <f>Calcoli!R44</f>
        <v>0</v>
      </c>
      <c r="K20" s="1">
        <f>Calcoli!S44</f>
        <v>0</v>
      </c>
      <c r="L20" s="1">
        <f>Calcoli!T44</f>
        <v>0</v>
      </c>
      <c r="M20" s="1">
        <f>Calcoli!U44</f>
        <v>0</v>
      </c>
      <c r="N20" s="1">
        <f>Calcoli!V44</f>
        <v>1</v>
      </c>
      <c r="O20" s="1">
        <f>Calcoli!W44</f>
        <v>2</v>
      </c>
      <c r="P20" s="1">
        <f>Calcoli!X44</f>
        <v>2</v>
      </c>
      <c r="Q20" s="1"/>
      <c r="R20" s="1">
        <f>Calcoli!Z44</f>
        <v>0</v>
      </c>
      <c r="S20" s="1">
        <f>Calcoli!AA44</f>
        <v>0</v>
      </c>
      <c r="T20" s="1">
        <f>Calcoli!AB44</f>
        <v>0</v>
      </c>
      <c r="U20" s="1">
        <f>Calcoli!AC44</f>
        <v>0</v>
      </c>
      <c r="V20" s="1">
        <f>Calcoli!AD44</f>
        <v>0</v>
      </c>
      <c r="W20" s="1">
        <f>Calcoli!AE44</f>
        <v>0</v>
      </c>
      <c r="X20" s="1">
        <f>Calcoli!AF44</f>
        <v>0</v>
      </c>
    </row>
    <row r="21" spans="1:24" ht="13.5" customHeight="1">
      <c r="A21" s="11">
        <f>Calcoli!A45</f>
        <v>46288.791666666664</v>
      </c>
      <c r="B21" s="12">
        <f>Calcoli!B45</f>
        <v>46289.083333333336</v>
      </c>
      <c r="C21" s="12">
        <f>Calcoli!C45</f>
        <v>46289.020833333336</v>
      </c>
      <c r="D21" s="12">
        <f>Calcoli!D45</f>
        <v>46288.916666666664</v>
      </c>
      <c r="E21" s="12">
        <f>Calcoli!E45</f>
        <v>46288.875</v>
      </c>
      <c r="F21" s="12">
        <f>Calcoli!F45</f>
        <v>46288.833333333336</v>
      </c>
      <c r="G21" s="12">
        <f>Calcoli!G45</f>
        <v>46288.625</v>
      </c>
      <c r="H21" s="12">
        <f>Calcoli!H45</f>
        <v>46288.5</v>
      </c>
      <c r="I21" s="1"/>
      <c r="J21" s="1">
        <f>Calcoli!R45</f>
        <v>0</v>
      </c>
      <c r="K21" s="1">
        <f>Calcoli!S45</f>
        <v>0</v>
      </c>
      <c r="L21" s="1">
        <f>Calcoli!T45</f>
        <v>0</v>
      </c>
      <c r="M21" s="1">
        <f>Calcoli!U45</f>
        <v>0</v>
      </c>
      <c r="N21" s="1">
        <f>Calcoli!V45</f>
        <v>0</v>
      </c>
      <c r="O21" s="1">
        <f>Calcoli!W45</f>
        <v>2</v>
      </c>
      <c r="P21" s="1">
        <f>Calcoli!X45</f>
        <v>2</v>
      </c>
      <c r="Q21" s="1"/>
      <c r="R21" s="1">
        <f>Calcoli!Z45</f>
        <v>0</v>
      </c>
      <c r="S21" s="1">
        <f>Calcoli!AA45</f>
        <v>0</v>
      </c>
      <c r="T21" s="1">
        <f>Calcoli!AB45</f>
        <v>0</v>
      </c>
      <c r="U21" s="1">
        <f>Calcoli!AC45</f>
        <v>0</v>
      </c>
      <c r="V21" s="1">
        <f>Calcoli!AD45</f>
        <v>0</v>
      </c>
      <c r="W21" s="1">
        <f>Calcoli!AE45</f>
        <v>0</v>
      </c>
      <c r="X21" s="1">
        <f>Calcoli!AF45</f>
        <v>0</v>
      </c>
    </row>
    <row r="22" spans="1:24" ht="13.5" customHeight="1">
      <c r="A22" s="11">
        <f>Calcoli!A46</f>
        <v>46288.8125</v>
      </c>
      <c r="B22" s="12">
        <f>Calcoli!B46</f>
        <v>46289.104166666664</v>
      </c>
      <c r="C22" s="12">
        <f>Calcoli!C46</f>
        <v>46289.041666666664</v>
      </c>
      <c r="D22" s="12">
        <f>Calcoli!D46</f>
        <v>46288.9375</v>
      </c>
      <c r="E22" s="12">
        <f>Calcoli!E46</f>
        <v>46288.895833333336</v>
      </c>
      <c r="F22" s="12">
        <f>Calcoli!F46</f>
        <v>46288.854166666664</v>
      </c>
      <c r="G22" s="12">
        <f>Calcoli!G46</f>
        <v>46288.645833333336</v>
      </c>
      <c r="H22" s="12">
        <f>Calcoli!H46</f>
        <v>46288.520833333336</v>
      </c>
      <c r="I22" s="1"/>
      <c r="J22" s="1">
        <f>Calcoli!R46</f>
        <v>0</v>
      </c>
      <c r="K22" s="1">
        <f>Calcoli!S46</f>
        <v>0</v>
      </c>
      <c r="L22" s="1">
        <f>Calcoli!T46</f>
        <v>0</v>
      </c>
      <c r="M22" s="1">
        <f>Calcoli!U46</f>
        <v>0</v>
      </c>
      <c r="N22" s="1">
        <f>Calcoli!V46</f>
        <v>0</v>
      </c>
      <c r="O22" s="1">
        <f>Calcoli!W46</f>
        <v>2</v>
      </c>
      <c r="P22" s="1">
        <f>Calcoli!X46</f>
        <v>2</v>
      </c>
      <c r="Q22" s="1"/>
      <c r="R22" s="1">
        <f>Calcoli!Z46</f>
        <v>0</v>
      </c>
      <c r="S22" s="1">
        <f>Calcoli!AA46</f>
        <v>0</v>
      </c>
      <c r="T22" s="1">
        <f>Calcoli!AB46</f>
        <v>0</v>
      </c>
      <c r="U22" s="1">
        <f>Calcoli!AC46</f>
        <v>0</v>
      </c>
      <c r="V22" s="1">
        <f>Calcoli!AD46</f>
        <v>0</v>
      </c>
      <c r="W22" s="1">
        <f>Calcoli!AE46</f>
        <v>0</v>
      </c>
      <c r="X22" s="1">
        <f>Calcoli!AF46</f>
        <v>0</v>
      </c>
    </row>
    <row r="23" spans="1:24" ht="13.5" customHeight="1">
      <c r="A23" s="11">
        <f>Calcoli!A47</f>
        <v>46288.833333333336</v>
      </c>
      <c r="B23" s="12">
        <f>Calcoli!B47</f>
        <v>46289.125</v>
      </c>
      <c r="C23" s="12">
        <f>Calcoli!C47</f>
        <v>46289.0625</v>
      </c>
      <c r="D23" s="12">
        <f>Calcoli!D47</f>
        <v>46288.958333333336</v>
      </c>
      <c r="E23" s="12">
        <f>Calcoli!E47</f>
        <v>46288.916666666664</v>
      </c>
      <c r="F23" s="12">
        <f>Calcoli!F47</f>
        <v>46288.875</v>
      </c>
      <c r="G23" s="12">
        <f>Calcoli!G47</f>
        <v>46288.666666666664</v>
      </c>
      <c r="H23" s="12">
        <f>Calcoli!H47</f>
        <v>46288.541666666664</v>
      </c>
      <c r="I23" s="1"/>
      <c r="J23" s="1">
        <f>Calcoli!R47</f>
        <v>1</v>
      </c>
      <c r="K23" s="1">
        <f>Calcoli!S47</f>
        <v>0</v>
      </c>
      <c r="L23" s="1">
        <f>Calcoli!T47</f>
        <v>0</v>
      </c>
      <c r="M23" s="1">
        <f>Calcoli!U47</f>
        <v>0</v>
      </c>
      <c r="N23" s="1">
        <f>Calcoli!V47</f>
        <v>0</v>
      </c>
      <c r="O23" s="1">
        <f>Calcoli!W47</f>
        <v>2</v>
      </c>
      <c r="P23" s="1">
        <f>Calcoli!X47</f>
        <v>2</v>
      </c>
      <c r="Q23" s="1"/>
      <c r="R23" s="1">
        <f>Calcoli!Z47</f>
        <v>0</v>
      </c>
      <c r="S23" s="1">
        <f>Calcoli!AA47</f>
        <v>0</v>
      </c>
      <c r="T23" s="1">
        <f>Calcoli!AB47</f>
        <v>0</v>
      </c>
      <c r="U23" s="1">
        <f>Calcoli!AC47</f>
        <v>0</v>
      </c>
      <c r="V23" s="1">
        <f>Calcoli!AD47</f>
        <v>0</v>
      </c>
      <c r="W23" s="1">
        <f>Calcoli!AE47</f>
        <v>0</v>
      </c>
      <c r="X23" s="1">
        <f>Calcoli!AF47</f>
        <v>0</v>
      </c>
    </row>
    <row r="24" spans="1:24" ht="13.5" customHeight="1">
      <c r="A24" s="11">
        <f>Calcoli!A48</f>
        <v>46288.854166666664</v>
      </c>
      <c r="B24" s="12">
        <f>Calcoli!B48</f>
        <v>46289.145833333336</v>
      </c>
      <c r="C24" s="12">
        <f>Calcoli!C48</f>
        <v>46289.083333333336</v>
      </c>
      <c r="D24" s="12">
        <f>Calcoli!D48</f>
        <v>46288.979166666664</v>
      </c>
      <c r="E24" s="12">
        <f>Calcoli!E48</f>
        <v>46288.9375</v>
      </c>
      <c r="F24" s="12">
        <f>Calcoli!F48</f>
        <v>46288.895833333336</v>
      </c>
      <c r="G24" s="12">
        <f>Calcoli!G48</f>
        <v>46288.6875</v>
      </c>
      <c r="H24" s="12">
        <f>Calcoli!H48</f>
        <v>46288.5625</v>
      </c>
      <c r="I24" s="1"/>
      <c r="J24" s="1">
        <f>Calcoli!R48</f>
        <v>1</v>
      </c>
      <c r="K24" s="1">
        <f>Calcoli!S48</f>
        <v>0</v>
      </c>
      <c r="L24" s="1">
        <f>Calcoli!T48</f>
        <v>0</v>
      </c>
      <c r="M24" s="1">
        <f>Calcoli!U48</f>
        <v>0</v>
      </c>
      <c r="N24" s="1">
        <f>Calcoli!V48</f>
        <v>0</v>
      </c>
      <c r="O24" s="1">
        <f>Calcoli!W48</f>
        <v>2</v>
      </c>
      <c r="P24" s="1">
        <f>Calcoli!X48</f>
        <v>2</v>
      </c>
      <c r="Q24" s="1"/>
      <c r="R24" s="1">
        <f>Calcoli!Z48</f>
        <v>0</v>
      </c>
      <c r="S24" s="1">
        <f>Calcoli!AA48</f>
        <v>0</v>
      </c>
      <c r="T24" s="1">
        <f>Calcoli!AB48</f>
        <v>0</v>
      </c>
      <c r="U24" s="1">
        <f>Calcoli!AC48</f>
        <v>0</v>
      </c>
      <c r="V24" s="1">
        <f>Calcoli!AD48</f>
        <v>0</v>
      </c>
      <c r="W24" s="1">
        <f>Calcoli!AE48</f>
        <v>0</v>
      </c>
      <c r="X24" s="1">
        <f>Calcoli!AF48</f>
        <v>0</v>
      </c>
    </row>
    <row r="25" spans="1:24" ht="13.5" customHeight="1">
      <c r="A25" s="11">
        <f>Calcoli!A49</f>
        <v>46288.875</v>
      </c>
      <c r="B25" s="12">
        <f>Calcoli!B49</f>
        <v>46289.166666666664</v>
      </c>
      <c r="C25" s="12">
        <f>Calcoli!C49</f>
        <v>46289.104166666664</v>
      </c>
      <c r="D25" s="12">
        <f>Calcoli!D49</f>
        <v>46289</v>
      </c>
      <c r="E25" s="12">
        <f>Calcoli!E49</f>
        <v>46288.958333333336</v>
      </c>
      <c r="F25" s="12">
        <f>Calcoli!F49</f>
        <v>46288.916666666664</v>
      </c>
      <c r="G25" s="12">
        <f>Calcoli!G49</f>
        <v>46288.708333333336</v>
      </c>
      <c r="H25" s="12">
        <f>Calcoli!H49</f>
        <v>46288.583333333336</v>
      </c>
      <c r="I25" s="1"/>
      <c r="J25" s="1">
        <f>Calcoli!R49</f>
        <v>1</v>
      </c>
      <c r="K25" s="1">
        <f>Calcoli!S49</f>
        <v>0</v>
      </c>
      <c r="L25" s="1">
        <f>Calcoli!T49</f>
        <v>0</v>
      </c>
      <c r="M25" s="1">
        <f>Calcoli!U49</f>
        <v>0</v>
      </c>
      <c r="N25" s="1">
        <f>Calcoli!V49</f>
        <v>0</v>
      </c>
      <c r="O25" s="1">
        <f>Calcoli!W49</f>
        <v>2</v>
      </c>
      <c r="P25" s="1">
        <f>Calcoli!X49</f>
        <v>2</v>
      </c>
      <c r="Q25" s="1"/>
      <c r="R25" s="1">
        <f>Calcoli!Z49</f>
        <v>0</v>
      </c>
      <c r="S25" s="1">
        <f>Calcoli!AA49</f>
        <v>0</v>
      </c>
      <c r="T25" s="1">
        <f>Calcoli!AB49</f>
        <v>0</v>
      </c>
      <c r="U25" s="1">
        <f>Calcoli!AC49</f>
        <v>0</v>
      </c>
      <c r="V25" s="1">
        <f>Calcoli!AD49</f>
        <v>0</v>
      </c>
      <c r="W25" s="1">
        <f>Calcoli!AE49</f>
        <v>0</v>
      </c>
      <c r="X25" s="1">
        <f>Calcoli!AF49</f>
        <v>0</v>
      </c>
    </row>
    <row r="26" spans="1:24" ht="13.5" customHeight="1">
      <c r="A26" s="11">
        <f>Calcoli!A50</f>
        <v>46288.895833333336</v>
      </c>
      <c r="B26" s="12">
        <f>Calcoli!B50</f>
        <v>46289.1875</v>
      </c>
      <c r="C26" s="12">
        <f>Calcoli!C50</f>
        <v>46289.125</v>
      </c>
      <c r="D26" s="12">
        <f>Calcoli!D50</f>
        <v>46289.020833333336</v>
      </c>
      <c r="E26" s="12">
        <f>Calcoli!E50</f>
        <v>46288.979166666664</v>
      </c>
      <c r="F26" s="12">
        <f>Calcoli!F50</f>
        <v>46288.9375</v>
      </c>
      <c r="G26" s="12">
        <f>Calcoli!G50</f>
        <v>46288.729166666664</v>
      </c>
      <c r="H26" s="12">
        <f>Calcoli!H50</f>
        <v>46288.604166666664</v>
      </c>
      <c r="I26" s="1"/>
      <c r="J26" s="1">
        <f>Calcoli!R50</f>
        <v>1</v>
      </c>
      <c r="K26" s="1">
        <f>Calcoli!S50</f>
        <v>0</v>
      </c>
      <c r="L26" s="1">
        <f>Calcoli!T50</f>
        <v>0</v>
      </c>
      <c r="M26" s="1">
        <f>Calcoli!U50</f>
        <v>0</v>
      </c>
      <c r="N26" s="1">
        <f>Calcoli!V50</f>
        <v>0</v>
      </c>
      <c r="O26" s="1">
        <f>Calcoli!W50</f>
        <v>2</v>
      </c>
      <c r="P26" s="1">
        <f>Calcoli!X50</f>
        <v>2</v>
      </c>
      <c r="Q26" s="1"/>
      <c r="R26" s="1">
        <f>Calcoli!Z50</f>
        <v>0</v>
      </c>
      <c r="S26" s="1">
        <f>Calcoli!AA50</f>
        <v>0</v>
      </c>
      <c r="T26" s="1">
        <f>Calcoli!AB50</f>
        <v>0</v>
      </c>
      <c r="U26" s="1">
        <f>Calcoli!AC50</f>
        <v>0</v>
      </c>
      <c r="V26" s="1">
        <f>Calcoli!AD50</f>
        <v>0</v>
      </c>
      <c r="W26" s="1">
        <f>Calcoli!AE50</f>
        <v>0</v>
      </c>
      <c r="X26" s="1">
        <f>Calcoli!AF50</f>
        <v>0</v>
      </c>
    </row>
    <row r="27" spans="1:24" ht="13.5" customHeight="1">
      <c r="A27" s="11">
        <f>Calcoli!A51</f>
        <v>46288.916666666664</v>
      </c>
      <c r="B27" s="12">
        <f>Calcoli!B51</f>
        <v>46289.208333333336</v>
      </c>
      <c r="C27" s="12">
        <f>Calcoli!C51</f>
        <v>46289.145833333336</v>
      </c>
      <c r="D27" s="12">
        <f>Calcoli!D51</f>
        <v>46289.041666666664</v>
      </c>
      <c r="E27" s="12">
        <f>Calcoli!E51</f>
        <v>46289</v>
      </c>
      <c r="F27" s="12">
        <f>Calcoli!F51</f>
        <v>46288.958333333336</v>
      </c>
      <c r="G27" s="12">
        <f>Calcoli!G51</f>
        <v>46288.75</v>
      </c>
      <c r="H27" s="12">
        <f>Calcoli!H51</f>
        <v>46288.625</v>
      </c>
      <c r="I27" s="1"/>
      <c r="J27" s="1">
        <f>Calcoli!R51</f>
        <v>2</v>
      </c>
      <c r="K27" s="1">
        <f>Calcoli!S51</f>
        <v>0</v>
      </c>
      <c r="L27" s="1">
        <f>Calcoli!T51</f>
        <v>0</v>
      </c>
      <c r="M27" s="1">
        <f>Calcoli!U51</f>
        <v>0</v>
      </c>
      <c r="N27" s="1">
        <f>Calcoli!V51</f>
        <v>0</v>
      </c>
      <c r="O27" s="1">
        <f>Calcoli!W51</f>
        <v>1</v>
      </c>
      <c r="P27" s="1">
        <f>Calcoli!X51</f>
        <v>2</v>
      </c>
      <c r="Q27" s="1"/>
      <c r="R27" s="1">
        <f>Calcoli!Z51</f>
        <v>0</v>
      </c>
      <c r="S27" s="1">
        <f>Calcoli!AA51</f>
        <v>0</v>
      </c>
      <c r="T27" s="1">
        <f>Calcoli!AB51</f>
        <v>0</v>
      </c>
      <c r="U27" s="1">
        <f>Calcoli!AC51</f>
        <v>0</v>
      </c>
      <c r="V27" s="1">
        <f>Calcoli!AD51</f>
        <v>0</v>
      </c>
      <c r="W27" s="1">
        <f>Calcoli!AE51</f>
        <v>0</v>
      </c>
      <c r="X27" s="1">
        <f>Calcoli!AF51</f>
        <v>0</v>
      </c>
    </row>
    <row r="28" spans="1:24" ht="13.5" customHeight="1">
      <c r="A28" s="11">
        <f>Calcoli!A52</f>
        <v>46288.9375</v>
      </c>
      <c r="B28" s="12">
        <f>Calcoli!B52</f>
        <v>46289.229166666664</v>
      </c>
      <c r="C28" s="12">
        <f>Calcoli!C52</f>
        <v>46289.166666666664</v>
      </c>
      <c r="D28" s="12">
        <f>Calcoli!D52</f>
        <v>46289.0625</v>
      </c>
      <c r="E28" s="12">
        <f>Calcoli!E52</f>
        <v>46289.020833333336</v>
      </c>
      <c r="F28" s="12">
        <f>Calcoli!F52</f>
        <v>46288.979166666664</v>
      </c>
      <c r="G28" s="12">
        <f>Calcoli!G52</f>
        <v>46288.770833333336</v>
      </c>
      <c r="H28" s="12">
        <f>Calcoli!H52</f>
        <v>46288.645833333336</v>
      </c>
      <c r="I28" s="1"/>
      <c r="J28" s="1">
        <f>Calcoli!R52</f>
        <v>2</v>
      </c>
      <c r="K28" s="1">
        <f>Calcoli!S52</f>
        <v>0</v>
      </c>
      <c r="L28" s="1">
        <f>Calcoli!T52</f>
        <v>0</v>
      </c>
      <c r="M28" s="1">
        <f>Calcoli!U52</f>
        <v>0</v>
      </c>
      <c r="N28" s="1">
        <f>Calcoli!V52</f>
        <v>0</v>
      </c>
      <c r="O28" s="1">
        <f>Calcoli!W52</f>
        <v>1</v>
      </c>
      <c r="P28" s="1">
        <f>Calcoli!X52</f>
        <v>2</v>
      </c>
      <c r="Q28" s="1"/>
      <c r="R28" s="1">
        <f>Calcoli!Z52</f>
        <v>0</v>
      </c>
      <c r="S28" s="1">
        <f>Calcoli!AA52</f>
        <v>0</v>
      </c>
      <c r="T28" s="1">
        <f>Calcoli!AB52</f>
        <v>0</v>
      </c>
      <c r="U28" s="1">
        <f>Calcoli!AC52</f>
        <v>0</v>
      </c>
      <c r="V28" s="1">
        <f>Calcoli!AD52</f>
        <v>0</v>
      </c>
      <c r="W28" s="1">
        <f>Calcoli!AE52</f>
        <v>0</v>
      </c>
      <c r="X28" s="1">
        <f>Calcoli!AF52</f>
        <v>0</v>
      </c>
    </row>
    <row r="29" spans="1:24" ht="13.5" customHeight="1">
      <c r="A29" s="11">
        <f>Calcoli!A53</f>
        <v>46288.958333333336</v>
      </c>
      <c r="B29" s="12">
        <f>Calcoli!B53</f>
        <v>46289.25</v>
      </c>
      <c r="C29" s="12">
        <f>Calcoli!C53</f>
        <v>46289.1875</v>
      </c>
      <c r="D29" s="12">
        <f>Calcoli!D53</f>
        <v>46289.083333333336</v>
      </c>
      <c r="E29" s="12">
        <f>Calcoli!E53</f>
        <v>46289.041666666664</v>
      </c>
      <c r="F29" s="12">
        <f>Calcoli!F53</f>
        <v>46289</v>
      </c>
      <c r="G29" s="12">
        <f>Calcoli!G53</f>
        <v>46288.791666666664</v>
      </c>
      <c r="H29" s="12">
        <f>Calcoli!H53</f>
        <v>46288.666666666664</v>
      </c>
      <c r="I29" s="1"/>
      <c r="J29" s="1">
        <f>Calcoli!R53</f>
        <v>2</v>
      </c>
      <c r="K29" s="1">
        <f>Calcoli!S53</f>
        <v>0</v>
      </c>
      <c r="L29" s="1">
        <f>Calcoli!T53</f>
        <v>0</v>
      </c>
      <c r="M29" s="1">
        <f>Calcoli!U53</f>
        <v>0</v>
      </c>
      <c r="N29" s="1">
        <f>Calcoli!V53</f>
        <v>0</v>
      </c>
      <c r="O29" s="1">
        <f>Calcoli!W53</f>
        <v>1</v>
      </c>
      <c r="P29" s="1">
        <f>Calcoli!X53</f>
        <v>2</v>
      </c>
      <c r="Q29" s="1"/>
      <c r="R29" s="1">
        <f>Calcoli!Z53</f>
        <v>0</v>
      </c>
      <c r="S29" s="1">
        <f>Calcoli!AA53</f>
        <v>0</v>
      </c>
      <c r="T29" s="1">
        <f>Calcoli!AB53</f>
        <v>0</v>
      </c>
      <c r="U29" s="1">
        <f>Calcoli!AC53</f>
        <v>0</v>
      </c>
      <c r="V29" s="1">
        <f>Calcoli!AD53</f>
        <v>0</v>
      </c>
      <c r="W29" s="1">
        <f>Calcoli!AE53</f>
        <v>0</v>
      </c>
      <c r="X29" s="1">
        <f>Calcoli!AF53</f>
        <v>0</v>
      </c>
    </row>
    <row r="30" spans="1:24" ht="13.5" customHeight="1">
      <c r="A30" s="11">
        <f>Calcoli!A54</f>
        <v>46288.979166666664</v>
      </c>
      <c r="B30" s="12">
        <f>Calcoli!B54</f>
        <v>46289.270833333336</v>
      </c>
      <c r="C30" s="12">
        <f>Calcoli!C54</f>
        <v>46289.208333333336</v>
      </c>
      <c r="D30" s="12">
        <f>Calcoli!D54</f>
        <v>46289.104166666664</v>
      </c>
      <c r="E30" s="12">
        <f>Calcoli!E54</f>
        <v>46289.0625</v>
      </c>
      <c r="F30" s="12">
        <f>Calcoli!F54</f>
        <v>46289.020833333336</v>
      </c>
      <c r="G30" s="12">
        <f>Calcoli!G54</f>
        <v>46288.8125</v>
      </c>
      <c r="H30" s="12">
        <f>Calcoli!H54</f>
        <v>46288.6875</v>
      </c>
      <c r="I30" s="1"/>
      <c r="J30" s="1">
        <f>Calcoli!R54</f>
        <v>2</v>
      </c>
      <c r="K30" s="1">
        <f>Calcoli!S54</f>
        <v>0</v>
      </c>
      <c r="L30" s="1">
        <f>Calcoli!T54</f>
        <v>0</v>
      </c>
      <c r="M30" s="1">
        <f>Calcoli!U54</f>
        <v>0</v>
      </c>
      <c r="N30" s="1">
        <f>Calcoli!V54</f>
        <v>0</v>
      </c>
      <c r="O30" s="1">
        <f>Calcoli!W54</f>
        <v>1</v>
      </c>
      <c r="P30" s="1">
        <f>Calcoli!X54</f>
        <v>2</v>
      </c>
      <c r="Q30" s="1"/>
      <c r="R30" s="1">
        <f>Calcoli!Z54</f>
        <v>0</v>
      </c>
      <c r="S30" s="1">
        <f>Calcoli!AA54</f>
        <v>0</v>
      </c>
      <c r="T30" s="1">
        <f>Calcoli!AB54</f>
        <v>0</v>
      </c>
      <c r="U30" s="1">
        <f>Calcoli!AC54</f>
        <v>0</v>
      </c>
      <c r="V30" s="1">
        <f>Calcoli!AD54</f>
        <v>0</v>
      </c>
      <c r="W30" s="1">
        <f>Calcoli!AE54</f>
        <v>0</v>
      </c>
      <c r="X30" s="1">
        <f>Calcoli!AF54</f>
        <v>0</v>
      </c>
    </row>
    <row r="31" spans="1:24" ht="13.5" customHeight="1">
      <c r="A31" s="11">
        <f>Calcoli!A55</f>
        <v>46289</v>
      </c>
      <c r="B31" s="12">
        <f>Calcoli!B55</f>
        <v>46289.291666666664</v>
      </c>
      <c r="C31" s="12">
        <f>Calcoli!C55</f>
        <v>46289.229166666664</v>
      </c>
      <c r="D31" s="12">
        <f>Calcoli!D55</f>
        <v>46289.125</v>
      </c>
      <c r="E31" s="12">
        <f>Calcoli!E55</f>
        <v>46289.083333333336</v>
      </c>
      <c r="F31" s="12">
        <f>Calcoli!F55</f>
        <v>46289.041666666664</v>
      </c>
      <c r="G31" s="12">
        <f>Calcoli!G55</f>
        <v>46288.833333333336</v>
      </c>
      <c r="H31" s="12">
        <f>Calcoli!H55</f>
        <v>46288.708333333336</v>
      </c>
      <c r="I31" s="1"/>
      <c r="J31" s="1">
        <f>Calcoli!R55</f>
        <v>2</v>
      </c>
      <c r="K31" s="1">
        <f>Calcoli!S55</f>
        <v>0</v>
      </c>
      <c r="L31" s="1">
        <f>Calcoli!T55</f>
        <v>0</v>
      </c>
      <c r="M31" s="1">
        <f>Calcoli!U55</f>
        <v>0</v>
      </c>
      <c r="N31" s="1">
        <f>Calcoli!V55</f>
        <v>0</v>
      </c>
      <c r="O31" s="1">
        <f>Calcoli!W55</f>
        <v>0</v>
      </c>
      <c r="P31" s="1">
        <f>Calcoli!X55</f>
        <v>2</v>
      </c>
      <c r="Q31" s="1"/>
      <c r="R31" s="1">
        <f>Calcoli!Z55</f>
        <v>0</v>
      </c>
      <c r="S31" s="1">
        <f>Calcoli!AA55</f>
        <v>0</v>
      </c>
      <c r="T31" s="1">
        <f>Calcoli!AB55</f>
        <v>0</v>
      </c>
      <c r="U31" s="1">
        <f>Calcoli!AC55</f>
        <v>0</v>
      </c>
      <c r="V31" s="1">
        <f>Calcoli!AD55</f>
        <v>0</v>
      </c>
      <c r="W31" s="1">
        <f>Calcoli!AE55</f>
        <v>0</v>
      </c>
      <c r="X31" s="1">
        <f>Calcoli!AF55</f>
        <v>0</v>
      </c>
    </row>
    <row r="32" spans="1:24" ht="13.5" customHeight="1">
      <c r="A32" s="11">
        <f>Calcoli!A56</f>
        <v>46289.020833333336</v>
      </c>
      <c r="B32" s="12">
        <f>Calcoli!B56</f>
        <v>46289.3125</v>
      </c>
      <c r="C32" s="12">
        <f>Calcoli!C56</f>
        <v>46289.25</v>
      </c>
      <c r="D32" s="12">
        <f>Calcoli!D56</f>
        <v>46289.145833333336</v>
      </c>
      <c r="E32" s="12">
        <f>Calcoli!E56</f>
        <v>46289.104166666664</v>
      </c>
      <c r="F32" s="12">
        <f>Calcoli!F56</f>
        <v>46289.0625</v>
      </c>
      <c r="G32" s="12">
        <f>Calcoli!G56</f>
        <v>46288.854166666664</v>
      </c>
      <c r="H32" s="12">
        <f>Calcoli!H56</f>
        <v>46288.729166666664</v>
      </c>
      <c r="I32" s="1"/>
      <c r="J32" s="1">
        <f>Calcoli!R56</f>
        <v>2</v>
      </c>
      <c r="K32" s="1">
        <f>Calcoli!S56</f>
        <v>0</v>
      </c>
      <c r="L32" s="1">
        <f>Calcoli!T56</f>
        <v>0</v>
      </c>
      <c r="M32" s="1">
        <f>Calcoli!U56</f>
        <v>0</v>
      </c>
      <c r="N32" s="1">
        <f>Calcoli!V56</f>
        <v>0</v>
      </c>
      <c r="O32" s="1">
        <f>Calcoli!W56</f>
        <v>0</v>
      </c>
      <c r="P32" s="1">
        <f>Calcoli!X56</f>
        <v>2</v>
      </c>
      <c r="Q32" s="1"/>
      <c r="R32" s="1">
        <f>Calcoli!Z56</f>
        <v>0</v>
      </c>
      <c r="S32" s="1">
        <f>Calcoli!AA56</f>
        <v>0</v>
      </c>
      <c r="T32" s="1">
        <f>Calcoli!AB56</f>
        <v>0</v>
      </c>
      <c r="U32" s="1">
        <f>Calcoli!AC56</f>
        <v>0</v>
      </c>
      <c r="V32" s="1">
        <f>Calcoli!AD56</f>
        <v>0</v>
      </c>
      <c r="W32" s="1">
        <f>Calcoli!AE56</f>
        <v>0</v>
      </c>
      <c r="X32" s="1">
        <f>Calcoli!AF56</f>
        <v>0</v>
      </c>
    </row>
    <row r="33" spans="1:24" ht="13.5" customHeight="1">
      <c r="A33" s="11">
        <f>Calcoli!A57</f>
        <v>46289.041666666664</v>
      </c>
      <c r="B33" s="12">
        <f>Calcoli!B57</f>
        <v>46289.333333333336</v>
      </c>
      <c r="C33" s="12">
        <f>Calcoli!C57</f>
        <v>46289.270833333336</v>
      </c>
      <c r="D33" s="12">
        <f>Calcoli!D57</f>
        <v>46289.166666666664</v>
      </c>
      <c r="E33" s="12">
        <f>Calcoli!E57</f>
        <v>46289.125</v>
      </c>
      <c r="F33" s="12">
        <f>Calcoli!F57</f>
        <v>46289.083333333336</v>
      </c>
      <c r="G33" s="12">
        <f>Calcoli!G57</f>
        <v>46288.875</v>
      </c>
      <c r="H33" s="12">
        <f>Calcoli!H57</f>
        <v>46288.75</v>
      </c>
      <c r="I33" s="1"/>
      <c r="J33" s="1">
        <f>Calcoli!R57</f>
        <v>2</v>
      </c>
      <c r="K33" s="1">
        <f>Calcoli!S57</f>
        <v>0</v>
      </c>
      <c r="L33" s="1">
        <f>Calcoli!T57</f>
        <v>0</v>
      </c>
      <c r="M33" s="1">
        <f>Calcoli!U57</f>
        <v>0</v>
      </c>
      <c r="N33" s="1">
        <f>Calcoli!V57</f>
        <v>0</v>
      </c>
      <c r="O33" s="1">
        <f>Calcoli!W57</f>
        <v>0</v>
      </c>
      <c r="P33" s="1">
        <f>Calcoli!X57</f>
        <v>1</v>
      </c>
      <c r="Q33" s="1"/>
      <c r="R33" s="1">
        <f>Calcoli!Z57</f>
        <v>0</v>
      </c>
      <c r="S33" s="1">
        <f>Calcoli!AA57</f>
        <v>0</v>
      </c>
      <c r="T33" s="1">
        <f>Calcoli!AB57</f>
        <v>0</v>
      </c>
      <c r="U33" s="1">
        <f>Calcoli!AC57</f>
        <v>0</v>
      </c>
      <c r="V33" s="1">
        <f>Calcoli!AD57</f>
        <v>0</v>
      </c>
      <c r="W33" s="1">
        <f>Calcoli!AE57</f>
        <v>0</v>
      </c>
      <c r="X33" s="1">
        <f>Calcoli!AF57</f>
        <v>0</v>
      </c>
    </row>
    <row r="34" spans="1:24" ht="13.5" customHeight="1">
      <c r="A34" s="11">
        <f>Calcoli!A58</f>
        <v>46289.0625</v>
      </c>
      <c r="B34" s="12">
        <f>Calcoli!B58</f>
        <v>46289.354166666664</v>
      </c>
      <c r="C34" s="12">
        <f>Calcoli!C58</f>
        <v>46289.291666666664</v>
      </c>
      <c r="D34" s="12">
        <f>Calcoli!D58</f>
        <v>46289.1875</v>
      </c>
      <c r="E34" s="12">
        <f>Calcoli!E58</f>
        <v>46289.145833333336</v>
      </c>
      <c r="F34" s="12">
        <f>Calcoli!F58</f>
        <v>46289.104166666664</v>
      </c>
      <c r="G34" s="12">
        <f>Calcoli!G58</f>
        <v>46288.895833333336</v>
      </c>
      <c r="H34" s="12">
        <f>Calcoli!H58</f>
        <v>46288.770833333336</v>
      </c>
      <c r="I34" s="1"/>
      <c r="J34" s="1">
        <f>Calcoli!R58</f>
        <v>2</v>
      </c>
      <c r="K34" s="1">
        <f>Calcoli!S58</f>
        <v>1</v>
      </c>
      <c r="L34" s="1">
        <f>Calcoli!T58</f>
        <v>0</v>
      </c>
      <c r="M34" s="1">
        <f>Calcoli!U58</f>
        <v>0</v>
      </c>
      <c r="N34" s="1">
        <f>Calcoli!V58</f>
        <v>0</v>
      </c>
      <c r="O34" s="1">
        <f>Calcoli!W58</f>
        <v>0</v>
      </c>
      <c r="P34" s="1">
        <f>Calcoli!X58</f>
        <v>1</v>
      </c>
      <c r="Q34" s="1"/>
      <c r="R34" s="1">
        <f>Calcoli!Z58</f>
        <v>0</v>
      </c>
      <c r="S34" s="1">
        <f>Calcoli!AA58</f>
        <v>0</v>
      </c>
      <c r="T34" s="1">
        <f>Calcoli!AB58</f>
        <v>0</v>
      </c>
      <c r="U34" s="1">
        <f>Calcoli!AC58</f>
        <v>0</v>
      </c>
      <c r="V34" s="1">
        <f>Calcoli!AD58</f>
        <v>0</v>
      </c>
      <c r="W34" s="1">
        <f>Calcoli!AE58</f>
        <v>0</v>
      </c>
      <c r="X34" s="1">
        <f>Calcoli!AF58</f>
        <v>0</v>
      </c>
    </row>
    <row r="35" spans="1:24" ht="13.5" customHeight="1">
      <c r="A35" s="11">
        <f>Calcoli!A59</f>
        <v>46289.083333333336</v>
      </c>
      <c r="B35" s="12">
        <f>Calcoli!B59</f>
        <v>46289.375</v>
      </c>
      <c r="C35" s="12">
        <f>Calcoli!C59</f>
        <v>46289.3125</v>
      </c>
      <c r="D35" s="12">
        <f>Calcoli!D59</f>
        <v>46289.208333333336</v>
      </c>
      <c r="E35" s="12">
        <f>Calcoli!E59</f>
        <v>46289.166666666664</v>
      </c>
      <c r="F35" s="12">
        <f>Calcoli!F59</f>
        <v>46289.125</v>
      </c>
      <c r="G35" s="12">
        <f>Calcoli!G59</f>
        <v>46288.916666666664</v>
      </c>
      <c r="H35" s="12">
        <f>Calcoli!H59</f>
        <v>46288.791666666664</v>
      </c>
      <c r="I35" s="1"/>
      <c r="J35" s="1">
        <f>Calcoli!R59</f>
        <v>2</v>
      </c>
      <c r="K35" s="1">
        <f>Calcoli!S59</f>
        <v>1</v>
      </c>
      <c r="L35" s="1">
        <f>Calcoli!T59</f>
        <v>0</v>
      </c>
      <c r="M35" s="1">
        <f>Calcoli!U59</f>
        <v>0</v>
      </c>
      <c r="N35" s="1">
        <f>Calcoli!V59</f>
        <v>0</v>
      </c>
      <c r="O35" s="1">
        <f>Calcoli!W59</f>
        <v>0</v>
      </c>
      <c r="P35" s="1">
        <f>Calcoli!X59</f>
        <v>1</v>
      </c>
      <c r="Q35" s="1"/>
      <c r="R35" s="1">
        <f>Calcoli!Z59</f>
        <v>0</v>
      </c>
      <c r="S35" s="1">
        <f>Calcoli!AA59</f>
        <v>0</v>
      </c>
      <c r="T35" s="1">
        <f>Calcoli!AB59</f>
        <v>0</v>
      </c>
      <c r="U35" s="1">
        <f>Calcoli!AC59</f>
        <v>0</v>
      </c>
      <c r="V35" s="1">
        <f>Calcoli!AD59</f>
        <v>0</v>
      </c>
      <c r="W35" s="1">
        <f>Calcoli!AE59</f>
        <v>0</v>
      </c>
      <c r="X35" s="1">
        <f>Calcoli!AF59</f>
        <v>0</v>
      </c>
    </row>
    <row r="36" spans="1:24" ht="13.5" customHeight="1">
      <c r="A36" s="11">
        <f>Calcoli!A60</f>
        <v>46289.104166666664</v>
      </c>
      <c r="B36" s="12">
        <f>Calcoli!B60</f>
        <v>46289.395833333336</v>
      </c>
      <c r="C36" s="12">
        <f>Calcoli!C60</f>
        <v>46289.333333333336</v>
      </c>
      <c r="D36" s="12">
        <f>Calcoli!D60</f>
        <v>46289.229166666664</v>
      </c>
      <c r="E36" s="12">
        <f>Calcoli!E60</f>
        <v>46289.1875</v>
      </c>
      <c r="F36" s="12">
        <f>Calcoli!F60</f>
        <v>46289.145833333336</v>
      </c>
      <c r="G36" s="12">
        <f>Calcoli!G60</f>
        <v>46288.9375</v>
      </c>
      <c r="H36" s="12">
        <f>Calcoli!H60</f>
        <v>46288.8125</v>
      </c>
      <c r="I36" s="1"/>
      <c r="J36" s="1">
        <f>Calcoli!R60</f>
        <v>2</v>
      </c>
      <c r="K36" s="1">
        <f>Calcoli!S60</f>
        <v>1</v>
      </c>
      <c r="L36" s="1">
        <f>Calcoli!T60</f>
        <v>0</v>
      </c>
      <c r="M36" s="1">
        <f>Calcoli!U60</f>
        <v>0</v>
      </c>
      <c r="N36" s="1">
        <f>Calcoli!V60</f>
        <v>0</v>
      </c>
      <c r="O36" s="1">
        <f>Calcoli!W60</f>
        <v>0</v>
      </c>
      <c r="P36" s="1">
        <f>Calcoli!X60</f>
        <v>1</v>
      </c>
      <c r="Q36" s="1"/>
      <c r="R36" s="1">
        <f>Calcoli!Z60</f>
        <v>0</v>
      </c>
      <c r="S36" s="1">
        <f>Calcoli!AA60</f>
        <v>0</v>
      </c>
      <c r="T36" s="1">
        <f>Calcoli!AB60</f>
        <v>0</v>
      </c>
      <c r="U36" s="1">
        <f>Calcoli!AC60</f>
        <v>0</v>
      </c>
      <c r="V36" s="1">
        <f>Calcoli!AD60</f>
        <v>0</v>
      </c>
      <c r="W36" s="1">
        <f>Calcoli!AE60</f>
        <v>0</v>
      </c>
      <c r="X36" s="1">
        <f>Calcoli!AF60</f>
        <v>0</v>
      </c>
    </row>
    <row r="37" spans="1:24" ht="13.5" customHeight="1">
      <c r="A37" s="11">
        <f>Calcoli!A61</f>
        <v>46289.125</v>
      </c>
      <c r="B37" s="12">
        <f>Calcoli!B61</f>
        <v>46289.416666666664</v>
      </c>
      <c r="C37" s="12">
        <f>Calcoli!C61</f>
        <v>46289.354166666664</v>
      </c>
      <c r="D37" s="12">
        <f>Calcoli!D61</f>
        <v>46289.25</v>
      </c>
      <c r="E37" s="12">
        <f>Calcoli!E61</f>
        <v>46289.208333333336</v>
      </c>
      <c r="F37" s="12">
        <f>Calcoli!F61</f>
        <v>46289.166666666664</v>
      </c>
      <c r="G37" s="12">
        <f>Calcoli!G61</f>
        <v>46288.958333333336</v>
      </c>
      <c r="H37" s="12">
        <f>Calcoli!H61</f>
        <v>46288.833333333336</v>
      </c>
      <c r="I37" s="1"/>
      <c r="J37" s="1">
        <f>Calcoli!R61</f>
        <v>2</v>
      </c>
      <c r="K37" s="1">
        <f>Calcoli!S61</f>
        <v>1</v>
      </c>
      <c r="L37" s="1">
        <f>Calcoli!T61</f>
        <v>0</v>
      </c>
      <c r="M37" s="1">
        <f>Calcoli!U61</f>
        <v>0</v>
      </c>
      <c r="N37" s="1">
        <f>Calcoli!V61</f>
        <v>0</v>
      </c>
      <c r="O37" s="1">
        <f>Calcoli!W61</f>
        <v>0</v>
      </c>
      <c r="P37" s="1">
        <f>Calcoli!X61</f>
        <v>0</v>
      </c>
      <c r="Q37" s="1"/>
      <c r="R37" s="1">
        <f>Calcoli!Z61</f>
        <v>0</v>
      </c>
      <c r="S37" s="1">
        <f>Calcoli!AA61</f>
        <v>0</v>
      </c>
      <c r="T37" s="1">
        <f>Calcoli!AB61</f>
        <v>0</v>
      </c>
      <c r="U37" s="1">
        <f>Calcoli!AC61</f>
        <v>0</v>
      </c>
      <c r="V37" s="1">
        <f>Calcoli!AD61</f>
        <v>0</v>
      </c>
      <c r="W37" s="1">
        <f>Calcoli!AE61</f>
        <v>0</v>
      </c>
      <c r="X37" s="1">
        <f>Calcoli!AF61</f>
        <v>0</v>
      </c>
    </row>
    <row r="38" spans="1:24" ht="13.5" customHeight="1">
      <c r="A38" s="11">
        <f>Calcoli!A62</f>
        <v>46289.145833333336</v>
      </c>
      <c r="B38" s="12">
        <f>Calcoli!B62</f>
        <v>46289.4375</v>
      </c>
      <c r="C38" s="12">
        <f>Calcoli!C62</f>
        <v>46289.375</v>
      </c>
      <c r="D38" s="12">
        <f>Calcoli!D62</f>
        <v>46289.270833333336</v>
      </c>
      <c r="E38" s="12">
        <f>Calcoli!E62</f>
        <v>46289.229166666664</v>
      </c>
      <c r="F38" s="12">
        <f>Calcoli!F62</f>
        <v>46289.1875</v>
      </c>
      <c r="G38" s="12">
        <f>Calcoli!G62</f>
        <v>46288.979166666664</v>
      </c>
      <c r="H38" s="12">
        <f>Calcoli!H62</f>
        <v>46288.854166666664</v>
      </c>
      <c r="I38" s="1"/>
      <c r="J38" s="1">
        <f>Calcoli!R62</f>
        <v>2</v>
      </c>
      <c r="K38" s="1">
        <f>Calcoli!S62</f>
        <v>2</v>
      </c>
      <c r="L38" s="1">
        <f>Calcoli!T62</f>
        <v>0</v>
      </c>
      <c r="M38" s="1">
        <f>Calcoli!U62</f>
        <v>0</v>
      </c>
      <c r="N38" s="1">
        <f>Calcoli!V62</f>
        <v>0</v>
      </c>
      <c r="O38" s="1">
        <f>Calcoli!W62</f>
        <v>0</v>
      </c>
      <c r="P38" s="1">
        <f>Calcoli!X62</f>
        <v>0</v>
      </c>
      <c r="Q38" s="1"/>
      <c r="R38" s="1">
        <f>Calcoli!Z62</f>
        <v>0</v>
      </c>
      <c r="S38" s="1">
        <f>Calcoli!AA62</f>
        <v>0</v>
      </c>
      <c r="T38" s="1">
        <f>Calcoli!AB62</f>
        <v>0</v>
      </c>
      <c r="U38" s="1">
        <f>Calcoli!AC62</f>
        <v>0</v>
      </c>
      <c r="V38" s="1">
        <f>Calcoli!AD62</f>
        <v>0</v>
      </c>
      <c r="W38" s="1">
        <f>Calcoli!AE62</f>
        <v>0</v>
      </c>
      <c r="X38" s="1">
        <f>Calcoli!AF62</f>
        <v>0</v>
      </c>
    </row>
    <row r="39" spans="1:24" ht="13.5" customHeight="1">
      <c r="A39" s="11">
        <f>Calcoli!A63</f>
        <v>46289.166666666664</v>
      </c>
      <c r="B39" s="12">
        <f>Calcoli!B63</f>
        <v>46289.458333333336</v>
      </c>
      <c r="C39" s="12">
        <f>Calcoli!C63</f>
        <v>46289.395833333336</v>
      </c>
      <c r="D39" s="12">
        <f>Calcoli!D63</f>
        <v>46289.291666666664</v>
      </c>
      <c r="E39" s="12">
        <f>Calcoli!E63</f>
        <v>46289.25</v>
      </c>
      <c r="F39" s="12">
        <f>Calcoli!F63</f>
        <v>46289.208333333336</v>
      </c>
      <c r="G39" s="12">
        <f>Calcoli!G63</f>
        <v>46289</v>
      </c>
      <c r="H39" s="12">
        <f>Calcoli!H63</f>
        <v>46288.875</v>
      </c>
      <c r="I39" s="1"/>
      <c r="J39" s="1">
        <f>Calcoli!R63</f>
        <v>2</v>
      </c>
      <c r="K39" s="1">
        <f>Calcoli!S63</f>
        <v>2</v>
      </c>
      <c r="L39" s="1">
        <f>Calcoli!T63</f>
        <v>1</v>
      </c>
      <c r="M39" s="1">
        <f>Calcoli!U63</f>
        <v>0</v>
      </c>
      <c r="N39" s="1">
        <f>Calcoli!V63</f>
        <v>0</v>
      </c>
      <c r="O39" s="1">
        <f>Calcoli!W63</f>
        <v>0</v>
      </c>
      <c r="P39" s="1">
        <f>Calcoli!X63</f>
        <v>0</v>
      </c>
      <c r="Q39" s="1"/>
      <c r="R39" s="1">
        <f>Calcoli!Z63</f>
        <v>0</v>
      </c>
      <c r="S39" s="1">
        <f>Calcoli!AA63</f>
        <v>0</v>
      </c>
      <c r="T39" s="1">
        <f>Calcoli!AB63</f>
        <v>0</v>
      </c>
      <c r="U39" s="1">
        <f>Calcoli!AC63</f>
        <v>0</v>
      </c>
      <c r="V39" s="1">
        <f>Calcoli!AD63</f>
        <v>0</v>
      </c>
      <c r="W39" s="1">
        <f>Calcoli!AE63</f>
        <v>0</v>
      </c>
      <c r="X39" s="1">
        <f>Calcoli!AF63</f>
        <v>0</v>
      </c>
    </row>
    <row r="40" spans="1:24" ht="13.5" customHeight="1">
      <c r="A40" s="11">
        <f>Calcoli!A64</f>
        <v>46289.1875</v>
      </c>
      <c r="B40" s="12">
        <f>Calcoli!B64</f>
        <v>46289.479166666664</v>
      </c>
      <c r="C40" s="12">
        <f>Calcoli!C64</f>
        <v>46289.416666666664</v>
      </c>
      <c r="D40" s="12">
        <f>Calcoli!D64</f>
        <v>46289.3125</v>
      </c>
      <c r="E40" s="12">
        <f>Calcoli!E64</f>
        <v>46289.270833333336</v>
      </c>
      <c r="F40" s="12">
        <f>Calcoli!F64</f>
        <v>46289.229166666664</v>
      </c>
      <c r="G40" s="12">
        <f>Calcoli!G64</f>
        <v>46289.020833333336</v>
      </c>
      <c r="H40" s="12">
        <f>Calcoli!H64</f>
        <v>46288.895833333336</v>
      </c>
      <c r="I40" s="1"/>
      <c r="J40" s="1">
        <f>Calcoli!R64</f>
        <v>2</v>
      </c>
      <c r="K40" s="1">
        <f>Calcoli!S64</f>
        <v>2</v>
      </c>
      <c r="L40" s="1">
        <f>Calcoli!T64</f>
        <v>1</v>
      </c>
      <c r="M40" s="1">
        <f>Calcoli!U64</f>
        <v>0</v>
      </c>
      <c r="N40" s="1">
        <f>Calcoli!V64</f>
        <v>0</v>
      </c>
      <c r="O40" s="1">
        <f>Calcoli!W64</f>
        <v>0</v>
      </c>
      <c r="P40" s="1">
        <f>Calcoli!X64</f>
        <v>0</v>
      </c>
      <c r="Q40" s="1"/>
      <c r="R40" s="1">
        <f>Calcoli!Z64</f>
        <v>0</v>
      </c>
      <c r="S40" s="1">
        <f>Calcoli!AA64</f>
        <v>0</v>
      </c>
      <c r="T40" s="1">
        <f>Calcoli!AB64</f>
        <v>0</v>
      </c>
      <c r="U40" s="1">
        <f>Calcoli!AC64</f>
        <v>0</v>
      </c>
      <c r="V40" s="1">
        <f>Calcoli!AD64</f>
        <v>0</v>
      </c>
      <c r="W40" s="1">
        <f>Calcoli!AE64</f>
        <v>0</v>
      </c>
      <c r="X40" s="1">
        <f>Calcoli!AF64</f>
        <v>0</v>
      </c>
    </row>
    <row r="41" spans="1:24" ht="13.5" customHeight="1">
      <c r="A41" s="11">
        <f>Calcoli!A65</f>
        <v>46289.208333333336</v>
      </c>
      <c r="B41" s="12">
        <f>Calcoli!B65</f>
        <v>46289.5</v>
      </c>
      <c r="C41" s="12">
        <f>Calcoli!C65</f>
        <v>46289.4375</v>
      </c>
      <c r="D41" s="12">
        <f>Calcoli!D65</f>
        <v>46289.333333333336</v>
      </c>
      <c r="E41" s="12">
        <f>Calcoli!E65</f>
        <v>46289.291666666664</v>
      </c>
      <c r="F41" s="12">
        <f>Calcoli!F65</f>
        <v>46289.25</v>
      </c>
      <c r="G41" s="12">
        <f>Calcoli!G65</f>
        <v>46289.041666666664</v>
      </c>
      <c r="H41" s="12">
        <f>Calcoli!H65</f>
        <v>46288.916666666664</v>
      </c>
      <c r="I41" s="1"/>
      <c r="J41" s="1">
        <f>Calcoli!R65</f>
        <v>2</v>
      </c>
      <c r="K41" s="1">
        <f>Calcoli!S65</f>
        <v>2</v>
      </c>
      <c r="L41" s="1">
        <f>Calcoli!T65</f>
        <v>1</v>
      </c>
      <c r="M41" s="1">
        <f>Calcoli!U65</f>
        <v>1</v>
      </c>
      <c r="N41" s="1">
        <f>Calcoli!V65</f>
        <v>0</v>
      </c>
      <c r="O41" s="1">
        <f>Calcoli!W65</f>
        <v>0</v>
      </c>
      <c r="P41" s="1">
        <f>Calcoli!X65</f>
        <v>0</v>
      </c>
      <c r="Q41" s="1"/>
      <c r="R41" s="1">
        <f>Calcoli!Z65</f>
        <v>0</v>
      </c>
      <c r="S41" s="1">
        <f>Calcoli!AA65</f>
        <v>0</v>
      </c>
      <c r="T41" s="1">
        <f>Calcoli!AB65</f>
        <v>0</v>
      </c>
      <c r="U41" s="1">
        <f>Calcoli!AC65</f>
        <v>0</v>
      </c>
      <c r="V41" s="1">
        <f>Calcoli!AD65</f>
        <v>0</v>
      </c>
      <c r="W41" s="1">
        <f>Calcoli!AE65</f>
        <v>0</v>
      </c>
      <c r="X41" s="1">
        <f>Calcoli!AF65</f>
        <v>0</v>
      </c>
    </row>
    <row r="42" spans="1:24" ht="13.5" customHeight="1">
      <c r="A42" s="11">
        <f>Calcoli!A66</f>
        <v>46289.229166666664</v>
      </c>
      <c r="B42" s="12">
        <f>Calcoli!B66</f>
        <v>46289.520833333336</v>
      </c>
      <c r="C42" s="12">
        <f>Calcoli!C66</f>
        <v>46289.458333333336</v>
      </c>
      <c r="D42" s="12">
        <f>Calcoli!D66</f>
        <v>46289.354166666664</v>
      </c>
      <c r="E42" s="12">
        <f>Calcoli!E66</f>
        <v>46289.3125</v>
      </c>
      <c r="F42" s="12">
        <f>Calcoli!F66</f>
        <v>46289.270833333336</v>
      </c>
      <c r="G42" s="12">
        <f>Calcoli!G66</f>
        <v>46289.0625</v>
      </c>
      <c r="H42" s="12">
        <f>Calcoli!H66</f>
        <v>46288.9375</v>
      </c>
      <c r="I42" s="1"/>
      <c r="J42" s="1">
        <f>Calcoli!R66</f>
        <v>2</v>
      </c>
      <c r="K42" s="1">
        <f>Calcoli!S66</f>
        <v>2</v>
      </c>
      <c r="L42" s="1">
        <f>Calcoli!T66</f>
        <v>1</v>
      </c>
      <c r="M42" s="1">
        <f>Calcoli!U66</f>
        <v>1</v>
      </c>
      <c r="N42" s="1">
        <f>Calcoli!V66</f>
        <v>0</v>
      </c>
      <c r="O42" s="1">
        <f>Calcoli!W66</f>
        <v>0</v>
      </c>
      <c r="P42" s="1">
        <f>Calcoli!X66</f>
        <v>0</v>
      </c>
      <c r="Q42" s="1"/>
      <c r="R42" s="1">
        <f>Calcoli!Z66</f>
        <v>0</v>
      </c>
      <c r="S42" s="1">
        <f>Calcoli!AA66</f>
        <v>0</v>
      </c>
      <c r="T42" s="1">
        <f>Calcoli!AB66</f>
        <v>0</v>
      </c>
      <c r="U42" s="1">
        <f>Calcoli!AC66</f>
        <v>0</v>
      </c>
      <c r="V42" s="1">
        <f>Calcoli!AD66</f>
        <v>0</v>
      </c>
      <c r="W42" s="1">
        <f>Calcoli!AE66</f>
        <v>0</v>
      </c>
      <c r="X42" s="1">
        <f>Calcoli!AF66</f>
        <v>0</v>
      </c>
    </row>
    <row r="43" spans="1:24" ht="13.5" customHeight="1">
      <c r="A43" s="11">
        <f>Calcoli!A67</f>
        <v>46289.25</v>
      </c>
      <c r="B43" s="12">
        <f>Calcoli!B67</f>
        <v>46289.541666666664</v>
      </c>
      <c r="C43" s="12">
        <f>Calcoli!C67</f>
        <v>46289.479166666664</v>
      </c>
      <c r="D43" s="12">
        <f>Calcoli!D67</f>
        <v>46289.375</v>
      </c>
      <c r="E43" s="12">
        <f>Calcoli!E67</f>
        <v>46289.333333333336</v>
      </c>
      <c r="F43" s="12">
        <f>Calcoli!F67</f>
        <v>46289.291666666664</v>
      </c>
      <c r="G43" s="12">
        <f>Calcoli!G67</f>
        <v>46289.083333333336</v>
      </c>
      <c r="H43" s="12">
        <f>Calcoli!H67</f>
        <v>46288.958333333336</v>
      </c>
      <c r="I43" s="1"/>
      <c r="J43" s="1">
        <f>Calcoli!R67</f>
        <v>2</v>
      </c>
      <c r="K43" s="1">
        <f>Calcoli!S67</f>
        <v>2</v>
      </c>
      <c r="L43" s="1">
        <f>Calcoli!T67</f>
        <v>2</v>
      </c>
      <c r="M43" s="1">
        <f>Calcoli!U67</f>
        <v>1</v>
      </c>
      <c r="N43" s="1">
        <f>Calcoli!V67</f>
        <v>1</v>
      </c>
      <c r="O43" s="1">
        <f>Calcoli!W67</f>
        <v>0</v>
      </c>
      <c r="P43" s="1">
        <f>Calcoli!X67</f>
        <v>0</v>
      </c>
      <c r="Q43" s="1"/>
      <c r="R43" s="1">
        <f>Calcoli!Z67</f>
        <v>0</v>
      </c>
      <c r="S43" s="1">
        <f>Calcoli!AA67</f>
        <v>0</v>
      </c>
      <c r="T43" s="1">
        <f>Calcoli!AB67</f>
        <v>0</v>
      </c>
      <c r="U43" s="1">
        <f>Calcoli!AC67</f>
        <v>0</v>
      </c>
      <c r="V43" s="1">
        <f>Calcoli!AD67</f>
        <v>0</v>
      </c>
      <c r="W43" s="1">
        <f>Calcoli!AE67</f>
        <v>0</v>
      </c>
      <c r="X43" s="1">
        <f>Calcoli!AF67</f>
        <v>0</v>
      </c>
    </row>
    <row r="44" spans="1:24" ht="13.5" customHeight="1">
      <c r="A44" s="11">
        <f>Calcoli!A68</f>
        <v>46289.270833333336</v>
      </c>
      <c r="B44" s="12">
        <f>Calcoli!B68</f>
        <v>46289.5625</v>
      </c>
      <c r="C44" s="12">
        <f>Calcoli!C68</f>
        <v>46289.5</v>
      </c>
      <c r="D44" s="12">
        <f>Calcoli!D68</f>
        <v>46289.395833333336</v>
      </c>
      <c r="E44" s="12">
        <f>Calcoli!E68</f>
        <v>46289.354166666664</v>
      </c>
      <c r="F44" s="12">
        <f>Calcoli!F68</f>
        <v>46289.3125</v>
      </c>
      <c r="G44" s="12">
        <f>Calcoli!G68</f>
        <v>46289.104166666664</v>
      </c>
      <c r="H44" s="12">
        <f>Calcoli!H68</f>
        <v>46288.979166666664</v>
      </c>
      <c r="I44" s="1"/>
      <c r="J44" s="1">
        <f>Calcoli!R68</f>
        <v>2</v>
      </c>
      <c r="K44" s="1">
        <f>Calcoli!S68</f>
        <v>2</v>
      </c>
      <c r="L44" s="1">
        <f>Calcoli!T68</f>
        <v>2</v>
      </c>
      <c r="M44" s="1">
        <f>Calcoli!U68</f>
        <v>1</v>
      </c>
      <c r="N44" s="1">
        <f>Calcoli!V68</f>
        <v>1</v>
      </c>
      <c r="O44" s="1">
        <f>Calcoli!W68</f>
        <v>0</v>
      </c>
      <c r="P44" s="1">
        <f>Calcoli!X68</f>
        <v>0</v>
      </c>
      <c r="Q44" s="1"/>
      <c r="R44" s="1">
        <f>Calcoli!Z68</f>
        <v>0</v>
      </c>
      <c r="S44" s="1">
        <f>Calcoli!AA68</f>
        <v>0</v>
      </c>
      <c r="T44" s="1">
        <f>Calcoli!AB68</f>
        <v>0</v>
      </c>
      <c r="U44" s="1">
        <f>Calcoli!AC68</f>
        <v>0</v>
      </c>
      <c r="V44" s="1">
        <f>Calcoli!AD68</f>
        <v>0</v>
      </c>
      <c r="W44" s="1">
        <f>Calcoli!AE68</f>
        <v>0</v>
      </c>
      <c r="X44" s="1">
        <f>Calcoli!AF68</f>
        <v>0</v>
      </c>
    </row>
    <row r="45" spans="1:24" ht="13.5" customHeight="1">
      <c r="A45" s="11">
        <f>Calcoli!A69</f>
        <v>46289.291666666664</v>
      </c>
      <c r="B45" s="12">
        <f>Calcoli!B69</f>
        <v>46289.583333333336</v>
      </c>
      <c r="C45" s="12">
        <f>Calcoli!C69</f>
        <v>46289.520833333336</v>
      </c>
      <c r="D45" s="12">
        <f>Calcoli!D69</f>
        <v>46289.416666666664</v>
      </c>
      <c r="E45" s="12">
        <f>Calcoli!E69</f>
        <v>46289.375</v>
      </c>
      <c r="F45" s="12">
        <f>Calcoli!F69</f>
        <v>46289.333333333336</v>
      </c>
      <c r="G45" s="12">
        <f>Calcoli!G69</f>
        <v>46289.125</v>
      </c>
      <c r="H45" s="12">
        <f>Calcoli!H69</f>
        <v>46289</v>
      </c>
      <c r="I45" s="1"/>
      <c r="J45" s="1">
        <f>Calcoli!R69</f>
        <v>2</v>
      </c>
      <c r="K45" s="1">
        <f>Calcoli!S69</f>
        <v>2</v>
      </c>
      <c r="L45" s="1">
        <f>Calcoli!T69</f>
        <v>2</v>
      </c>
      <c r="M45" s="1">
        <f>Calcoli!U69</f>
        <v>2</v>
      </c>
      <c r="N45" s="1">
        <f>Calcoli!V69</f>
        <v>1</v>
      </c>
      <c r="O45" s="1">
        <f>Calcoli!W69</f>
        <v>0</v>
      </c>
      <c r="P45" s="1">
        <f>Calcoli!X69</f>
        <v>0</v>
      </c>
      <c r="Q45" s="1"/>
      <c r="R45" s="1">
        <f>Calcoli!Z69</f>
        <v>0</v>
      </c>
      <c r="S45" s="1">
        <f>Calcoli!AA69</f>
        <v>0</v>
      </c>
      <c r="T45" s="1">
        <f>Calcoli!AB69</f>
        <v>0</v>
      </c>
      <c r="U45" s="1">
        <f>Calcoli!AC69</f>
        <v>0</v>
      </c>
      <c r="V45" s="1">
        <f>Calcoli!AD69</f>
        <v>0</v>
      </c>
      <c r="W45" s="1">
        <f>Calcoli!AE69</f>
        <v>0</v>
      </c>
      <c r="X45" s="1">
        <f>Calcoli!AF69</f>
        <v>0</v>
      </c>
    </row>
    <row r="46" spans="1:24" ht="13.5" customHeight="1">
      <c r="A46" s="11">
        <f>Calcoli!A70</f>
        <v>46289.3125</v>
      </c>
      <c r="B46" s="12">
        <f>Calcoli!B70</f>
        <v>46289.604166666664</v>
      </c>
      <c r="C46" s="12">
        <f>Calcoli!C70</f>
        <v>46289.541666666664</v>
      </c>
      <c r="D46" s="12">
        <f>Calcoli!D70</f>
        <v>46289.4375</v>
      </c>
      <c r="E46" s="12">
        <f>Calcoli!E70</f>
        <v>46289.395833333336</v>
      </c>
      <c r="F46" s="12">
        <f>Calcoli!F70</f>
        <v>46289.354166666664</v>
      </c>
      <c r="G46" s="12">
        <f>Calcoli!G70</f>
        <v>46289.145833333336</v>
      </c>
      <c r="H46" s="12">
        <f>Calcoli!H70</f>
        <v>46289.020833333336</v>
      </c>
      <c r="I46" s="1"/>
      <c r="J46" s="1">
        <f>Calcoli!R70</f>
        <v>2</v>
      </c>
      <c r="K46" s="1">
        <f>Calcoli!S70</f>
        <v>2</v>
      </c>
      <c r="L46" s="1">
        <f>Calcoli!T70</f>
        <v>2</v>
      </c>
      <c r="M46" s="1">
        <f>Calcoli!U70</f>
        <v>2</v>
      </c>
      <c r="N46" s="1">
        <f>Calcoli!V70</f>
        <v>1</v>
      </c>
      <c r="O46" s="1">
        <f>Calcoli!W70</f>
        <v>0</v>
      </c>
      <c r="P46" s="1">
        <f>Calcoli!X70</f>
        <v>0</v>
      </c>
      <c r="Q46" s="1"/>
      <c r="R46" s="1">
        <f>Calcoli!Z70</f>
        <v>0</v>
      </c>
      <c r="S46" s="1">
        <f>Calcoli!AA70</f>
        <v>0</v>
      </c>
      <c r="T46" s="1">
        <f>Calcoli!AB70</f>
        <v>0</v>
      </c>
      <c r="U46" s="1">
        <f>Calcoli!AC70</f>
        <v>0</v>
      </c>
      <c r="V46" s="1">
        <f>Calcoli!AD70</f>
        <v>0</v>
      </c>
      <c r="W46" s="1">
        <f>Calcoli!AE70</f>
        <v>0</v>
      </c>
      <c r="X46" s="1">
        <f>Calcoli!AF70</f>
        <v>0</v>
      </c>
    </row>
    <row r="47" spans="1:24" ht="13.5" customHeight="1">
      <c r="A47" s="11">
        <f>Calcoli!A71</f>
        <v>46289.333333333336</v>
      </c>
      <c r="B47" s="12">
        <f>Calcoli!B71</f>
        <v>46289.625</v>
      </c>
      <c r="C47" s="12">
        <f>Calcoli!C71</f>
        <v>46289.5625</v>
      </c>
      <c r="D47" s="12">
        <f>Calcoli!D71</f>
        <v>46289.458333333336</v>
      </c>
      <c r="E47" s="12">
        <f>Calcoli!E71</f>
        <v>46289.416666666664</v>
      </c>
      <c r="F47" s="12">
        <f>Calcoli!F71</f>
        <v>46289.375</v>
      </c>
      <c r="G47" s="12">
        <f>Calcoli!G71</f>
        <v>46289.166666666664</v>
      </c>
      <c r="H47" s="12">
        <f>Calcoli!H71</f>
        <v>46289.041666666664</v>
      </c>
      <c r="I47" s="1"/>
      <c r="J47" s="1">
        <f>Calcoli!R71</f>
        <v>2</v>
      </c>
      <c r="K47" s="1">
        <f>Calcoli!S71</f>
        <v>2</v>
      </c>
      <c r="L47" s="1">
        <f>Calcoli!T71</f>
        <v>2</v>
      </c>
      <c r="M47" s="1">
        <f>Calcoli!U71</f>
        <v>2</v>
      </c>
      <c r="N47" s="1">
        <f>Calcoli!V71</f>
        <v>2</v>
      </c>
      <c r="O47" s="1">
        <f>Calcoli!W71</f>
        <v>0</v>
      </c>
      <c r="P47" s="1">
        <f>Calcoli!X71</f>
        <v>0</v>
      </c>
      <c r="Q47" s="1"/>
      <c r="R47" s="1">
        <f>Calcoli!Z71</f>
        <v>0</v>
      </c>
      <c r="S47" s="1">
        <f>Calcoli!AA71</f>
        <v>0</v>
      </c>
      <c r="T47" s="1">
        <f>Calcoli!AB71</f>
        <v>0</v>
      </c>
      <c r="U47" s="1">
        <f>Calcoli!AC71</f>
        <v>0</v>
      </c>
      <c r="V47" s="1">
        <f>Calcoli!AD71</f>
        <v>0</v>
      </c>
      <c r="W47" s="1">
        <f>Calcoli!AE71</f>
        <v>0</v>
      </c>
      <c r="X47" s="1">
        <f>Calcoli!AF71</f>
        <v>0</v>
      </c>
    </row>
    <row r="48" spans="1:24" ht="13.5" customHeight="1">
      <c r="A48" s="11">
        <f>Calcoli!A72</f>
        <v>46289.354166666664</v>
      </c>
      <c r="B48" s="12">
        <f>Calcoli!B72</f>
        <v>46289.645833333336</v>
      </c>
      <c r="C48" s="12">
        <f>Calcoli!C72</f>
        <v>46289.583333333336</v>
      </c>
      <c r="D48" s="12">
        <f>Calcoli!D72</f>
        <v>46289.479166666664</v>
      </c>
      <c r="E48" s="12">
        <f>Calcoli!E72</f>
        <v>46289.4375</v>
      </c>
      <c r="F48" s="12">
        <f>Calcoli!F72</f>
        <v>46289.395833333336</v>
      </c>
      <c r="G48" s="12">
        <f>Calcoli!G72</f>
        <v>46289.1875</v>
      </c>
      <c r="H48" s="12">
        <f>Calcoli!H72</f>
        <v>46289.0625</v>
      </c>
      <c r="I48" s="1"/>
      <c r="J48" s="1">
        <f>Calcoli!R72</f>
        <v>2</v>
      </c>
      <c r="K48" s="1">
        <f>Calcoli!S72</f>
        <v>2</v>
      </c>
      <c r="L48" s="1">
        <f>Calcoli!T72</f>
        <v>2</v>
      </c>
      <c r="M48" s="1">
        <f>Calcoli!U72</f>
        <v>2</v>
      </c>
      <c r="N48" s="1">
        <f>Calcoli!V72</f>
        <v>2</v>
      </c>
      <c r="O48" s="1">
        <f>Calcoli!W72</f>
        <v>0</v>
      </c>
      <c r="P48" s="1">
        <f>Calcoli!X72</f>
        <v>0</v>
      </c>
      <c r="Q48" s="1"/>
      <c r="R48" s="1">
        <f>Calcoli!Z72</f>
        <v>0</v>
      </c>
      <c r="S48" s="1">
        <f>Calcoli!AA72</f>
        <v>0</v>
      </c>
      <c r="T48" s="1">
        <f>Calcoli!AB72</f>
        <v>0</v>
      </c>
      <c r="U48" s="1">
        <f>Calcoli!AC72</f>
        <v>0</v>
      </c>
      <c r="V48" s="1">
        <f>Calcoli!AD72</f>
        <v>0</v>
      </c>
      <c r="W48" s="1">
        <f>Calcoli!AE72</f>
        <v>0</v>
      </c>
      <c r="X48" s="1">
        <f>Calcoli!AF72</f>
        <v>0</v>
      </c>
    </row>
    <row r="49" spans="1:24" ht="13.5" customHeight="1">
      <c r="A49" s="11">
        <f>Calcoli!A73</f>
        <v>46289.375</v>
      </c>
      <c r="B49" s="12">
        <f>Calcoli!B73</f>
        <v>46289.666666666664</v>
      </c>
      <c r="C49" s="12">
        <f>Calcoli!C73</f>
        <v>46289.604166666664</v>
      </c>
      <c r="D49" s="12">
        <f>Calcoli!D73</f>
        <v>46289.5</v>
      </c>
      <c r="E49" s="12">
        <f>Calcoli!E73</f>
        <v>46289.458333333336</v>
      </c>
      <c r="F49" s="12">
        <f>Calcoli!F73</f>
        <v>46289.416666666664</v>
      </c>
      <c r="G49" s="12">
        <f>Calcoli!G73</f>
        <v>46289.208333333336</v>
      </c>
      <c r="H49" s="12">
        <f>Calcoli!H73</f>
        <v>46289.083333333336</v>
      </c>
      <c r="I49" s="1"/>
      <c r="J49" s="1">
        <f>Calcoli!R73</f>
        <v>2</v>
      </c>
      <c r="K49" s="1">
        <f>Calcoli!S73</f>
        <v>2</v>
      </c>
      <c r="L49" s="1">
        <f>Calcoli!T73</f>
        <v>2</v>
      </c>
      <c r="M49" s="1">
        <f>Calcoli!U73</f>
        <v>2</v>
      </c>
      <c r="N49" s="1">
        <f>Calcoli!V73</f>
        <v>2</v>
      </c>
      <c r="O49" s="1">
        <f>Calcoli!W73</f>
        <v>0</v>
      </c>
      <c r="P49" s="1">
        <f>Calcoli!X73</f>
        <v>0</v>
      </c>
      <c r="Q49" s="1"/>
      <c r="R49" s="1">
        <f>Calcoli!Z73</f>
        <v>0</v>
      </c>
      <c r="S49" s="1">
        <f>Calcoli!AA73</f>
        <v>0</v>
      </c>
      <c r="T49" s="1">
        <f>Calcoli!AB73</f>
        <v>0</v>
      </c>
      <c r="U49" s="1">
        <f>Calcoli!AC73</f>
        <v>0</v>
      </c>
      <c r="V49" s="1">
        <f>Calcoli!AD73</f>
        <v>0</v>
      </c>
      <c r="W49" s="1">
        <f>Calcoli!AE73</f>
        <v>0</v>
      </c>
      <c r="X49" s="1">
        <f>Calcoli!AF73</f>
        <v>0</v>
      </c>
    </row>
    <row r="50" spans="1:24" ht="13.5" customHeight="1">
      <c r="A50" s="11">
        <f>Calcoli!A74</f>
        <v>46289.395833333336</v>
      </c>
      <c r="B50" s="12">
        <f>Calcoli!B74</f>
        <v>46289.6875</v>
      </c>
      <c r="C50" s="12">
        <f>Calcoli!C74</f>
        <v>46289.625</v>
      </c>
      <c r="D50" s="12">
        <f>Calcoli!D74</f>
        <v>46289.520833333336</v>
      </c>
      <c r="E50" s="12">
        <f>Calcoli!E74</f>
        <v>46289.479166666664</v>
      </c>
      <c r="F50" s="12">
        <f>Calcoli!F74</f>
        <v>46289.4375</v>
      </c>
      <c r="G50" s="12">
        <f>Calcoli!G74</f>
        <v>46289.229166666664</v>
      </c>
      <c r="H50" s="12">
        <f>Calcoli!H74</f>
        <v>46289.104166666664</v>
      </c>
      <c r="I50" s="1"/>
      <c r="J50" s="1">
        <f>Calcoli!R74</f>
        <v>2</v>
      </c>
      <c r="K50" s="1">
        <f>Calcoli!S74</f>
        <v>2</v>
      </c>
      <c r="L50" s="1">
        <f>Calcoli!T74</f>
        <v>2</v>
      </c>
      <c r="M50" s="1">
        <f>Calcoli!U74</f>
        <v>2</v>
      </c>
      <c r="N50" s="1">
        <f>Calcoli!V74</f>
        <v>2</v>
      </c>
      <c r="O50" s="1">
        <f>Calcoli!W74</f>
        <v>0</v>
      </c>
      <c r="P50" s="1">
        <f>Calcoli!X74</f>
        <v>0</v>
      </c>
      <c r="Q50" s="1"/>
      <c r="R50" s="1">
        <f>Calcoli!Z74</f>
        <v>0</v>
      </c>
      <c r="S50" s="1">
        <f>Calcoli!AA74</f>
        <v>0</v>
      </c>
      <c r="T50" s="1">
        <f>Calcoli!AB74</f>
        <v>0</v>
      </c>
      <c r="U50" s="1">
        <f>Calcoli!AC74</f>
        <v>0</v>
      </c>
      <c r="V50" s="1">
        <f>Calcoli!AD74</f>
        <v>0</v>
      </c>
      <c r="W50" s="1">
        <f>Calcoli!AE74</f>
        <v>0</v>
      </c>
      <c r="X50" s="1">
        <f>Calcoli!AF74</f>
        <v>0</v>
      </c>
    </row>
    <row r="51" spans="1:24" ht="13.5" customHeight="1">
      <c r="A51" s="11">
        <f>Calcoli!A75</f>
        <v>46289.416666666664</v>
      </c>
      <c r="B51" s="12">
        <f>Calcoli!B75</f>
        <v>46289.708333333336</v>
      </c>
      <c r="C51" s="12">
        <f>Calcoli!C75</f>
        <v>46289.645833333336</v>
      </c>
      <c r="D51" s="12">
        <f>Calcoli!D75</f>
        <v>46289.541666666664</v>
      </c>
      <c r="E51" s="12">
        <f>Calcoli!E75</f>
        <v>46289.5</v>
      </c>
      <c r="F51" s="12">
        <f>Calcoli!F75</f>
        <v>46289.458333333336</v>
      </c>
      <c r="G51" s="12">
        <f>Calcoli!G75</f>
        <v>46289.25</v>
      </c>
      <c r="H51" s="12">
        <f>Calcoli!H75</f>
        <v>46289.125</v>
      </c>
      <c r="I51" s="1"/>
      <c r="J51" s="1">
        <f>Calcoli!R75</f>
        <v>2</v>
      </c>
      <c r="K51" s="1">
        <f>Calcoli!S75</f>
        <v>2</v>
      </c>
      <c r="L51" s="1">
        <f>Calcoli!T75</f>
        <v>2</v>
      </c>
      <c r="M51" s="1">
        <f>Calcoli!U75</f>
        <v>2</v>
      </c>
      <c r="N51" s="1">
        <f>Calcoli!V75</f>
        <v>2</v>
      </c>
      <c r="O51" s="1">
        <f>Calcoli!W75</f>
        <v>0</v>
      </c>
      <c r="P51" s="1">
        <f>Calcoli!X75</f>
        <v>0</v>
      </c>
      <c r="Q51" s="1"/>
      <c r="R51" s="1">
        <f>Calcoli!Z75</f>
        <v>0</v>
      </c>
      <c r="S51" s="1">
        <f>Calcoli!AA75</f>
        <v>0</v>
      </c>
      <c r="T51" s="1">
        <f>Calcoli!AB75</f>
        <v>0</v>
      </c>
      <c r="U51" s="1">
        <f>Calcoli!AC75</f>
        <v>0</v>
      </c>
      <c r="V51" s="1">
        <f>Calcoli!AD75</f>
        <v>0</v>
      </c>
      <c r="W51" s="1">
        <f>Calcoli!AE75</f>
        <v>0</v>
      </c>
      <c r="X51" s="1">
        <f>Calcoli!AF75</f>
        <v>0</v>
      </c>
    </row>
    <row r="52" spans="1:24" ht="13.5" customHeight="1">
      <c r="A52" s="11">
        <f>Calcoli!A76</f>
        <v>46289.4375</v>
      </c>
      <c r="B52" s="12">
        <f>Calcoli!B76</f>
        <v>46289.729166666664</v>
      </c>
      <c r="C52" s="12">
        <f>Calcoli!C76</f>
        <v>46289.666666666664</v>
      </c>
      <c r="D52" s="12">
        <f>Calcoli!D76</f>
        <v>46289.5625</v>
      </c>
      <c r="E52" s="12">
        <f>Calcoli!E76</f>
        <v>46289.520833333336</v>
      </c>
      <c r="F52" s="12">
        <f>Calcoli!F76</f>
        <v>46289.479166666664</v>
      </c>
      <c r="G52" s="12">
        <f>Calcoli!G76</f>
        <v>46289.270833333336</v>
      </c>
      <c r="H52" s="12">
        <f>Calcoli!H76</f>
        <v>46289.145833333336</v>
      </c>
      <c r="I52" s="1"/>
      <c r="J52" s="1">
        <f>Calcoli!R76</f>
        <v>2</v>
      </c>
      <c r="K52" s="1">
        <f>Calcoli!S76</f>
        <v>2</v>
      </c>
      <c r="L52" s="1">
        <f>Calcoli!T76</f>
        <v>2</v>
      </c>
      <c r="M52" s="1">
        <f>Calcoli!U76</f>
        <v>2</v>
      </c>
      <c r="N52" s="1">
        <f>Calcoli!V76</f>
        <v>2</v>
      </c>
      <c r="O52" s="1">
        <f>Calcoli!W76</f>
        <v>0</v>
      </c>
      <c r="P52" s="1">
        <f>Calcoli!X76</f>
        <v>0</v>
      </c>
      <c r="Q52" s="1"/>
      <c r="R52" s="1">
        <f>Calcoli!Z76</f>
        <v>0</v>
      </c>
      <c r="S52" s="1">
        <f>Calcoli!AA76</f>
        <v>0</v>
      </c>
      <c r="T52" s="1">
        <f>Calcoli!AB76</f>
        <v>0</v>
      </c>
      <c r="U52" s="1">
        <f>Calcoli!AC76</f>
        <v>0</v>
      </c>
      <c r="V52" s="1">
        <f>Calcoli!AD76</f>
        <v>0</v>
      </c>
      <c r="W52" s="1">
        <f>Calcoli!AE76</f>
        <v>0</v>
      </c>
      <c r="X52" s="1">
        <f>Calcoli!AF76</f>
        <v>0</v>
      </c>
    </row>
    <row r="53" spans="1:24" ht="13.5" customHeight="1">
      <c r="A53" s="11">
        <f>Calcoli!A77</f>
        <v>46289.458333333336</v>
      </c>
      <c r="B53" s="12">
        <f>Calcoli!B77</f>
        <v>46289.75</v>
      </c>
      <c r="C53" s="12">
        <f>Calcoli!C77</f>
        <v>46289.6875</v>
      </c>
      <c r="D53" s="12">
        <f>Calcoli!D77</f>
        <v>46289.583333333336</v>
      </c>
      <c r="E53" s="12">
        <f>Calcoli!E77</f>
        <v>46289.541666666664</v>
      </c>
      <c r="F53" s="12">
        <f>Calcoli!F77</f>
        <v>46289.5</v>
      </c>
      <c r="G53" s="12">
        <f>Calcoli!G77</f>
        <v>46289.291666666664</v>
      </c>
      <c r="H53" s="12">
        <f>Calcoli!H77</f>
        <v>46289.166666666664</v>
      </c>
      <c r="I53" s="1"/>
      <c r="J53" s="1">
        <f>Calcoli!R77</f>
        <v>2</v>
      </c>
      <c r="K53" s="1">
        <f>Calcoli!S77</f>
        <v>2</v>
      </c>
      <c r="L53" s="1">
        <f>Calcoli!T77</f>
        <v>2</v>
      </c>
      <c r="M53" s="1">
        <f>Calcoli!U77</f>
        <v>2</v>
      </c>
      <c r="N53" s="1">
        <f>Calcoli!V77</f>
        <v>2</v>
      </c>
      <c r="O53" s="1">
        <f>Calcoli!W77</f>
        <v>1</v>
      </c>
      <c r="P53" s="1">
        <f>Calcoli!X77</f>
        <v>0</v>
      </c>
      <c r="Q53" s="1"/>
      <c r="R53" s="1">
        <f>Calcoli!Z77</f>
        <v>0</v>
      </c>
      <c r="S53" s="1">
        <f>Calcoli!AA77</f>
        <v>0</v>
      </c>
      <c r="T53" s="1">
        <f>Calcoli!AB77</f>
        <v>0</v>
      </c>
      <c r="U53" s="1">
        <f>Calcoli!AC77</f>
        <v>0</v>
      </c>
      <c r="V53" s="1">
        <f>Calcoli!AD77</f>
        <v>0</v>
      </c>
      <c r="W53" s="1">
        <f>Calcoli!AE77</f>
        <v>0</v>
      </c>
      <c r="X53" s="1">
        <f>Calcoli!AF77</f>
        <v>0</v>
      </c>
    </row>
    <row r="54" spans="1:24" ht="13.5" customHeight="1">
      <c r="A54" s="11">
        <f>Calcoli!A78</f>
        <v>46289.479166666664</v>
      </c>
      <c r="B54" s="12">
        <f>Calcoli!B78</f>
        <v>46289.770833333336</v>
      </c>
      <c r="C54" s="12">
        <f>Calcoli!C78</f>
        <v>46289.708333333336</v>
      </c>
      <c r="D54" s="12">
        <f>Calcoli!D78</f>
        <v>46289.604166666664</v>
      </c>
      <c r="E54" s="12">
        <f>Calcoli!E78</f>
        <v>46289.5625</v>
      </c>
      <c r="F54" s="12">
        <f>Calcoli!F78</f>
        <v>46289.520833333336</v>
      </c>
      <c r="G54" s="12">
        <f>Calcoli!G78</f>
        <v>46289.3125</v>
      </c>
      <c r="H54" s="12">
        <f>Calcoli!H78</f>
        <v>46289.1875</v>
      </c>
      <c r="I54" s="1"/>
      <c r="J54" s="1">
        <f>Calcoli!R78</f>
        <v>2</v>
      </c>
      <c r="K54" s="1">
        <f>Calcoli!S78</f>
        <v>2</v>
      </c>
      <c r="L54" s="1">
        <f>Calcoli!T78</f>
        <v>2</v>
      </c>
      <c r="M54" s="1">
        <f>Calcoli!U78</f>
        <v>2</v>
      </c>
      <c r="N54" s="1">
        <f>Calcoli!V78</f>
        <v>2</v>
      </c>
      <c r="O54" s="1">
        <f>Calcoli!W78</f>
        <v>1</v>
      </c>
      <c r="P54" s="1">
        <f>Calcoli!X78</f>
        <v>0</v>
      </c>
      <c r="Q54" s="1"/>
      <c r="R54" s="1">
        <f>Calcoli!Z78</f>
        <v>0</v>
      </c>
      <c r="S54" s="1">
        <f>Calcoli!AA78</f>
        <v>0</v>
      </c>
      <c r="T54" s="1">
        <f>Calcoli!AB78</f>
        <v>0</v>
      </c>
      <c r="U54" s="1">
        <f>Calcoli!AC78</f>
        <v>0</v>
      </c>
      <c r="V54" s="1">
        <f>Calcoli!AD78</f>
        <v>0</v>
      </c>
      <c r="W54" s="1">
        <f>Calcoli!AE78</f>
        <v>0</v>
      </c>
      <c r="X54" s="1">
        <f>Calcoli!AF78</f>
        <v>0</v>
      </c>
    </row>
    <row r="55" spans="1:24" ht="13.5" customHeight="1">
      <c r="A55" s="11">
        <f>Calcoli!A79</f>
        <v>46289.5</v>
      </c>
      <c r="B55" s="12">
        <f>Calcoli!B79</f>
        <v>46289.791666666664</v>
      </c>
      <c r="C55" s="12">
        <f>Calcoli!C79</f>
        <v>46289.729166666664</v>
      </c>
      <c r="D55" s="12">
        <f>Calcoli!D79</f>
        <v>46289.625</v>
      </c>
      <c r="E55" s="12">
        <f>Calcoli!E79</f>
        <v>46289.583333333336</v>
      </c>
      <c r="F55" s="12">
        <f>Calcoli!F79</f>
        <v>46289.541666666664</v>
      </c>
      <c r="G55" s="12">
        <f>Calcoli!G79</f>
        <v>46289.333333333336</v>
      </c>
      <c r="H55" s="12">
        <f>Calcoli!H79</f>
        <v>46289.208333333336</v>
      </c>
      <c r="I55" s="1"/>
      <c r="J55" s="1">
        <f>Calcoli!R79</f>
        <v>2</v>
      </c>
      <c r="K55" s="1">
        <f>Calcoli!S79</f>
        <v>2</v>
      </c>
      <c r="L55" s="1">
        <f>Calcoli!T79</f>
        <v>2</v>
      </c>
      <c r="M55" s="1">
        <f>Calcoli!U79</f>
        <v>2</v>
      </c>
      <c r="N55" s="1">
        <f>Calcoli!V79</f>
        <v>2</v>
      </c>
      <c r="O55" s="1">
        <f>Calcoli!W79</f>
        <v>1</v>
      </c>
      <c r="P55" s="1">
        <f>Calcoli!X79</f>
        <v>0</v>
      </c>
      <c r="Q55" s="1"/>
      <c r="R55" s="1">
        <f>Calcoli!Z79</f>
        <v>0</v>
      </c>
      <c r="S55" s="1">
        <f>Calcoli!AA79</f>
        <v>0</v>
      </c>
      <c r="T55" s="1">
        <f>Calcoli!AB79</f>
        <v>0</v>
      </c>
      <c r="U55" s="1">
        <f>Calcoli!AC79</f>
        <v>0</v>
      </c>
      <c r="V55" s="1">
        <f>Calcoli!AD79</f>
        <v>0</v>
      </c>
      <c r="W55" s="1">
        <f>Calcoli!AE79</f>
        <v>0</v>
      </c>
      <c r="X55" s="1">
        <f>Calcoli!AF79</f>
        <v>0</v>
      </c>
    </row>
    <row r="56" spans="1:24" ht="13.5" customHeight="1">
      <c r="A56" s="11">
        <f>Calcoli!A80</f>
        <v>46289.520833333336</v>
      </c>
      <c r="B56" s="12">
        <f>Calcoli!B80</f>
        <v>46289.8125</v>
      </c>
      <c r="C56" s="12">
        <f>Calcoli!C80</f>
        <v>46289.75</v>
      </c>
      <c r="D56" s="12">
        <f>Calcoli!D80</f>
        <v>46289.645833333336</v>
      </c>
      <c r="E56" s="12">
        <f>Calcoli!E80</f>
        <v>46289.604166666664</v>
      </c>
      <c r="F56" s="12">
        <f>Calcoli!F80</f>
        <v>46289.5625</v>
      </c>
      <c r="G56" s="12">
        <f>Calcoli!G80</f>
        <v>46289.354166666664</v>
      </c>
      <c r="H56" s="12">
        <f>Calcoli!H80</f>
        <v>46289.229166666664</v>
      </c>
      <c r="I56" s="1"/>
      <c r="J56" s="1">
        <f>Calcoli!R80</f>
        <v>2</v>
      </c>
      <c r="K56" s="1">
        <f>Calcoli!S80</f>
        <v>1</v>
      </c>
      <c r="L56" s="1">
        <f>Calcoli!T80</f>
        <v>2</v>
      </c>
      <c r="M56" s="1">
        <f>Calcoli!U80</f>
        <v>2</v>
      </c>
      <c r="N56" s="1">
        <f>Calcoli!V80</f>
        <v>2</v>
      </c>
      <c r="O56" s="1">
        <f>Calcoli!W80</f>
        <v>1</v>
      </c>
      <c r="P56" s="1">
        <f>Calcoli!X80</f>
        <v>0</v>
      </c>
      <c r="Q56" s="1"/>
      <c r="R56" s="1">
        <f>Calcoli!Z80</f>
        <v>0</v>
      </c>
      <c r="S56" s="1">
        <f>Calcoli!AA80</f>
        <v>0</v>
      </c>
      <c r="T56" s="1">
        <f>Calcoli!AB80</f>
        <v>0</v>
      </c>
      <c r="U56" s="1">
        <f>Calcoli!AC80</f>
        <v>0</v>
      </c>
      <c r="V56" s="1">
        <f>Calcoli!AD80</f>
        <v>0</v>
      </c>
      <c r="W56" s="1">
        <f>Calcoli!AE80</f>
        <v>0</v>
      </c>
      <c r="X56" s="1">
        <f>Calcoli!AF80</f>
        <v>0</v>
      </c>
    </row>
    <row r="57" spans="1:24" ht="13.5" customHeight="1">
      <c r="A57" s="11">
        <f>Calcoli!A81</f>
        <v>46289.541666666664</v>
      </c>
      <c r="B57" s="12">
        <f>Calcoli!B81</f>
        <v>46289.833333333336</v>
      </c>
      <c r="C57" s="12">
        <f>Calcoli!C81</f>
        <v>46289.770833333336</v>
      </c>
      <c r="D57" s="12">
        <f>Calcoli!D81</f>
        <v>46289.666666666664</v>
      </c>
      <c r="E57" s="12">
        <f>Calcoli!E81</f>
        <v>46289.625</v>
      </c>
      <c r="F57" s="12">
        <f>Calcoli!F81</f>
        <v>46289.583333333336</v>
      </c>
      <c r="G57" s="12">
        <f>Calcoli!G81</f>
        <v>46289.375</v>
      </c>
      <c r="H57" s="12">
        <f>Calcoli!H81</f>
        <v>46289.25</v>
      </c>
      <c r="I57" s="1"/>
      <c r="J57" s="1">
        <f>Calcoli!R81</f>
        <v>2</v>
      </c>
      <c r="K57" s="1">
        <f>Calcoli!S81</f>
        <v>1</v>
      </c>
      <c r="L57" s="1">
        <f>Calcoli!T81</f>
        <v>2</v>
      </c>
      <c r="M57" s="1">
        <f>Calcoli!U81</f>
        <v>2</v>
      </c>
      <c r="N57" s="1">
        <f>Calcoli!V81</f>
        <v>2</v>
      </c>
      <c r="O57" s="1">
        <f>Calcoli!W81</f>
        <v>2</v>
      </c>
      <c r="P57" s="1">
        <f>Calcoli!X81</f>
        <v>0</v>
      </c>
      <c r="Q57" s="1"/>
      <c r="R57" s="1">
        <f>Calcoli!Z81</f>
        <v>0</v>
      </c>
      <c r="S57" s="1">
        <f>Calcoli!AA81</f>
        <v>0</v>
      </c>
      <c r="T57" s="1">
        <f>Calcoli!AB81</f>
        <v>0</v>
      </c>
      <c r="U57" s="1">
        <f>Calcoli!AC81</f>
        <v>0</v>
      </c>
      <c r="V57" s="1">
        <f>Calcoli!AD81</f>
        <v>0</v>
      </c>
      <c r="W57" s="1">
        <f>Calcoli!AE81</f>
        <v>0</v>
      </c>
      <c r="X57" s="1">
        <f>Calcoli!AF81</f>
        <v>0</v>
      </c>
    </row>
    <row r="58" spans="1:24" ht="13.5" customHeight="1">
      <c r="A58" s="11">
        <f>Calcoli!A82</f>
        <v>46289.5625</v>
      </c>
      <c r="B58" s="12">
        <f>Calcoli!B82</f>
        <v>46289.854166666664</v>
      </c>
      <c r="C58" s="12">
        <f>Calcoli!C82</f>
        <v>46289.791666666664</v>
      </c>
      <c r="D58" s="12">
        <f>Calcoli!D82</f>
        <v>46289.6875</v>
      </c>
      <c r="E58" s="12">
        <f>Calcoli!E82</f>
        <v>46289.645833333336</v>
      </c>
      <c r="F58" s="12">
        <f>Calcoli!F82</f>
        <v>46289.604166666664</v>
      </c>
      <c r="G58" s="12">
        <f>Calcoli!G82</f>
        <v>46289.395833333336</v>
      </c>
      <c r="H58" s="12">
        <f>Calcoli!H82</f>
        <v>46289.270833333336</v>
      </c>
      <c r="I58" s="1"/>
      <c r="J58" s="1">
        <f>Calcoli!R82</f>
        <v>2</v>
      </c>
      <c r="K58" s="1">
        <f>Calcoli!S82</f>
        <v>1</v>
      </c>
      <c r="L58" s="1">
        <f>Calcoli!T82</f>
        <v>2</v>
      </c>
      <c r="M58" s="1">
        <f>Calcoli!U82</f>
        <v>2</v>
      </c>
      <c r="N58" s="1">
        <f>Calcoli!V82</f>
        <v>2</v>
      </c>
      <c r="O58" s="1">
        <f>Calcoli!W82</f>
        <v>2</v>
      </c>
      <c r="P58" s="1">
        <f>Calcoli!X82</f>
        <v>0</v>
      </c>
      <c r="Q58" s="1"/>
      <c r="R58" s="1">
        <f>Calcoli!Z82</f>
        <v>0</v>
      </c>
      <c r="S58" s="1">
        <f>Calcoli!AA82</f>
        <v>0</v>
      </c>
      <c r="T58" s="1">
        <f>Calcoli!AB82</f>
        <v>0</v>
      </c>
      <c r="U58" s="1">
        <f>Calcoli!AC82</f>
        <v>0</v>
      </c>
      <c r="V58" s="1">
        <f>Calcoli!AD82</f>
        <v>0</v>
      </c>
      <c r="W58" s="1">
        <f>Calcoli!AE82</f>
        <v>0</v>
      </c>
      <c r="X58" s="1">
        <f>Calcoli!AF82</f>
        <v>0</v>
      </c>
    </row>
    <row r="59" spans="1:24" ht="13.5" customHeight="1">
      <c r="A59" s="11">
        <f>Calcoli!A83</f>
        <v>46289.583333333336</v>
      </c>
      <c r="B59" s="12">
        <f>Calcoli!B83</f>
        <v>46289.875</v>
      </c>
      <c r="C59" s="12">
        <f>Calcoli!C83</f>
        <v>46289.8125</v>
      </c>
      <c r="D59" s="12">
        <f>Calcoli!D83</f>
        <v>46289.708333333336</v>
      </c>
      <c r="E59" s="12">
        <f>Calcoli!E83</f>
        <v>46289.666666666664</v>
      </c>
      <c r="F59" s="12">
        <f>Calcoli!F83</f>
        <v>46289.625</v>
      </c>
      <c r="G59" s="12">
        <f>Calcoli!G83</f>
        <v>46289.416666666664</v>
      </c>
      <c r="H59" s="12">
        <f>Calcoli!H83</f>
        <v>46289.291666666664</v>
      </c>
      <c r="I59" s="1"/>
      <c r="J59" s="1">
        <f>Calcoli!R83</f>
        <v>2</v>
      </c>
      <c r="K59" s="1">
        <f>Calcoli!S83</f>
        <v>1</v>
      </c>
      <c r="L59" s="1">
        <f>Calcoli!T83</f>
        <v>2</v>
      </c>
      <c r="M59" s="1">
        <f>Calcoli!U83</f>
        <v>2</v>
      </c>
      <c r="N59" s="1">
        <f>Calcoli!V83</f>
        <v>2</v>
      </c>
      <c r="O59" s="1">
        <f>Calcoli!W83</f>
        <v>2</v>
      </c>
      <c r="P59" s="1">
        <f>Calcoli!X83</f>
        <v>1</v>
      </c>
      <c r="Q59" s="1"/>
      <c r="R59" s="1">
        <f>Calcoli!Z83</f>
        <v>0</v>
      </c>
      <c r="S59" s="1">
        <f>Calcoli!AA83</f>
        <v>0</v>
      </c>
      <c r="T59" s="1">
        <f>Calcoli!AB83</f>
        <v>0</v>
      </c>
      <c r="U59" s="1">
        <f>Calcoli!AC83</f>
        <v>0</v>
      </c>
      <c r="V59" s="1">
        <f>Calcoli!AD83</f>
        <v>0</v>
      </c>
      <c r="W59" s="1">
        <f>Calcoli!AE83</f>
        <v>0</v>
      </c>
      <c r="X59" s="1">
        <f>Calcoli!AF83</f>
        <v>0</v>
      </c>
    </row>
    <row r="60" spans="1:24" ht="13.5" customHeight="1">
      <c r="A60" s="11">
        <f>Calcoli!A84</f>
        <v>46289.604166666664</v>
      </c>
      <c r="B60" s="12">
        <f>Calcoli!B84</f>
        <v>46289.895833333336</v>
      </c>
      <c r="C60" s="12">
        <f>Calcoli!C84</f>
        <v>46289.833333333336</v>
      </c>
      <c r="D60" s="12">
        <f>Calcoli!D84</f>
        <v>46289.729166666664</v>
      </c>
      <c r="E60" s="12">
        <f>Calcoli!E84</f>
        <v>46289.6875</v>
      </c>
      <c r="F60" s="12">
        <f>Calcoli!F84</f>
        <v>46289.645833333336</v>
      </c>
      <c r="G60" s="12">
        <f>Calcoli!G84</f>
        <v>46289.4375</v>
      </c>
      <c r="H60" s="12">
        <f>Calcoli!H84</f>
        <v>46289.3125</v>
      </c>
      <c r="I60" s="1"/>
      <c r="J60" s="1">
        <f>Calcoli!R84</f>
        <v>2</v>
      </c>
      <c r="K60" s="1">
        <f>Calcoli!S84</f>
        <v>0</v>
      </c>
      <c r="L60" s="1">
        <f>Calcoli!T84</f>
        <v>2</v>
      </c>
      <c r="M60" s="1">
        <f>Calcoli!U84</f>
        <v>2</v>
      </c>
      <c r="N60" s="1">
        <f>Calcoli!V84</f>
        <v>2</v>
      </c>
      <c r="O60" s="1">
        <f>Calcoli!W84</f>
        <v>2</v>
      </c>
      <c r="P60" s="1">
        <f>Calcoli!X84</f>
        <v>1</v>
      </c>
      <c r="Q60" s="1"/>
      <c r="R60" s="1">
        <f>Calcoli!Z84</f>
        <v>0</v>
      </c>
      <c r="S60" s="1">
        <f>Calcoli!AA84</f>
        <v>0</v>
      </c>
      <c r="T60" s="1">
        <f>Calcoli!AB84</f>
        <v>0</v>
      </c>
      <c r="U60" s="1">
        <f>Calcoli!AC84</f>
        <v>0</v>
      </c>
      <c r="V60" s="1">
        <f>Calcoli!AD84</f>
        <v>0</v>
      </c>
      <c r="W60" s="1">
        <f>Calcoli!AE84</f>
        <v>0</v>
      </c>
      <c r="X60" s="1">
        <f>Calcoli!AF84</f>
        <v>0</v>
      </c>
    </row>
    <row r="61" spans="1:24" ht="13.5" customHeight="1">
      <c r="A61" s="11">
        <f>Calcoli!A85</f>
        <v>46289.625</v>
      </c>
      <c r="B61" s="12">
        <f>Calcoli!B85</f>
        <v>46289.916666666664</v>
      </c>
      <c r="C61" s="12">
        <f>Calcoli!C85</f>
        <v>46289.854166666664</v>
      </c>
      <c r="D61" s="12">
        <f>Calcoli!D85</f>
        <v>46289.75</v>
      </c>
      <c r="E61" s="12">
        <f>Calcoli!E85</f>
        <v>46289.708333333336</v>
      </c>
      <c r="F61" s="12">
        <f>Calcoli!F85</f>
        <v>46289.666666666664</v>
      </c>
      <c r="G61" s="12">
        <f>Calcoli!G85</f>
        <v>46289.458333333336</v>
      </c>
      <c r="H61" s="12">
        <f>Calcoli!H85</f>
        <v>46289.333333333336</v>
      </c>
      <c r="I61" s="1"/>
      <c r="J61" s="1">
        <f>Calcoli!R85</f>
        <v>2</v>
      </c>
      <c r="K61" s="1">
        <f>Calcoli!S85</f>
        <v>0</v>
      </c>
      <c r="L61" s="1">
        <f>Calcoli!T85</f>
        <v>1</v>
      </c>
      <c r="M61" s="1">
        <f>Calcoli!U85</f>
        <v>2</v>
      </c>
      <c r="N61" s="1">
        <f>Calcoli!V85</f>
        <v>2</v>
      </c>
      <c r="O61" s="1">
        <f>Calcoli!W85</f>
        <v>2</v>
      </c>
      <c r="P61" s="1">
        <f>Calcoli!X85</f>
        <v>1</v>
      </c>
      <c r="Q61" s="1"/>
      <c r="R61" s="1">
        <f>Calcoli!Z85</f>
        <v>0</v>
      </c>
      <c r="S61" s="1">
        <f>Calcoli!AA85</f>
        <v>0</v>
      </c>
      <c r="T61" s="1">
        <f>Calcoli!AB85</f>
        <v>0</v>
      </c>
      <c r="U61" s="1">
        <f>Calcoli!AC85</f>
        <v>0</v>
      </c>
      <c r="V61" s="1">
        <f>Calcoli!AD85</f>
        <v>0</v>
      </c>
      <c r="W61" s="1">
        <f>Calcoli!AE85</f>
        <v>0</v>
      </c>
      <c r="X61" s="1">
        <f>Calcoli!AF85</f>
        <v>0</v>
      </c>
    </row>
    <row r="62" spans="1:24" ht="13.5" customHeight="1">
      <c r="A62" s="11">
        <f>Calcoli!A86</f>
        <v>46289.645833333336</v>
      </c>
      <c r="B62" s="12">
        <f>Calcoli!B86</f>
        <v>46289.9375</v>
      </c>
      <c r="C62" s="12">
        <f>Calcoli!C86</f>
        <v>46289.875</v>
      </c>
      <c r="D62" s="12">
        <f>Calcoli!D86</f>
        <v>46289.770833333336</v>
      </c>
      <c r="E62" s="12">
        <f>Calcoli!E86</f>
        <v>46289.729166666664</v>
      </c>
      <c r="F62" s="12">
        <f>Calcoli!F86</f>
        <v>46289.6875</v>
      </c>
      <c r="G62" s="12">
        <f>Calcoli!G86</f>
        <v>46289.479166666664</v>
      </c>
      <c r="H62" s="12">
        <f>Calcoli!H86</f>
        <v>46289.354166666664</v>
      </c>
      <c r="I62" s="1"/>
      <c r="J62" s="1">
        <f>Calcoli!R86</f>
        <v>2</v>
      </c>
      <c r="K62" s="1">
        <f>Calcoli!S86</f>
        <v>0</v>
      </c>
      <c r="L62" s="1">
        <f>Calcoli!T86</f>
        <v>1</v>
      </c>
      <c r="M62" s="1">
        <f>Calcoli!U86</f>
        <v>2</v>
      </c>
      <c r="N62" s="1">
        <f>Calcoli!V86</f>
        <v>2</v>
      </c>
      <c r="O62" s="1">
        <f>Calcoli!W86</f>
        <v>2</v>
      </c>
      <c r="P62" s="1">
        <f>Calcoli!X86</f>
        <v>1</v>
      </c>
      <c r="Q62" s="1"/>
      <c r="R62" s="1">
        <f>Calcoli!Z86</f>
        <v>0</v>
      </c>
      <c r="S62" s="1">
        <f>Calcoli!AA86</f>
        <v>0</v>
      </c>
      <c r="T62" s="1">
        <f>Calcoli!AB86</f>
        <v>0</v>
      </c>
      <c r="U62" s="1">
        <f>Calcoli!AC86</f>
        <v>0</v>
      </c>
      <c r="V62" s="1">
        <f>Calcoli!AD86</f>
        <v>0</v>
      </c>
      <c r="W62" s="1">
        <f>Calcoli!AE86</f>
        <v>0</v>
      </c>
      <c r="X62" s="1">
        <f>Calcoli!AF86</f>
        <v>0</v>
      </c>
    </row>
    <row r="63" spans="1:24" ht="13.5" customHeight="1">
      <c r="A63" s="11">
        <f>Calcoli!A87</f>
        <v>46289.666666666664</v>
      </c>
      <c r="B63" s="12">
        <f>Calcoli!B87</f>
        <v>46289.958333333336</v>
      </c>
      <c r="C63" s="12">
        <f>Calcoli!C87</f>
        <v>46289.895833333336</v>
      </c>
      <c r="D63" s="12">
        <f>Calcoli!D87</f>
        <v>46289.791666666664</v>
      </c>
      <c r="E63" s="12">
        <f>Calcoli!E87</f>
        <v>46289.75</v>
      </c>
      <c r="F63" s="12">
        <f>Calcoli!F87</f>
        <v>46289.708333333336</v>
      </c>
      <c r="G63" s="12">
        <f>Calcoli!G87</f>
        <v>46289.5</v>
      </c>
      <c r="H63" s="12">
        <f>Calcoli!H87</f>
        <v>46289.375</v>
      </c>
      <c r="I63" s="1"/>
      <c r="J63" s="1">
        <f>Calcoli!R87</f>
        <v>1</v>
      </c>
      <c r="K63" s="1">
        <f>Calcoli!S87</f>
        <v>0</v>
      </c>
      <c r="L63" s="1">
        <f>Calcoli!T87</f>
        <v>1</v>
      </c>
      <c r="M63" s="1">
        <f>Calcoli!U87</f>
        <v>1</v>
      </c>
      <c r="N63" s="1">
        <f>Calcoli!V87</f>
        <v>2</v>
      </c>
      <c r="O63" s="1">
        <f>Calcoli!W87</f>
        <v>2</v>
      </c>
      <c r="P63" s="1">
        <f>Calcoli!X87</f>
        <v>2</v>
      </c>
      <c r="Q63" s="1"/>
      <c r="R63" s="1">
        <f>Calcoli!Z87</f>
        <v>0</v>
      </c>
      <c r="S63" s="1">
        <f>Calcoli!AA87</f>
        <v>0</v>
      </c>
      <c r="T63" s="1">
        <f>Calcoli!AB87</f>
        <v>0</v>
      </c>
      <c r="U63" s="1">
        <f>Calcoli!AC87</f>
        <v>0</v>
      </c>
      <c r="V63" s="1">
        <f>Calcoli!AD87</f>
        <v>0</v>
      </c>
      <c r="W63" s="1">
        <f>Calcoli!AE87</f>
        <v>0</v>
      </c>
      <c r="X63" s="1">
        <f>Calcoli!AF87</f>
        <v>0</v>
      </c>
    </row>
    <row r="64" spans="1:24" ht="13.5" customHeight="1">
      <c r="A64" s="11">
        <f>Calcoli!A88</f>
        <v>46289.6875</v>
      </c>
      <c r="B64" s="12">
        <f>Calcoli!B88</f>
        <v>46289.979166666664</v>
      </c>
      <c r="C64" s="12">
        <f>Calcoli!C88</f>
        <v>46289.916666666664</v>
      </c>
      <c r="D64" s="12">
        <f>Calcoli!D88</f>
        <v>46289.8125</v>
      </c>
      <c r="E64" s="12">
        <f>Calcoli!E88</f>
        <v>46289.770833333336</v>
      </c>
      <c r="F64" s="12">
        <f>Calcoli!F88</f>
        <v>46289.729166666664</v>
      </c>
      <c r="G64" s="12">
        <f>Calcoli!G88</f>
        <v>46289.520833333336</v>
      </c>
      <c r="H64" s="12">
        <f>Calcoli!H88</f>
        <v>46289.395833333336</v>
      </c>
      <c r="I64" s="1"/>
      <c r="J64" s="1">
        <f>Calcoli!R88</f>
        <v>1</v>
      </c>
      <c r="K64" s="1">
        <f>Calcoli!S88</f>
        <v>0</v>
      </c>
      <c r="L64" s="1">
        <f>Calcoli!T88</f>
        <v>1</v>
      </c>
      <c r="M64" s="1">
        <f>Calcoli!U88</f>
        <v>1</v>
      </c>
      <c r="N64" s="1">
        <f>Calcoli!V88</f>
        <v>2</v>
      </c>
      <c r="O64" s="1">
        <f>Calcoli!W88</f>
        <v>2</v>
      </c>
      <c r="P64" s="1">
        <f>Calcoli!X88</f>
        <v>2</v>
      </c>
      <c r="Q64" s="1"/>
      <c r="R64" s="1">
        <f>Calcoli!Z88</f>
        <v>0</v>
      </c>
      <c r="S64" s="1">
        <f>Calcoli!AA88</f>
        <v>0</v>
      </c>
      <c r="T64" s="1">
        <f>Calcoli!AB88</f>
        <v>0</v>
      </c>
      <c r="U64" s="1">
        <f>Calcoli!AC88</f>
        <v>0</v>
      </c>
      <c r="V64" s="1">
        <f>Calcoli!AD88</f>
        <v>0</v>
      </c>
      <c r="W64" s="1">
        <f>Calcoli!AE88</f>
        <v>0</v>
      </c>
      <c r="X64" s="1">
        <f>Calcoli!AF88</f>
        <v>0</v>
      </c>
    </row>
    <row r="65" spans="1:24" ht="28.05" customHeight="1">
      <c r="A65" s="37" t="s">
        <v>1459</v>
      </c>
      <c r="B65" s="37" t="str">
        <f>IF(COUNTIF(Weather[Code],B9)=0,"Not loaded",IF(INDEX(Weather[TemperatureC],MATCH(B9,Weather[Code],0))="","Non disponibile",IF(OR(LEFT(INDEX(Weather[Status],MATCH(B9,Weather[Code],0)),5)="stale",ISNUMBER(SEARCH("aged",INDEX(Weather[Status],MATCH(B9,Weather[Code],0))))),"! ","")&amp;Calcoli!B96&amp;" "&amp;ROUND(INDEX(Weather[TemperatureC],MATCH(B9,Weather[Code],0)),0)&amp;" °C "&amp;LEFT(INDEX(Weather[Description],MATCH(B9,Weather[Code],0)),15)&amp;CHAR(10)&amp;TEXT(DAY(INDEX(Weather[ObservedUtc],MATCH(B9,Weather[Code],0))),"00")&amp;"/"&amp;TEXT(MONTH(INDEX(Weather[ObservedUtc],MATCH(B9,Weather[Code],0))),"00")&amp;" "&amp;TEXT(HOUR(INDEX(Weather[ObservedUtc],MATCH(B9,Weather[Code],0))),"00")&amp;":"&amp;TEXT(MINUTE(INDEX(Weather[ObservedUtc],MATCH(B9,Weather[Code],0))),"00")&amp;" UTC"))</f>
        <v xml:space="preserve"> 26 °C few clouds
23/09 20:56 UTC</v>
      </c>
      <c r="C65" s="37" t="str">
        <f>IF(COUNTIF(Weather[Code],C9)=0,"Not loaded",IF(INDEX(Weather[TemperatureC],MATCH(C9,Weather[Code],0))="","Non disponibile",IF(OR(LEFT(INDEX(Weather[Status],MATCH(C9,Weather[Code],0)),5)="stale",ISNUMBER(SEARCH("aged",INDEX(Weather[Status],MATCH(C9,Weather[Code],0))))),"! ","")&amp;Calcoli!C96&amp;" "&amp;ROUND(INDEX(Weather[TemperatureC],MATCH(C9,Weather[Code],0)),0)&amp;" °C "&amp;LEFT(INDEX(Weather[Description],MATCH(C9,Weather[Code],0)),15)&amp;CHAR(10)&amp;TEXT(DAY(INDEX(Weather[ObservedUtc],MATCH(C9,Weather[Code],0))),"00")&amp;"/"&amp;TEXT(MONTH(INDEX(Weather[ObservedUtc],MATCH(C9,Weather[Code],0))),"00")&amp;" "&amp;TEXT(HOUR(INDEX(Weather[ObservedUtc],MATCH(C9,Weather[Code],0))),"00")&amp;":"&amp;TEXT(MINUTE(INDEX(Weather[ObservedUtc],MATCH(C9,Weather[Code],0))),"00")&amp;" UTC"))</f>
        <v>🌧️ 29 °C light rain
23/09 20:56 UTC</v>
      </c>
      <c r="D65" s="37" t="str">
        <f>IF(COUNTIF(Weather[Code],D9)=0,"Not loaded",IF(INDEX(Weather[TemperatureC],MATCH(D9,Weather[Code],0))="","Non disponibile",IF(OR(LEFT(INDEX(Weather[Status],MATCH(D9,Weather[Code],0)),5)="stale",ISNUMBER(SEARCH("aged",INDEX(Weather[Status],MATCH(D9,Weather[Code],0))))),"! ","")&amp;Calcoli!D96&amp;" "&amp;ROUND(INDEX(Weather[TemperatureC],MATCH(D9,Weather[Code],0)),0)&amp;" °C "&amp;LEFT(INDEX(Weather[Description],MATCH(D9,Weather[Code],0)),15)&amp;CHAR(10)&amp;TEXT(DAY(INDEX(Weather[ObservedUtc],MATCH(D9,Weather[Code],0))),"00")&amp;"/"&amp;TEXT(MONTH(INDEX(Weather[ObservedUtc],MATCH(D9,Weather[Code],0))),"00")&amp;" "&amp;TEXT(HOUR(INDEX(Weather[ObservedUtc],MATCH(D9,Weather[Code],0))),"00")&amp;":"&amp;TEXT(MINUTE(INDEX(Weather[ObservedUtc],MATCH(D9,Weather[Code],0))),"00")&amp;" UTC"))</f>
        <v>⛅ 9 °C scattered clouds
23/09 20:56 UTC</v>
      </c>
      <c r="E65" s="37" t="str">
        <f>IF(COUNTIF(Weather[Code],E9)=0,"Not loaded",IF(INDEX(Weather[TemperatureC],MATCH(E9,Weather[Code],0))="","Non disponibile",IF(OR(LEFT(INDEX(Weather[Status],MATCH(E9,Weather[Code],0)),5)="stale",ISNUMBER(SEARCH("aged",INDEX(Weather[Status],MATCH(E9,Weather[Code],0))))),"! ","")&amp;Calcoli!E96&amp;" "&amp;ROUND(INDEX(Weather[TemperatureC],MATCH(E9,Weather[Code],0)),0)&amp;" °C "&amp;LEFT(INDEX(Weather[Description],MATCH(E9,Weather[Code],0)),15)&amp;CHAR(10)&amp;TEXT(DAY(INDEX(Weather[ObservedUtc],MATCH(E9,Weather[Code],0))),"00")&amp;"/"&amp;TEXT(MONTH(INDEX(Weather[ObservedUtc],MATCH(E9,Weather[Code],0))),"00")&amp;" "&amp;TEXT(HOUR(INDEX(Weather[ObservedUtc],MATCH(E9,Weather[Code],0))),"00")&amp;":"&amp;TEXT(MINUTE(INDEX(Weather[ObservedUtc],MATCH(E9,Weather[Code],0))),"00")&amp;" UTC"))</f>
        <v>☀️ 21 °C clear sky
23/09 20:56 UTC</v>
      </c>
      <c r="F65" s="37" t="str">
        <f>IF(COUNTIF(Weather[Code],F9)=0,"Not loaded",IF(INDEX(Weather[TemperatureC],MATCH(F9,Weather[Code],0))="","Non disponibile",IF(OR(LEFT(INDEX(Weather[Status],MATCH(F9,Weather[Code],0)),5)="stale",ISNUMBER(SEARCH("aged",INDEX(Weather[Status],MATCH(F9,Weather[Code],0))))),"! ","")&amp;Calcoli!F96&amp;" "&amp;ROUND(INDEX(Weather[TemperatureC],MATCH(F9,Weather[Code],0)),0)&amp;" °C "&amp;LEFT(INDEX(Weather[Description],MATCH(F9,Weather[Code],0)),15)&amp;CHAR(10)&amp;TEXT(DAY(INDEX(Weather[ObservedUtc],MATCH(F9,Weather[Code],0))),"00")&amp;"/"&amp;TEXT(MONTH(INDEX(Weather[ObservedUtc],MATCH(F9,Weather[Code],0))),"00")&amp;" "&amp;TEXT(HOUR(INDEX(Weather[ObservedUtc],MATCH(F9,Weather[Code],0))),"00")&amp;":"&amp;TEXT(MINUTE(INDEX(Weather[ObservedUtc],MATCH(F9,Weather[Code],0))),"00")&amp;" UTC"))</f>
        <v>⛅ 16 °C scattered clouds
23/09 20:55 UTC</v>
      </c>
      <c r="G65" s="37" t="str">
        <f>IF(COUNTIF(Weather[Code],G9)=0,"Not loaded",IF(INDEX(Weather[TemperatureC],MATCH(G9,Weather[Code],0))="","Non disponibile",IF(OR(LEFT(INDEX(Weather[Status],MATCH(G9,Weather[Code],0)),5)="stale",ISNUMBER(SEARCH("aged",INDEX(Weather[Status],MATCH(G9,Weather[Code],0))))),"! ","")&amp;Calcoli!G96&amp;" "&amp;ROUND(INDEX(Weather[TemperatureC],MATCH(G9,Weather[Code],0)),0)&amp;" °C "&amp;LEFT(INDEX(Weather[Description],MATCH(G9,Weather[Code],0)),15)&amp;CHAR(10)&amp;TEXT(DAY(INDEX(Weather[ObservedUtc],MATCH(G9,Weather[Code],0))),"00")&amp;"/"&amp;TEXT(MONTH(INDEX(Weather[ObservedUtc],MATCH(G9,Weather[Code],0))),"00")&amp;" "&amp;TEXT(HOUR(INDEX(Weather[ObservedUtc],MATCH(G9,Weather[Code],0))),"00")&amp;":"&amp;TEXT(MINUTE(INDEX(Weather[ObservedUtc],MATCH(G9,Weather[Code],0))),"00")&amp;" UTC"))</f>
        <v>🌡️ 20 °C overcast
23/09 20:55 UTC</v>
      </c>
      <c r="H65" s="37" t="str">
        <f>IF(COUNTIF(Weather[Code],H9)=0,"Not loaded",IF(INDEX(Weather[TemperatureC],MATCH(H9,Weather[Code],0))="","Non disponibile",IF(OR(LEFT(INDEX(Weather[Status],MATCH(H9,Weather[Code],0)),5)="stale",ISNUMBER(SEARCH("aged",INDEX(Weather[Status],MATCH(H9,Weather[Code],0))))),"! ","")&amp;Calcoli!H96&amp;" "&amp;ROUND(INDEX(Weather[TemperatureC],MATCH(H9,Weather[Code],0)),0)&amp;" °C "&amp;LEFT(INDEX(Weather[Description],MATCH(H9,Weather[Code],0)),15)&amp;CHAR(10)&amp;TEXT(DAY(INDEX(Weather[ObservedUtc],MATCH(H9,Weather[Code],0))),"00")&amp;"/"&amp;TEXT(MONTH(INDEX(Weather[ObservedUtc],MATCH(H9,Weather[Code],0))),"00")&amp;" "&amp;TEXT(HOUR(INDEX(Weather[ObservedUtc],MATCH(H9,Weather[Code],0))),"00")&amp;":"&amp;TEXT(MINUTE(INDEX(Weather[ObservedUtc],MATCH(H9,Weather[Code],0))),"00")&amp;" UTC"))</f>
        <v>☀️ 29 °C clear sky
23/09 20:52 UTC</v>
      </c>
      <c r="I65" s="1"/>
      <c r="J65" s="1"/>
      <c r="K65" s="1"/>
      <c r="L65" s="1"/>
      <c r="M65" s="1"/>
      <c r="N65" s="1"/>
      <c r="O65" s="1"/>
      <c r="P65" s="1"/>
      <c r="Q65" s="1"/>
      <c r="R65" s="1"/>
      <c r="S65" s="1"/>
      <c r="T65" s="1"/>
      <c r="U65" s="1"/>
      <c r="V65" s="1"/>
      <c r="W65" s="1"/>
      <c r="X65" s="1"/>
    </row>
    <row r="66" spans="1:24" ht="16.05" customHeight="1">
      <c r="A66" s="51" t="s">
        <v>1460</v>
      </c>
      <c r="B66" s="51"/>
      <c r="C66" s="51"/>
      <c r="D66" s="51"/>
      <c r="E66" s="51"/>
      <c r="F66" s="51"/>
      <c r="G66" s="51"/>
      <c r="H66" s="51"/>
      <c r="I66" s="1"/>
      <c r="J66" s="1"/>
      <c r="K66" s="1"/>
      <c r="L66" s="1"/>
      <c r="M66" s="1"/>
      <c r="N66" s="1"/>
      <c r="O66" s="1"/>
      <c r="P66" s="1"/>
      <c r="Q66" s="1"/>
      <c r="R66" s="1"/>
      <c r="S66" s="1"/>
      <c r="T66" s="1"/>
      <c r="U66" s="1"/>
      <c r="V66" s="1"/>
      <c r="W66" s="1"/>
      <c r="X66" s="1"/>
    </row>
  </sheetData>
  <WedgeCells count="11">
    <WedgeCell ref="A66:H66"/>
    <WedgeCell ref="A1:H1"/>
    <WedgeCell ref="A2:H2"/>
    <WedgeCell ref="A3:H3"/>
    <WedgeCell ref="A15:H15"/>
    <WedgeCell ref="F5:H5"/>
    <WedgeCell ref="A6:B6"/>
    <WedgeCell ref="C6:D6"/>
    <WedgeCell ref="E6:F6"/>
    <WedgeCell ref="G6:H6"/>
    <WedgeCell ref="A7:H7"/>
  </WedgeCells>
  <conditionalFormatting sqref="B17:H64">
    <cfRule type="expression" dxfId="3" priority="1">
      <formula>J17=2</formula>
    </cfRule>
    <cfRule type="expression" dxfId="2" priority="2">
      <formula>J17=1</formula>
    </cfRule>
    <cfRule type="expression" dxfId="1" priority="3">
      <formula>J17=-1</formula>
    </cfRule>
    <cfRule type="expression" dxfId="0" priority="4">
      <formula>R17&gt;=1</formula>
    </cfRule>
  </conditionalFormatting>
  <printOptions horizontalCentered="1"/>
  <pagemargins left="0.25" right="0.25" top="0.75" bottom="0.75" header="0.3" footer="0.3"/>
  <pageSetup paperSize="9" scale="61" fitToHeight="2" orientation="landscape" r:id="rId1"/>
  <headerFooter>
    <oddFooter>&amp;R&amp;"Arial"&amp;8&amp;P / &amp;N&amp;L&amp;"Arial"&amp;8WorkTrail · Planner indipendente</oddFooter>
  </headerFooter>
  <rowBreaks count="1" manualBreakCount="1">
    <brk id="40" max="7" man="1"/>
  </rowBreaks>
</worksheet>
</file>

<file path=xl/worksheets/sheet6.xml><?xml version="1.0" encoding="utf-8"?>
<worksheet xmlns="http://schemas.openxmlformats.org/spreadsheetml/2006/main" xmlns:r="http://schemas.openxmlformats.org/officeDocument/2006/relationships" xmlns:mc="http://schemas.openxmlformats.org/Tue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E9448"/>
  </sheetPr>
  <dimension ref="A1:F545"/>
  <sheetViews>
    <sheetView showGridLines="0" zoomScale="90" zoomScaleNormal="90" workbookViewId="0">
      <pane ySplit="29" topLeftCell="A371" activePane="bottomLeft" state="frozen"/>
      <selection pane="bottomLeft" activeCell="B9" sqref="B9"/>
    </sheetView>
  </sheetViews>
  <sheetFormatPr defaultRowHeight="13.5"/>
  <cols>
    <col min="1" max="1" width="16" customWidth="1"/>
    <col min="2" max="2" width="29" customWidth="1"/>
    <col min="3" max="3" width="38" customWidth="1"/>
    <col min="4" max="4" width="17" customWidth="1"/>
    <col min="5" max="5" width="46" customWidth="1"/>
    <col min="6" max="6" width="58" customWidth="1"/>
  </cols>
  <sheetData>
    <row r="1" spans="1:6" ht="21.4">
      <c r="A1" s="83" t="s">
        <v>70</v>
      </c>
      <c r="B1" s="82"/>
      <c r="C1" s="82"/>
      <c r="D1" s="82"/>
      <c r="E1" s="82"/>
      <c r="F1" s="82"/>
    </row>
    <row r="2" spans="1:6">
      <c r="A2" s="82" t="s">
        <v>916</v>
      </c>
      <c r="B2" s="82"/>
      <c r="C2" s="82"/>
      <c r="D2" s="82"/>
      <c r="E2" s="82"/>
      <c r="F2" s="82"/>
    </row>
    <row r="3" spans="1:6">
      <c r="A3" s="82" t="s">
        <v>917</v>
      </c>
      <c r="B3" s="82"/>
      <c r="C3" s="82"/>
      <c r="D3" s="82"/>
      <c r="E3" s="82"/>
      <c r="F3" s="82"/>
    </row>
    <row r="4" spans="1:6">
      <c r="A4" s="1"/>
      <c r="B4" s="1"/>
      <c r="C4" s="1"/>
      <c r="D4" s="1"/>
      <c r="E4" s="1"/>
      <c r="F4" s="1"/>
    </row>
    <row r="5" spans="1:6" ht="13.9">
      <c r="A5" s="3" t="s">
        <v>71</v>
      </c>
      <c r="B5" s="3" t="s">
        <v>72</v>
      </c>
      <c r="C5" s="3" t="s">
        <v>73</v>
      </c>
      <c r="D5" s="3" t="s">
        <v>74</v>
      </c>
      <c r="E5" s="3" t="s">
        <v>915</v>
      </c>
      <c r="F5" s="3" t="s">
        <v>75</v>
      </c>
    </row>
    <row r="6" spans="1:6" ht="38" customHeight="1">
      <c r="A6" s="5" t="s">
        <v>76</v>
      </c>
      <c r="B6" s="5" t="s">
        <v>77</v>
      </c>
      <c r="C6" s="4">
        <v>46023</v>
      </c>
      <c r="D6" s="4">
        <v>47118</v>
      </c>
      <c r="E6" s="5">
        <v>1</v>
      </c>
      <c r="F6" s="33" t="s">
        <v>78</v>
      </c>
    </row>
    <row r="7" spans="1:6" ht="38" customHeight="1">
      <c r="A7" s="5" t="s">
        <v>27</v>
      </c>
      <c r="B7" s="5" t="s">
        <v>79</v>
      </c>
      <c r="C7" s="4"/>
      <c r="D7" s="4"/>
      <c r="E7" s="5">
        <v>0</v>
      </c>
      <c r="F7" s="33" t="s">
        <v>80</v>
      </c>
    </row>
    <row r="8" spans="1:6" ht="38" customHeight="1">
      <c r="A8" s="5" t="s">
        <v>30</v>
      </c>
      <c r="B8" s="5" t="s">
        <v>81</v>
      </c>
      <c r="C8" s="4">
        <v>46023</v>
      </c>
      <c r="D8" s="4">
        <v>47118</v>
      </c>
      <c r="E8" s="5">
        <v>1</v>
      </c>
      <c r="F8" s="33" t="s">
        <v>900</v>
      </c>
    </row>
    <row r="9" spans="1:6" ht="38" customHeight="1">
      <c r="A9" s="5" t="s">
        <v>33</v>
      </c>
      <c r="B9" s="5" t="s">
        <v>82</v>
      </c>
      <c r="C9" s="4"/>
      <c r="D9" s="4"/>
      <c r="E9" s="5">
        <v>0</v>
      </c>
      <c r="F9" s="33" t="s">
        <v>83</v>
      </c>
    </row>
    <row r="10" spans="1:6" ht="38" customHeight="1">
      <c r="A10" s="5" t="s">
        <v>36</v>
      </c>
      <c r="B10" s="5" t="s">
        <v>84</v>
      </c>
      <c r="C10" s="4">
        <v>46023</v>
      </c>
      <c r="D10" s="4">
        <v>47118</v>
      </c>
      <c r="E10" s="5">
        <v>1</v>
      </c>
      <c r="F10" s="33" t="s">
        <v>900</v>
      </c>
    </row>
    <row r="11" spans="1:6" ht="38" customHeight="1">
      <c r="A11" s="5" t="s">
        <v>39</v>
      </c>
      <c r="B11" s="5" t="s">
        <v>85</v>
      </c>
      <c r="C11" s="4">
        <v>46023</v>
      </c>
      <c r="D11" s="4">
        <v>47118</v>
      </c>
      <c r="E11" s="5">
        <v>1</v>
      </c>
      <c r="F11" s="33" t="s">
        <v>86</v>
      </c>
    </row>
    <row r="12" spans="1:6" ht="38" customHeight="1">
      <c r="A12" s="5" t="s">
        <v>42</v>
      </c>
      <c r="B12" s="5" t="s">
        <v>87</v>
      </c>
      <c r="C12" s="4">
        <v>46023</v>
      </c>
      <c r="D12" s="4">
        <v>47118</v>
      </c>
      <c r="E12" s="5">
        <v>1</v>
      </c>
      <c r="F12" s="33" t="s">
        <v>900</v>
      </c>
    </row>
    <row r="13" spans="1:6" ht="38" customHeight="1">
      <c r="A13" s="5" t="s">
        <v>88</v>
      </c>
      <c r="B13" s="5" t="s">
        <v>89</v>
      </c>
      <c r="C13" s="4">
        <v>46023</v>
      </c>
      <c r="D13" s="4">
        <v>47118</v>
      </c>
      <c r="E13" s="5">
        <v>1</v>
      </c>
      <c r="F13" s="33" t="s">
        <v>900</v>
      </c>
    </row>
    <row r="14" spans="1:6" ht="38" customHeight="1">
      <c r="A14" s="5" t="s">
        <v>898</v>
      </c>
      <c r="B14" s="5" t="s">
        <v>899</v>
      </c>
      <c r="C14" s="4">
        <v>46023</v>
      </c>
      <c r="D14" s="4">
        <v>47118</v>
      </c>
      <c r="E14" s="5">
        <v>1</v>
      </c>
      <c r="F14" s="33" t="s">
        <v>900</v>
      </c>
    </row>
    <row r="15" spans="1:6" ht="38" customHeight="1">
      <c r="A15" s="5" t="s">
        <v>901</v>
      </c>
      <c r="B15" s="5" t="s">
        <v>902</v>
      </c>
      <c r="C15" s="4">
        <v>46023</v>
      </c>
      <c r="D15" s="4">
        <v>47118</v>
      </c>
      <c r="E15" s="5">
        <v>1</v>
      </c>
      <c r="F15" s="33" t="s">
        <v>900</v>
      </c>
    </row>
    <row r="16" spans="1:6" ht="38" customHeight="1">
      <c r="A16" s="5" t="s">
        <v>903</v>
      </c>
      <c r="B16" s="5" t="s">
        <v>904</v>
      </c>
      <c r="C16" s="4">
        <v>46023</v>
      </c>
      <c r="D16" s="4">
        <v>47118</v>
      </c>
      <c r="E16" s="5">
        <v>1</v>
      </c>
      <c r="F16" s="33" t="s">
        <v>900</v>
      </c>
    </row>
    <row r="17" spans="1:6" ht="38" customHeight="1">
      <c r="A17" s="5" t="s">
        <v>905</v>
      </c>
      <c r="B17" s="5" t="s">
        <v>906</v>
      </c>
      <c r="C17" s="4">
        <v>46023</v>
      </c>
      <c r="D17" s="4">
        <v>47118</v>
      </c>
      <c r="E17" s="5">
        <v>1</v>
      </c>
      <c r="F17" s="33" t="s">
        <v>900</v>
      </c>
    </row>
    <row r="18" spans="1:6" ht="38" customHeight="1">
      <c r="A18" s="5" t="s">
        <v>907</v>
      </c>
      <c r="B18" s="5" t="s">
        <v>908</v>
      </c>
      <c r="C18" s="4">
        <v>46023</v>
      </c>
      <c r="D18" s="4">
        <v>47118</v>
      </c>
      <c r="E18" s="5">
        <v>1</v>
      </c>
      <c r="F18" s="33" t="s">
        <v>900</v>
      </c>
    </row>
    <row r="19" spans="1:6" ht="38" customHeight="1">
      <c r="A19" s="5" t="s">
        <v>909</v>
      </c>
      <c r="B19" s="5" t="s">
        <v>910</v>
      </c>
      <c r="C19" s="4">
        <v>46023</v>
      </c>
      <c r="D19" s="4">
        <v>47118</v>
      </c>
      <c r="E19" s="5">
        <v>1</v>
      </c>
      <c r="F19" s="33" t="s">
        <v>911</v>
      </c>
    </row>
    <row r="20" spans="1:6" ht="38" customHeight="1">
      <c r="A20" s="5" t="s">
        <v>912</v>
      </c>
      <c r="B20" s="5" t="s">
        <v>913</v>
      </c>
      <c r="C20" s="4">
        <v>46023</v>
      </c>
      <c r="D20" s="4">
        <v>47118</v>
      </c>
      <c r="E20" s="5">
        <v>1</v>
      </c>
      <c r="F20" s="33" t="s">
        <v>914</v>
      </c>
    </row>
    <row r="21" spans="1:6" ht="38" customHeight="1">
      <c r="A21" s="5"/>
      <c r="B21" s="5"/>
      <c r="C21" s="4"/>
      <c r="D21" s="4"/>
      <c r="E21" s="5"/>
      <c r="F21" s="33"/>
    </row>
    <row r="22" spans="1:6" ht="38" customHeight="1">
      <c r="A22" s="5"/>
      <c r="B22" s="5"/>
      <c r="C22" s="4"/>
      <c r="D22" s="4"/>
      <c r="E22" s="5"/>
      <c r="F22" s="33"/>
    </row>
    <row r="23" spans="1:6" ht="38" customHeight="1">
      <c r="A23" s="5"/>
      <c r="B23" s="5"/>
      <c r="C23" s="4"/>
      <c r="D23" s="4"/>
      <c r="E23" s="5"/>
      <c r="F23" s="33"/>
    </row>
    <row r="24" spans="1:6" ht="38" customHeight="1">
      <c r="A24" s="5"/>
      <c r="B24" s="5"/>
      <c r="C24" s="4"/>
      <c r="D24" s="4"/>
      <c r="E24" s="5"/>
      <c r="F24" s="33"/>
    </row>
    <row r="25" spans="1:6" ht="38" customHeight="1">
      <c r="A25" s="5"/>
      <c r="B25" s="5"/>
      <c r="C25" s="4"/>
      <c r="D25" s="4"/>
      <c r="E25" s="5"/>
      <c r="F25" s="33"/>
    </row>
    <row r="26" spans="1:6">
      <c r="A26" s="1"/>
      <c r="B26" s="1"/>
      <c r="C26" s="1"/>
      <c r="D26" s="1"/>
      <c r="E26" s="1"/>
      <c r="F26" s="1"/>
    </row>
    <row r="27" spans="1:6">
      <c r="A27" s="82" t="s">
        <v>918</v>
      </c>
      <c r="B27" s="82"/>
      <c r="C27" s="82"/>
      <c r="D27" s="82"/>
      <c r="E27" s="82"/>
      <c r="F27" s="82"/>
    </row>
    <row r="28" spans="1:6">
      <c r="A28" s="1"/>
      <c r="B28" s="1"/>
      <c r="C28" s="1"/>
      <c r="D28" s="1"/>
      <c r="E28" s="1"/>
      <c r="F28" s="1"/>
    </row>
    <row r="29" spans="1:6" ht="13.9">
      <c r="A29" s="3" t="s">
        <v>15</v>
      </c>
      <c r="B29" s="3" t="s">
        <v>90</v>
      </c>
      <c r="C29" s="3" t="s">
        <v>91</v>
      </c>
      <c r="D29" s="3" t="s">
        <v>92</v>
      </c>
      <c r="E29" s="3" t="s">
        <v>93</v>
      </c>
      <c r="F29" s="1"/>
    </row>
    <row r="30" spans="1:6">
      <c r="A30" s="20"/>
      <c r="B30" s="21"/>
      <c r="C30" s="20"/>
      <c r="D30" s="20"/>
      <c r="E30" s="20"/>
      <c r="F30" s="1"/>
    </row>
    <row r="31" spans="1:6">
      <c r="A31" s="20"/>
      <c r="B31" s="21"/>
      <c r="C31" s="20"/>
      <c r="D31" s="20"/>
      <c r="E31" s="20"/>
      <c r="F31" s="1"/>
    </row>
    <row r="32" spans="1:6">
      <c r="A32" s="20"/>
      <c r="B32" s="21"/>
      <c r="C32" s="20"/>
      <c r="D32" s="20"/>
      <c r="E32" s="20"/>
      <c r="F32" s="1"/>
    </row>
    <row r="33" spans="1:6">
      <c r="A33" s="20"/>
      <c r="B33" s="21"/>
      <c r="C33" s="20"/>
      <c r="D33" s="20"/>
      <c r="E33" s="20"/>
      <c r="F33" s="1"/>
    </row>
    <row r="34" spans="1:6">
      <c r="A34" s="20"/>
      <c r="B34" s="21"/>
      <c r="C34" s="20"/>
      <c r="D34" s="20"/>
      <c r="E34" s="20"/>
      <c r="F34" s="1"/>
    </row>
    <row r="35" spans="1:6">
      <c r="A35" s="20"/>
      <c r="B35" s="21"/>
      <c r="C35" s="20"/>
      <c r="D35" s="20"/>
      <c r="E35" s="20"/>
      <c r="F35" s="1"/>
    </row>
    <row r="36" spans="1:6">
      <c r="A36" s="20"/>
      <c r="B36" s="21"/>
      <c r="C36" s="20"/>
      <c r="D36" s="20"/>
      <c r="E36" s="20"/>
      <c r="F36" s="1"/>
    </row>
    <row r="37" spans="1:6">
      <c r="A37" s="20"/>
      <c r="B37" s="21"/>
      <c r="C37" s="20"/>
      <c r="D37" s="20"/>
      <c r="E37" s="20"/>
      <c r="F37" s="1"/>
    </row>
    <row r="38" spans="1:6">
      <c r="A38" s="20"/>
      <c r="B38" s="21"/>
      <c r="C38" s="20"/>
      <c r="D38" s="20"/>
      <c r="E38" s="20"/>
      <c r="F38" s="1"/>
    </row>
    <row r="39" spans="1:6">
      <c r="A39" s="20"/>
      <c r="B39" s="21"/>
      <c r="C39" s="20"/>
      <c r="D39" s="20"/>
      <c r="E39" s="20"/>
      <c r="F39" s="1"/>
    </row>
    <row r="40" spans="1:6">
      <c r="A40" s="20"/>
      <c r="B40" s="21"/>
      <c r="C40" s="20"/>
      <c r="D40" s="20"/>
      <c r="E40" s="20"/>
      <c r="F40" s="1"/>
    </row>
    <row r="41" spans="1:6">
      <c r="A41" s="20"/>
      <c r="B41" s="21"/>
      <c r="C41" s="20"/>
      <c r="D41" s="20"/>
      <c r="E41" s="20"/>
      <c r="F41" s="1"/>
    </row>
    <row r="42" spans="1:6">
      <c r="A42" s="20"/>
      <c r="B42" s="21"/>
      <c r="C42" s="20"/>
      <c r="D42" s="20"/>
      <c r="E42" s="20"/>
      <c r="F42" s="1"/>
    </row>
    <row r="43" spans="1:6">
      <c r="A43" s="20"/>
      <c r="B43" s="21"/>
      <c r="C43" s="20"/>
      <c r="D43" s="20"/>
      <c r="E43" s="20"/>
      <c r="F43" s="1"/>
    </row>
    <row r="44" spans="1:6">
      <c r="A44" s="20"/>
      <c r="B44" s="21"/>
      <c r="C44" s="20"/>
      <c r="D44" s="20"/>
      <c r="E44" s="20"/>
      <c r="F44" s="1"/>
    </row>
    <row r="45" spans="1:6">
      <c r="A45" s="20"/>
      <c r="B45" s="21"/>
      <c r="C45" s="20"/>
      <c r="D45" s="20"/>
      <c r="E45" s="20"/>
      <c r="F45" s="1"/>
    </row>
    <row r="46" spans="1:6">
      <c r="A46" s="20"/>
      <c r="B46" s="21"/>
      <c r="C46" s="20"/>
      <c r="D46" s="20"/>
      <c r="E46" s="20"/>
      <c r="F46" s="1"/>
    </row>
    <row r="47" spans="1:6">
      <c r="A47" s="20"/>
      <c r="B47" s="21"/>
      <c r="C47" s="20"/>
      <c r="D47" s="20"/>
      <c r="E47" s="20"/>
      <c r="F47" s="1"/>
    </row>
    <row r="48" spans="1:6">
      <c r="A48" s="20"/>
      <c r="B48" s="21"/>
      <c r="C48" s="20"/>
      <c r="D48" s="20"/>
      <c r="E48" s="20"/>
      <c r="F48" s="1"/>
    </row>
    <row r="49" spans="1:6">
      <c r="A49" s="20"/>
      <c r="B49" s="21"/>
      <c r="C49" s="20"/>
      <c r="D49" s="20"/>
      <c r="E49" s="20"/>
      <c r="F49" s="1"/>
    </row>
    <row r="50" spans="1:6">
      <c r="A50" s="20"/>
      <c r="B50" s="21"/>
      <c r="C50" s="20"/>
      <c r="D50" s="20"/>
      <c r="E50" s="20"/>
      <c r="F50" s="1"/>
    </row>
    <row r="51" spans="1:6">
      <c r="A51" s="20"/>
      <c r="B51" s="21"/>
      <c r="C51" s="20"/>
      <c r="D51" s="20"/>
      <c r="E51" s="20"/>
      <c r="F51" s="1"/>
    </row>
    <row r="52" spans="1:6">
      <c r="A52" s="20"/>
      <c r="B52" s="21"/>
      <c r="C52" s="20"/>
      <c r="D52" s="20"/>
      <c r="E52" s="20"/>
      <c r="F52" s="1"/>
    </row>
    <row r="53" spans="1:6">
      <c r="A53" s="20"/>
      <c r="B53" s="21"/>
      <c r="C53" s="20"/>
      <c r="D53" s="20"/>
      <c r="E53" s="20"/>
      <c r="F53" s="1"/>
    </row>
    <row r="54" spans="1:6">
      <c r="A54" s="20"/>
      <c r="B54" s="21"/>
      <c r="C54" s="20"/>
      <c r="D54" s="20"/>
      <c r="E54" s="20"/>
      <c r="F54" s="1"/>
    </row>
    <row r="55" spans="1:6">
      <c r="A55" s="20"/>
      <c r="B55" s="21"/>
      <c r="C55" s="20"/>
      <c r="D55" s="20"/>
      <c r="E55" s="20"/>
      <c r="F55" s="1"/>
    </row>
    <row r="56" spans="1:6">
      <c r="A56" s="20"/>
      <c r="B56" s="21"/>
      <c r="C56" s="20"/>
      <c r="D56" s="20"/>
      <c r="E56" s="20"/>
      <c r="F56" s="1"/>
    </row>
    <row r="57" spans="1:6">
      <c r="A57" s="20"/>
      <c r="B57" s="21"/>
      <c r="C57" s="20"/>
      <c r="D57" s="20"/>
      <c r="E57" s="20"/>
      <c r="F57" s="1"/>
    </row>
    <row r="58" spans="1:6">
      <c r="A58" s="20"/>
      <c r="B58" s="21"/>
      <c r="C58" s="20"/>
      <c r="D58" s="20"/>
      <c r="E58" s="20"/>
      <c r="F58" s="1"/>
    </row>
    <row r="59" spans="1:6">
      <c r="A59" s="20"/>
      <c r="B59" s="21"/>
      <c r="C59" s="20"/>
      <c r="D59" s="20"/>
      <c r="E59" s="20"/>
      <c r="F59" s="1"/>
    </row>
    <row r="60" spans="1:6">
      <c r="A60" s="20"/>
      <c r="B60" s="21"/>
      <c r="C60" s="20"/>
      <c r="D60" s="20"/>
      <c r="E60" s="20"/>
      <c r="F60" s="1"/>
    </row>
    <row r="61" spans="1:6">
      <c r="A61" s="20"/>
      <c r="B61" s="21"/>
      <c r="C61" s="20"/>
      <c r="D61" s="20"/>
      <c r="E61" s="20"/>
      <c r="F61" s="1"/>
    </row>
    <row r="62" spans="1:6">
      <c r="A62" s="20"/>
      <c r="B62" s="21"/>
      <c r="C62" s="20"/>
      <c r="D62" s="20"/>
      <c r="E62" s="20"/>
      <c r="F62" s="1"/>
    </row>
    <row r="63" spans="1:6">
      <c r="A63" s="20"/>
      <c r="B63" s="21"/>
      <c r="C63" s="20"/>
      <c r="D63" s="20"/>
      <c r="E63" s="20"/>
      <c r="F63" s="1"/>
    </row>
    <row r="64" spans="1:6">
      <c r="A64" s="20"/>
      <c r="B64" s="21"/>
      <c r="C64" s="20"/>
      <c r="D64" s="20"/>
      <c r="E64" s="20"/>
      <c r="F64" s="1"/>
    </row>
    <row r="65" spans="1:6">
      <c r="A65" s="20"/>
      <c r="B65" s="21"/>
      <c r="C65" s="20"/>
      <c r="D65" s="20"/>
      <c r="E65" s="20"/>
      <c r="F65" s="1"/>
    </row>
    <row r="66" spans="1:6">
      <c r="A66" s="20"/>
      <c r="B66" s="21"/>
      <c r="C66" s="20"/>
      <c r="D66" s="20"/>
      <c r="E66" s="20"/>
      <c r="F66" s="1"/>
    </row>
    <row r="67" spans="1:6">
      <c r="A67" s="20"/>
      <c r="B67" s="21"/>
      <c r="C67" s="20"/>
      <c r="D67" s="20"/>
      <c r="E67" s="20"/>
      <c r="F67" s="1"/>
    </row>
    <row r="68" spans="1:6">
      <c r="A68" s="20"/>
      <c r="B68" s="21"/>
      <c r="C68" s="20"/>
      <c r="D68" s="20"/>
      <c r="E68" s="20"/>
      <c r="F68" s="1"/>
    </row>
    <row r="69" spans="1:6">
      <c r="A69" s="20"/>
      <c r="B69" s="21"/>
      <c r="C69" s="20"/>
      <c r="D69" s="20"/>
      <c r="E69" s="20"/>
      <c r="F69" s="1"/>
    </row>
    <row r="70" spans="1:6">
      <c r="A70" s="20"/>
      <c r="B70" s="21"/>
      <c r="C70" s="20"/>
      <c r="D70" s="20"/>
      <c r="E70" s="20"/>
      <c r="F70" s="1"/>
    </row>
    <row r="71" spans="1:6">
      <c r="A71" s="20"/>
      <c r="B71" s="21"/>
      <c r="C71" s="20"/>
      <c r="D71" s="20"/>
      <c r="E71" s="20"/>
      <c r="F71" s="1"/>
    </row>
    <row r="72" spans="1:6">
      <c r="A72" s="20"/>
      <c r="B72" s="21"/>
      <c r="C72" s="20"/>
      <c r="D72" s="20"/>
      <c r="E72" s="20"/>
      <c r="F72" s="1"/>
    </row>
    <row r="73" spans="1:6">
      <c r="A73" s="20"/>
      <c r="B73" s="21"/>
      <c r="C73" s="20"/>
      <c r="D73" s="20"/>
      <c r="E73" s="20"/>
      <c r="F73" s="1"/>
    </row>
    <row r="74" spans="1:6">
      <c r="A74" s="20"/>
      <c r="B74" s="21"/>
      <c r="C74" s="20"/>
      <c r="D74" s="20"/>
      <c r="E74" s="20"/>
      <c r="F74" s="1"/>
    </row>
    <row r="75" spans="1:6">
      <c r="A75" s="20"/>
      <c r="B75" s="21"/>
      <c r="C75" s="20"/>
      <c r="D75" s="20"/>
      <c r="E75" s="20"/>
      <c r="F75" s="1"/>
    </row>
    <row r="76" spans="1:6">
      <c r="A76" s="20"/>
      <c r="B76" s="21"/>
      <c r="C76" s="20"/>
      <c r="D76" s="20"/>
      <c r="E76" s="20"/>
      <c r="F76" s="1"/>
    </row>
    <row r="77" spans="1:6">
      <c r="A77" s="20"/>
      <c r="B77" s="21"/>
      <c r="C77" s="20"/>
      <c r="D77" s="20"/>
      <c r="E77" s="20"/>
      <c r="F77" s="1"/>
    </row>
    <row r="78" spans="1:6">
      <c r="A78" s="20"/>
      <c r="B78" s="21"/>
      <c r="C78" s="20"/>
      <c r="D78" s="20"/>
      <c r="E78" s="20"/>
      <c r="F78" s="1"/>
    </row>
    <row r="79" spans="1:6">
      <c r="A79" s="20"/>
      <c r="B79" s="21"/>
      <c r="C79" s="20"/>
      <c r="D79" s="20"/>
      <c r="E79" s="20"/>
      <c r="F79" s="1"/>
    </row>
    <row r="80" spans="1:6">
      <c r="A80" s="20"/>
      <c r="B80" s="21"/>
      <c r="C80" s="20"/>
      <c r="D80" s="20"/>
      <c r="E80" s="20"/>
      <c r="F80" s="1"/>
    </row>
    <row r="81" spans="1:6">
      <c r="A81" s="20"/>
      <c r="B81" s="21"/>
      <c r="C81" s="20"/>
      <c r="D81" s="20"/>
      <c r="E81" s="20"/>
      <c r="F81" s="1"/>
    </row>
    <row r="82" spans="1:6">
      <c r="A82" s="20"/>
      <c r="B82" s="21"/>
      <c r="C82" s="20"/>
      <c r="D82" s="20"/>
      <c r="E82" s="20"/>
      <c r="F82" s="1"/>
    </row>
    <row r="83" spans="1:6">
      <c r="A83" s="20"/>
      <c r="B83" s="21"/>
      <c r="C83" s="20"/>
      <c r="D83" s="20"/>
      <c r="E83" s="20"/>
      <c r="F83" s="1"/>
    </row>
    <row r="84" spans="1:6">
      <c r="A84" s="20"/>
      <c r="B84" s="21"/>
      <c r="C84" s="20"/>
      <c r="D84" s="20"/>
      <c r="E84" s="20"/>
      <c r="F84" s="1"/>
    </row>
    <row r="85" spans="1:6">
      <c r="A85" s="20"/>
      <c r="B85" s="21"/>
      <c r="C85" s="20"/>
      <c r="D85" s="20"/>
      <c r="E85" s="20"/>
      <c r="F85" s="1"/>
    </row>
    <row r="86" spans="1:6">
      <c r="A86" s="20"/>
      <c r="B86" s="21"/>
      <c r="C86" s="20"/>
      <c r="D86" s="20"/>
      <c r="E86" s="20"/>
      <c r="F86" s="1"/>
    </row>
    <row r="87" spans="1:6">
      <c r="A87" s="20"/>
      <c r="B87" s="21"/>
      <c r="C87" s="20"/>
      <c r="D87" s="20"/>
      <c r="E87" s="20"/>
      <c r="F87" s="1"/>
    </row>
    <row r="88" spans="1:6">
      <c r="A88" s="20"/>
      <c r="B88" s="21"/>
      <c r="C88" s="20"/>
      <c r="D88" s="20"/>
      <c r="E88" s="20"/>
      <c r="F88" s="1"/>
    </row>
    <row r="89" spans="1:6">
      <c r="A89" s="20"/>
      <c r="B89" s="21"/>
      <c r="C89" s="20"/>
      <c r="D89" s="20"/>
      <c r="E89" s="20"/>
      <c r="F89" s="1"/>
    </row>
    <row r="90" spans="1:6">
      <c r="A90" s="20"/>
      <c r="B90" s="21"/>
      <c r="C90" s="20"/>
      <c r="D90" s="20"/>
      <c r="E90" s="20"/>
      <c r="F90" s="1"/>
    </row>
    <row r="91" spans="1:6">
      <c r="A91" s="20"/>
      <c r="B91" s="21"/>
      <c r="C91" s="20"/>
      <c r="D91" s="20"/>
      <c r="E91" s="20"/>
      <c r="F91" s="1"/>
    </row>
    <row r="92" spans="1:6">
      <c r="A92" s="20"/>
      <c r="B92" s="21"/>
      <c r="C92" s="20"/>
      <c r="D92" s="20"/>
      <c r="E92" s="20"/>
      <c r="F92" s="1"/>
    </row>
    <row r="93" spans="1:6">
      <c r="A93" s="20"/>
      <c r="B93" s="21"/>
      <c r="C93" s="20"/>
      <c r="D93" s="20"/>
      <c r="E93" s="20"/>
      <c r="F93" s="1"/>
    </row>
    <row r="94" spans="1:6">
      <c r="A94" s="20"/>
      <c r="B94" s="21"/>
      <c r="C94" s="20"/>
      <c r="D94" s="20"/>
      <c r="E94" s="20"/>
      <c r="F94" s="1"/>
    </row>
    <row r="95" spans="1:6">
      <c r="A95" s="20"/>
      <c r="B95" s="21"/>
      <c r="C95" s="20"/>
      <c r="D95" s="20"/>
      <c r="E95" s="20"/>
      <c r="F95" s="1"/>
    </row>
    <row r="96" spans="1:6">
      <c r="A96" s="20"/>
      <c r="B96" s="21"/>
      <c r="C96" s="20"/>
      <c r="D96" s="20"/>
      <c r="E96" s="20"/>
      <c r="F96" s="1"/>
    </row>
    <row r="97" spans="1:6">
      <c r="A97" s="20"/>
      <c r="B97" s="21"/>
      <c r="C97" s="20"/>
      <c r="D97" s="20"/>
      <c r="E97" s="20"/>
      <c r="F97" s="1"/>
    </row>
    <row r="98" spans="1:6">
      <c r="A98" s="20"/>
      <c r="B98" s="21"/>
      <c r="C98" s="20"/>
      <c r="D98" s="20"/>
      <c r="E98" s="20"/>
      <c r="F98" s="1"/>
    </row>
    <row r="99" spans="1:6">
      <c r="A99" s="20"/>
      <c r="B99" s="21"/>
      <c r="C99" s="20"/>
      <c r="D99" s="20"/>
      <c r="E99" s="20"/>
      <c r="F99" s="1"/>
    </row>
    <row r="100" spans="1:6">
      <c r="A100" s="20"/>
      <c r="B100" s="21"/>
      <c r="C100" s="20"/>
      <c r="D100" s="20"/>
      <c r="E100" s="20"/>
      <c r="F100" s="1"/>
    </row>
    <row r="101" spans="1:6">
      <c r="A101" s="20"/>
      <c r="B101" s="21"/>
      <c r="C101" s="20"/>
      <c r="D101" s="20"/>
      <c r="E101" s="20"/>
      <c r="F101" s="1"/>
    </row>
    <row r="102" spans="1:6">
      <c r="A102" s="20"/>
      <c r="B102" s="21"/>
      <c r="C102" s="20"/>
      <c r="D102" s="20"/>
      <c r="E102" s="20"/>
      <c r="F102" s="1"/>
    </row>
    <row r="103" spans="1:6">
      <c r="A103" s="20"/>
      <c r="B103" s="21"/>
      <c r="C103" s="20"/>
      <c r="D103" s="20"/>
      <c r="E103" s="20"/>
      <c r="F103" s="1"/>
    </row>
    <row r="104" spans="1:6">
      <c r="A104" s="20"/>
      <c r="B104" s="21"/>
      <c r="C104" s="20"/>
      <c r="D104" s="20"/>
      <c r="E104" s="20"/>
      <c r="F104" s="1"/>
    </row>
    <row r="105" spans="1:6">
      <c r="A105" s="20"/>
      <c r="B105" s="21"/>
      <c r="C105" s="20"/>
      <c r="D105" s="20"/>
      <c r="E105" s="20"/>
      <c r="F105" s="1"/>
    </row>
    <row r="106" spans="1:6">
      <c r="A106" s="20"/>
      <c r="B106" s="21"/>
      <c r="C106" s="20"/>
      <c r="D106" s="20"/>
      <c r="E106" s="20"/>
      <c r="F106" s="1"/>
    </row>
    <row r="107" spans="1:6">
      <c r="A107" s="20"/>
      <c r="B107" s="21"/>
      <c r="C107" s="20"/>
      <c r="D107" s="20"/>
      <c r="E107" s="20"/>
      <c r="F107" s="1"/>
    </row>
    <row r="108" spans="1:6">
      <c r="A108" s="20"/>
      <c r="B108" s="21"/>
      <c r="C108" s="20"/>
      <c r="D108" s="20"/>
      <c r="E108" s="20"/>
      <c r="F108" s="1"/>
    </row>
    <row r="109" spans="1:6">
      <c r="A109" s="20"/>
      <c r="B109" s="21"/>
      <c r="C109" s="20"/>
      <c r="D109" s="20"/>
      <c r="E109" s="20"/>
      <c r="F109" s="1"/>
    </row>
    <row r="110" spans="1:6">
      <c r="A110" s="20"/>
      <c r="B110" s="21"/>
      <c r="C110" s="20"/>
      <c r="D110" s="20"/>
      <c r="E110" s="20"/>
      <c r="F110" s="1"/>
    </row>
    <row r="111" spans="1:6">
      <c r="A111" s="20"/>
      <c r="B111" s="21"/>
      <c r="C111" s="20"/>
      <c r="D111" s="20"/>
      <c r="E111" s="20"/>
      <c r="F111" s="1"/>
    </row>
    <row r="112" spans="1:6">
      <c r="A112" s="20"/>
      <c r="B112" s="21"/>
      <c r="C112" s="20"/>
      <c r="D112" s="20"/>
      <c r="E112" s="20"/>
      <c r="F112" s="1"/>
    </row>
    <row r="113" spans="1:6">
      <c r="A113" s="20"/>
      <c r="B113" s="21"/>
      <c r="C113" s="20"/>
      <c r="D113" s="20"/>
      <c r="E113" s="20"/>
      <c r="F113" s="1"/>
    </row>
    <row r="114" spans="1:6">
      <c r="A114" s="20"/>
      <c r="B114" s="21"/>
      <c r="C114" s="20"/>
      <c r="D114" s="20"/>
      <c r="E114" s="20"/>
      <c r="F114" s="1"/>
    </row>
    <row r="115" spans="1:6">
      <c r="A115" s="20"/>
      <c r="B115" s="21"/>
      <c r="C115" s="20"/>
      <c r="D115" s="20"/>
      <c r="E115" s="20"/>
      <c r="F115" s="1"/>
    </row>
    <row r="116" spans="1:6">
      <c r="A116" s="20"/>
      <c r="B116" s="21"/>
      <c r="C116" s="20"/>
      <c r="D116" s="20"/>
      <c r="E116" s="20"/>
      <c r="F116" s="1"/>
    </row>
    <row r="117" spans="1:6">
      <c r="A117" s="20"/>
      <c r="B117" s="21"/>
      <c r="C117" s="20"/>
      <c r="D117" s="20"/>
      <c r="E117" s="20"/>
      <c r="F117" s="1"/>
    </row>
    <row r="118" spans="1:6">
      <c r="A118" s="20"/>
      <c r="B118" s="21"/>
      <c r="C118" s="20"/>
      <c r="D118" s="20"/>
      <c r="E118" s="20"/>
      <c r="F118" s="1"/>
    </row>
    <row r="119" spans="1:6">
      <c r="A119" s="20"/>
      <c r="B119" s="21"/>
      <c r="C119" s="20"/>
      <c r="D119" s="20"/>
      <c r="E119" s="20"/>
      <c r="F119" s="1"/>
    </row>
    <row r="120" spans="1:6">
      <c r="A120" s="20"/>
      <c r="B120" s="21"/>
      <c r="C120" s="20"/>
      <c r="D120" s="20"/>
      <c r="E120" s="20"/>
      <c r="F120" s="1"/>
    </row>
    <row r="121" spans="1:6">
      <c r="A121" s="20"/>
      <c r="B121" s="21"/>
      <c r="C121" s="20"/>
      <c r="D121" s="20"/>
      <c r="E121" s="20"/>
      <c r="F121" s="1"/>
    </row>
    <row r="122" spans="1:6">
      <c r="A122" s="20"/>
      <c r="B122" s="21"/>
      <c r="C122" s="20"/>
      <c r="D122" s="20"/>
      <c r="E122" s="20"/>
      <c r="F122" s="1"/>
    </row>
    <row r="123" spans="1:6">
      <c r="A123" s="20"/>
      <c r="B123" s="21"/>
      <c r="C123" s="20"/>
      <c r="D123" s="20"/>
      <c r="E123" s="20"/>
      <c r="F123" s="1"/>
    </row>
    <row r="124" spans="1:6">
      <c r="A124" s="20"/>
      <c r="B124" s="21"/>
      <c r="C124" s="20"/>
      <c r="D124" s="20"/>
      <c r="E124" s="20"/>
      <c r="F124" s="1"/>
    </row>
    <row r="125" spans="1:6">
      <c r="A125" s="20"/>
      <c r="B125" s="21"/>
      <c r="C125" s="20"/>
      <c r="D125" s="20"/>
      <c r="E125" s="20"/>
      <c r="F125" s="1"/>
    </row>
    <row r="126" spans="1:6">
      <c r="A126" s="20"/>
      <c r="B126" s="21"/>
      <c r="C126" s="20"/>
      <c r="D126" s="20"/>
      <c r="E126" s="20"/>
      <c r="F126" s="1"/>
    </row>
    <row r="127" spans="1:6">
      <c r="A127" s="20"/>
      <c r="B127" s="21"/>
      <c r="C127" s="20"/>
      <c r="D127" s="20"/>
      <c r="E127" s="20"/>
      <c r="F127" s="1"/>
    </row>
    <row r="128" spans="1:6">
      <c r="A128" s="20"/>
      <c r="B128" s="21"/>
      <c r="C128" s="20"/>
      <c r="D128" s="20"/>
      <c r="E128" s="20"/>
      <c r="F128" s="1"/>
    </row>
    <row r="129" spans="1:6">
      <c r="A129" s="20"/>
      <c r="B129" s="21"/>
      <c r="C129" s="20"/>
      <c r="D129" s="20"/>
      <c r="E129" s="20"/>
      <c r="F129" s="1"/>
    </row>
    <row r="130" spans="1:6">
      <c r="A130" s="20"/>
      <c r="B130" s="21"/>
      <c r="C130" s="20"/>
      <c r="D130" s="20"/>
      <c r="E130" s="20"/>
      <c r="F130" s="1"/>
    </row>
    <row r="131" spans="1:6">
      <c r="A131" s="20"/>
      <c r="B131" s="21"/>
      <c r="C131" s="20"/>
      <c r="D131" s="20"/>
      <c r="E131" s="20"/>
      <c r="F131" s="1"/>
    </row>
    <row r="132" spans="1:6">
      <c r="A132" s="20"/>
      <c r="B132" s="21"/>
      <c r="C132" s="20"/>
      <c r="D132" s="20"/>
      <c r="E132" s="20"/>
      <c r="F132" s="1"/>
    </row>
    <row r="133" spans="1:6">
      <c r="A133" s="20"/>
      <c r="B133" s="21"/>
      <c r="C133" s="20"/>
      <c r="D133" s="20"/>
      <c r="E133" s="20"/>
      <c r="F133" s="1"/>
    </row>
    <row r="134" spans="1:6">
      <c r="A134" s="20"/>
      <c r="B134" s="21"/>
      <c r="C134" s="20"/>
      <c r="D134" s="20"/>
      <c r="E134" s="20"/>
      <c r="F134" s="1"/>
    </row>
    <row r="135" spans="1:6">
      <c r="A135" s="20"/>
      <c r="B135" s="21"/>
      <c r="C135" s="20"/>
      <c r="D135" s="20"/>
      <c r="E135" s="20"/>
      <c r="F135" s="1"/>
    </row>
    <row r="136" spans="1:6">
      <c r="A136" s="20"/>
      <c r="B136" s="21"/>
      <c r="C136" s="20"/>
      <c r="D136" s="20"/>
      <c r="E136" s="20"/>
      <c r="F136" s="1"/>
    </row>
    <row r="137" spans="1:6">
      <c r="A137" s="20"/>
      <c r="B137" s="21"/>
      <c r="C137" s="20"/>
      <c r="D137" s="20"/>
      <c r="E137" s="20"/>
      <c r="F137" s="1"/>
    </row>
    <row r="138" spans="1:6">
      <c r="A138" s="20"/>
      <c r="B138" s="21"/>
      <c r="C138" s="20"/>
      <c r="D138" s="20"/>
      <c r="E138" s="20"/>
      <c r="F138" s="1"/>
    </row>
    <row r="139" spans="1:6">
      <c r="A139" s="20"/>
      <c r="B139" s="21"/>
      <c r="C139" s="20"/>
      <c r="D139" s="20"/>
      <c r="E139" s="20"/>
      <c r="F139" s="1"/>
    </row>
    <row r="140" spans="1:6">
      <c r="A140" s="20"/>
      <c r="B140" s="21"/>
      <c r="C140" s="20"/>
      <c r="D140" s="20"/>
      <c r="E140" s="20"/>
      <c r="F140" s="1"/>
    </row>
    <row r="141" spans="1:6">
      <c r="A141" s="20"/>
      <c r="B141" s="21"/>
      <c r="C141" s="20"/>
      <c r="D141" s="20"/>
      <c r="E141" s="20"/>
      <c r="F141" s="1"/>
    </row>
    <row r="142" spans="1:6">
      <c r="A142" s="20"/>
      <c r="B142" s="21"/>
      <c r="C142" s="20"/>
      <c r="D142" s="20"/>
      <c r="E142" s="20"/>
      <c r="F142" s="1"/>
    </row>
    <row r="143" spans="1:6">
      <c r="A143" s="20"/>
      <c r="B143" s="21"/>
      <c r="C143" s="20"/>
      <c r="D143" s="20"/>
      <c r="E143" s="20"/>
      <c r="F143" s="1"/>
    </row>
    <row r="144" spans="1:6">
      <c r="A144" s="20"/>
      <c r="B144" s="21"/>
      <c r="C144" s="20"/>
      <c r="D144" s="20"/>
      <c r="E144" s="20"/>
      <c r="F144" s="1"/>
    </row>
    <row r="145" spans="1:6">
      <c r="A145" s="20"/>
      <c r="B145" s="21"/>
      <c r="C145" s="20"/>
      <c r="D145" s="20"/>
      <c r="E145" s="20"/>
      <c r="F145" s="1"/>
    </row>
    <row r="146" spans="1:6">
      <c r="A146" s="20"/>
      <c r="B146" s="21"/>
      <c r="C146" s="20"/>
      <c r="D146" s="20"/>
      <c r="E146" s="20"/>
      <c r="F146" s="1"/>
    </row>
    <row r="147" spans="1:6">
      <c r="A147" s="20"/>
      <c r="B147" s="21"/>
      <c r="C147" s="20"/>
      <c r="D147" s="20"/>
      <c r="E147" s="20"/>
      <c r="F147" s="1"/>
    </row>
    <row r="148" spans="1:6">
      <c r="A148" s="20"/>
      <c r="B148" s="21"/>
      <c r="C148" s="20"/>
      <c r="D148" s="20"/>
      <c r="E148" s="20"/>
      <c r="F148" s="1"/>
    </row>
    <row r="149" spans="1:6">
      <c r="A149" s="20"/>
      <c r="B149" s="21"/>
      <c r="C149" s="20"/>
      <c r="D149" s="20"/>
      <c r="E149" s="20"/>
      <c r="F149" s="1"/>
    </row>
    <row r="150" spans="1:6">
      <c r="A150" s="20"/>
      <c r="B150" s="21"/>
      <c r="C150" s="20"/>
      <c r="D150" s="20"/>
      <c r="E150" s="20"/>
      <c r="F150" s="1"/>
    </row>
    <row r="151" spans="1:6">
      <c r="A151" s="20"/>
      <c r="B151" s="21"/>
      <c r="C151" s="20"/>
      <c r="D151" s="20"/>
      <c r="E151" s="20"/>
      <c r="F151" s="1"/>
    </row>
    <row r="152" spans="1:6">
      <c r="A152" s="20"/>
      <c r="B152" s="21"/>
      <c r="C152" s="20"/>
      <c r="D152" s="20"/>
      <c r="E152" s="20"/>
      <c r="F152" s="1"/>
    </row>
    <row r="153" spans="1:6">
      <c r="A153" s="20"/>
      <c r="B153" s="21"/>
      <c r="C153" s="20"/>
      <c r="D153" s="20"/>
      <c r="E153" s="20"/>
      <c r="F153" s="1"/>
    </row>
    <row r="154" spans="1:6">
      <c r="A154" s="20"/>
      <c r="B154" s="21"/>
      <c r="C154" s="20"/>
      <c r="D154" s="20"/>
      <c r="E154" s="20"/>
      <c r="F154" s="1"/>
    </row>
    <row r="155" spans="1:6">
      <c r="A155" s="20"/>
      <c r="B155" s="21"/>
      <c r="C155" s="20"/>
      <c r="D155" s="20"/>
      <c r="E155" s="20"/>
      <c r="F155" s="1"/>
    </row>
    <row r="156" spans="1:6">
      <c r="A156" s="20"/>
      <c r="B156" s="21"/>
      <c r="C156" s="20"/>
      <c r="D156" s="20"/>
      <c r="E156" s="20"/>
      <c r="F156" s="1"/>
    </row>
    <row r="157" spans="1:6">
      <c r="A157" s="20"/>
      <c r="B157" s="21"/>
      <c r="C157" s="20"/>
      <c r="D157" s="20"/>
      <c r="E157" s="20"/>
      <c r="F157" s="1"/>
    </row>
    <row r="158" spans="1:6">
      <c r="A158" s="20"/>
      <c r="B158" s="21"/>
      <c r="C158" s="20"/>
      <c r="D158" s="20"/>
      <c r="E158" s="20"/>
      <c r="F158" s="1"/>
    </row>
    <row r="159" spans="1:6">
      <c r="A159" s="20"/>
      <c r="B159" s="21"/>
      <c r="C159" s="20"/>
      <c r="D159" s="20"/>
      <c r="E159" s="20"/>
      <c r="F159" s="1"/>
    </row>
    <row r="160" spans="1:6">
      <c r="A160" s="20"/>
      <c r="B160" s="21"/>
      <c r="C160" s="20"/>
      <c r="D160" s="20"/>
      <c r="E160" s="20"/>
      <c r="F160" s="1"/>
    </row>
    <row r="161" spans="1:6">
      <c r="A161" s="20"/>
      <c r="B161" s="21"/>
      <c r="C161" s="20"/>
      <c r="D161" s="20"/>
      <c r="E161" s="20"/>
      <c r="F161" s="1"/>
    </row>
    <row r="162" spans="1:6">
      <c r="A162" s="20"/>
      <c r="B162" s="21"/>
      <c r="C162" s="20"/>
      <c r="D162" s="20"/>
      <c r="E162" s="20"/>
      <c r="F162" s="1"/>
    </row>
    <row r="163" spans="1:6">
      <c r="A163" s="20"/>
      <c r="B163" s="21"/>
      <c r="C163" s="20"/>
      <c r="D163" s="20"/>
      <c r="E163" s="20"/>
      <c r="F163" s="1"/>
    </row>
    <row r="164" spans="1:6">
      <c r="A164" s="20"/>
      <c r="B164" s="21"/>
      <c r="C164" s="20"/>
      <c r="D164" s="20"/>
      <c r="E164" s="20"/>
      <c r="F164" s="1"/>
    </row>
    <row r="165" spans="1:6">
      <c r="A165" s="20"/>
      <c r="B165" s="21"/>
      <c r="C165" s="20"/>
      <c r="D165" s="20"/>
      <c r="E165" s="20"/>
      <c r="F165" s="1"/>
    </row>
    <row r="166" spans="1:6">
      <c r="A166" s="20"/>
      <c r="B166" s="21"/>
      <c r="C166" s="20"/>
      <c r="D166" s="20"/>
      <c r="E166" s="20"/>
      <c r="F166" s="1"/>
    </row>
    <row r="167" spans="1:6">
      <c r="A167" s="20"/>
      <c r="B167" s="21"/>
      <c r="C167" s="20"/>
      <c r="D167" s="20"/>
      <c r="E167" s="20"/>
      <c r="F167" s="1"/>
    </row>
    <row r="168" spans="1:6">
      <c r="A168" s="20"/>
      <c r="B168" s="21"/>
      <c r="C168" s="20"/>
      <c r="D168" s="20"/>
      <c r="E168" s="20"/>
      <c r="F168" s="1"/>
    </row>
    <row r="169" spans="1:6">
      <c r="A169" s="20"/>
      <c r="B169" s="21"/>
      <c r="C169" s="20"/>
      <c r="D169" s="20"/>
      <c r="E169" s="20"/>
      <c r="F169" s="1"/>
    </row>
    <row r="170" spans="1:6">
      <c r="A170" s="20"/>
      <c r="B170" s="21"/>
      <c r="C170" s="20"/>
      <c r="D170" s="20"/>
      <c r="E170" s="20"/>
      <c r="F170" s="1"/>
    </row>
    <row r="171" spans="1:6">
      <c r="A171" s="20"/>
      <c r="B171" s="21"/>
      <c r="C171" s="20"/>
      <c r="D171" s="20"/>
      <c r="E171" s="20"/>
      <c r="F171" s="1"/>
    </row>
    <row r="172" spans="1:6">
      <c r="A172" s="20"/>
      <c r="B172" s="21"/>
      <c r="C172" s="20"/>
      <c r="D172" s="20"/>
      <c r="E172" s="20"/>
      <c r="F172" s="1"/>
    </row>
    <row r="173" spans="1:6">
      <c r="A173" s="20"/>
      <c r="B173" s="21"/>
      <c r="C173" s="20"/>
      <c r="D173" s="20"/>
      <c r="E173" s="20"/>
      <c r="F173" s="1"/>
    </row>
    <row r="174" spans="1:6">
      <c r="A174" s="20"/>
      <c r="B174" s="21"/>
      <c r="C174" s="20"/>
      <c r="D174" s="20"/>
      <c r="E174" s="20"/>
      <c r="F174" s="1"/>
    </row>
    <row r="175" spans="1:6">
      <c r="A175" s="20"/>
      <c r="B175" s="21"/>
      <c r="C175" s="20"/>
      <c r="D175" s="20"/>
      <c r="E175" s="20"/>
      <c r="F175" s="1"/>
    </row>
    <row r="176" spans="1:6">
      <c r="A176" s="20"/>
      <c r="B176" s="21"/>
      <c r="C176" s="20"/>
      <c r="D176" s="20"/>
      <c r="E176" s="20"/>
      <c r="F176" s="1"/>
    </row>
    <row r="177" spans="1:6">
      <c r="A177" s="20"/>
      <c r="B177" s="21"/>
      <c r="C177" s="20"/>
      <c r="D177" s="20"/>
      <c r="E177" s="20"/>
      <c r="F177" s="1"/>
    </row>
    <row r="178" spans="1:6">
      <c r="A178" s="20"/>
      <c r="B178" s="21"/>
      <c r="C178" s="20"/>
      <c r="D178" s="20"/>
      <c r="E178" s="20"/>
      <c r="F178" s="1"/>
    </row>
    <row r="179" spans="1:6">
      <c r="A179" s="20"/>
      <c r="B179" s="21"/>
      <c r="C179" s="20"/>
      <c r="D179" s="20"/>
      <c r="E179" s="20"/>
      <c r="F179" s="1"/>
    </row>
    <row r="180" spans="1:6">
      <c r="A180" s="20"/>
      <c r="B180" s="21"/>
      <c r="C180" s="20"/>
      <c r="D180" s="20"/>
      <c r="E180" s="20"/>
      <c r="F180" s="1"/>
    </row>
    <row r="181" spans="1:6">
      <c r="A181" s="20"/>
      <c r="B181" s="21"/>
      <c r="C181" s="20"/>
      <c r="D181" s="20"/>
      <c r="E181" s="20"/>
      <c r="F181" s="1"/>
    </row>
    <row r="182" spans="1:6">
      <c r="A182" s="20"/>
      <c r="B182" s="21"/>
      <c r="C182" s="20"/>
      <c r="D182" s="20"/>
      <c r="E182" s="20"/>
      <c r="F182" s="1"/>
    </row>
    <row r="183" spans="1:6">
      <c r="A183" s="20"/>
      <c r="B183" s="21"/>
      <c r="C183" s="20"/>
      <c r="D183" s="20"/>
      <c r="E183" s="20"/>
      <c r="F183" s="1"/>
    </row>
    <row r="184" spans="1:6">
      <c r="A184" s="20"/>
      <c r="B184" s="21"/>
      <c r="C184" s="20"/>
      <c r="D184" s="20"/>
      <c r="E184" s="20"/>
      <c r="F184" s="1"/>
    </row>
    <row r="185" spans="1:6">
      <c r="A185" s="20"/>
      <c r="B185" s="21"/>
      <c r="C185" s="20"/>
      <c r="D185" s="20"/>
      <c r="E185" s="20"/>
      <c r="F185" s="1"/>
    </row>
    <row r="186" spans="1:6">
      <c r="A186" s="20"/>
      <c r="B186" s="21"/>
      <c r="C186" s="20"/>
      <c r="D186" s="20"/>
      <c r="E186" s="20"/>
      <c r="F186" s="1"/>
    </row>
    <row r="187" spans="1:6">
      <c r="A187" s="20"/>
      <c r="B187" s="21"/>
      <c r="C187" s="20"/>
      <c r="D187" s="20"/>
      <c r="E187" s="20"/>
      <c r="F187" s="1"/>
    </row>
    <row r="188" spans="1:6">
      <c r="A188" s="20"/>
      <c r="B188" s="21"/>
      <c r="C188" s="20"/>
      <c r="D188" s="20"/>
      <c r="E188" s="20"/>
      <c r="F188" s="1"/>
    </row>
    <row r="189" spans="1:6">
      <c r="A189" s="20"/>
      <c r="B189" s="21"/>
      <c r="C189" s="20"/>
      <c r="D189" s="20"/>
      <c r="E189" s="20"/>
      <c r="F189" s="1"/>
    </row>
    <row r="190" spans="1:6">
      <c r="A190" s="20"/>
      <c r="B190" s="21"/>
      <c r="C190" s="20"/>
      <c r="D190" s="20"/>
      <c r="E190" s="20"/>
      <c r="F190" s="1"/>
    </row>
    <row r="191" spans="1:6">
      <c r="A191" s="20"/>
      <c r="B191" s="21"/>
      <c r="C191" s="20"/>
      <c r="D191" s="20"/>
      <c r="E191" s="20"/>
      <c r="F191" s="1"/>
    </row>
    <row r="192" spans="1:6">
      <c r="A192" s="20"/>
      <c r="B192" s="21"/>
      <c r="C192" s="20"/>
      <c r="D192" s="20"/>
      <c r="E192" s="20"/>
      <c r="F192" s="1"/>
    </row>
    <row r="193" spans="1:6">
      <c r="A193" s="20"/>
      <c r="B193" s="21"/>
      <c r="C193" s="20"/>
      <c r="D193" s="20"/>
      <c r="E193" s="20"/>
      <c r="F193" s="1"/>
    </row>
    <row r="194" spans="1:6">
      <c r="A194" s="20"/>
      <c r="B194" s="21"/>
      <c r="C194" s="20"/>
      <c r="D194" s="20"/>
      <c r="E194" s="20"/>
      <c r="F194" s="1"/>
    </row>
    <row r="195" spans="1:6">
      <c r="A195" s="20"/>
      <c r="B195" s="21"/>
      <c r="C195" s="20"/>
      <c r="D195" s="20"/>
      <c r="E195" s="20"/>
      <c r="F195" s="1"/>
    </row>
    <row r="196" spans="1:6">
      <c r="A196" s="20"/>
      <c r="B196" s="21"/>
      <c r="C196" s="20"/>
      <c r="D196" s="20"/>
      <c r="E196" s="20"/>
      <c r="F196" s="1"/>
    </row>
    <row r="197" spans="1:6">
      <c r="A197" s="20"/>
      <c r="B197" s="21"/>
      <c r="C197" s="20"/>
      <c r="D197" s="20"/>
      <c r="E197" s="20"/>
      <c r="F197" s="1"/>
    </row>
    <row r="198" spans="1:6">
      <c r="A198" s="20"/>
      <c r="B198" s="21"/>
      <c r="C198" s="20"/>
      <c r="D198" s="20"/>
      <c r="E198" s="20"/>
      <c r="F198" s="1"/>
    </row>
    <row r="199" spans="1:6">
      <c r="A199" s="20"/>
      <c r="B199" s="21"/>
      <c r="C199" s="20"/>
      <c r="D199" s="20"/>
      <c r="E199" s="20"/>
      <c r="F199" s="1"/>
    </row>
    <row r="200" spans="1:6">
      <c r="A200" s="20"/>
      <c r="B200" s="21"/>
      <c r="C200" s="20"/>
      <c r="D200" s="20"/>
      <c r="E200" s="20"/>
      <c r="F200" s="1"/>
    </row>
    <row r="201" spans="1:6">
      <c r="A201" s="20"/>
      <c r="B201" s="21"/>
      <c r="C201" s="20"/>
      <c r="D201" s="20"/>
      <c r="E201" s="20"/>
      <c r="F201" s="1"/>
    </row>
    <row r="202" spans="1:6">
      <c r="A202" s="20"/>
      <c r="B202" s="21"/>
      <c r="C202" s="20"/>
      <c r="D202" s="20"/>
      <c r="E202" s="20"/>
      <c r="F202" s="1"/>
    </row>
    <row r="203" spans="1:6">
      <c r="A203" s="20"/>
      <c r="B203" s="21"/>
      <c r="C203" s="20"/>
      <c r="D203" s="20"/>
      <c r="E203" s="20"/>
      <c r="F203" s="1"/>
    </row>
    <row r="204" spans="1:6">
      <c r="A204" s="20"/>
      <c r="B204" s="21"/>
      <c r="C204" s="20"/>
      <c r="D204" s="20"/>
      <c r="E204" s="20"/>
      <c r="F204" s="1"/>
    </row>
    <row r="205" spans="1:6">
      <c r="A205" s="20"/>
      <c r="B205" s="21"/>
      <c r="C205" s="20"/>
      <c r="D205" s="20"/>
      <c r="E205" s="20"/>
      <c r="F205" s="1"/>
    </row>
    <row r="206" spans="1:6">
      <c r="A206" s="20"/>
      <c r="B206" s="21"/>
      <c r="C206" s="20"/>
      <c r="D206" s="20"/>
      <c r="E206" s="20"/>
      <c r="F206" s="1"/>
    </row>
    <row r="207" spans="1:6">
      <c r="A207" s="20"/>
      <c r="B207" s="21"/>
      <c r="C207" s="20"/>
      <c r="D207" s="20"/>
      <c r="E207" s="20"/>
      <c r="F207" s="1"/>
    </row>
    <row r="208" spans="1:6">
      <c r="A208" s="20"/>
      <c r="B208" s="21"/>
      <c r="C208" s="20"/>
      <c r="D208" s="20"/>
      <c r="E208" s="20"/>
      <c r="F208" s="1"/>
    </row>
    <row r="209" spans="1:6">
      <c r="A209" s="20"/>
      <c r="B209" s="21"/>
      <c r="C209" s="20"/>
      <c r="D209" s="20"/>
      <c r="E209" s="20"/>
      <c r="F209" s="1"/>
    </row>
    <row r="210" spans="1:6">
      <c r="A210" s="20"/>
      <c r="B210" s="21"/>
      <c r="C210" s="20"/>
      <c r="D210" s="20"/>
      <c r="E210" s="20"/>
      <c r="F210" s="1"/>
    </row>
    <row r="211" spans="1:6">
      <c r="A211" s="20"/>
      <c r="B211" s="21"/>
      <c r="C211" s="20"/>
      <c r="D211" s="20"/>
      <c r="E211" s="20"/>
      <c r="F211" s="1"/>
    </row>
    <row r="212" spans="1:6">
      <c r="A212" s="20"/>
      <c r="B212" s="21"/>
      <c r="C212" s="20"/>
      <c r="D212" s="20"/>
      <c r="E212" s="20"/>
      <c r="F212" s="1"/>
    </row>
    <row r="213" spans="1:6">
      <c r="A213" s="20"/>
      <c r="B213" s="21"/>
      <c r="C213" s="20"/>
      <c r="D213" s="20"/>
      <c r="E213" s="20"/>
      <c r="F213" s="1"/>
    </row>
    <row r="214" spans="1:6">
      <c r="A214" s="20"/>
      <c r="B214" s="21"/>
      <c r="C214" s="20"/>
      <c r="D214" s="20"/>
      <c r="E214" s="20"/>
      <c r="F214" s="1"/>
    </row>
    <row r="215" spans="1:6">
      <c r="A215" s="20"/>
      <c r="B215" s="21"/>
      <c r="C215" s="20"/>
      <c r="D215" s="20"/>
      <c r="E215" s="20"/>
      <c r="F215" s="1"/>
    </row>
    <row r="216" spans="1:6">
      <c r="A216" s="20"/>
      <c r="B216" s="21"/>
      <c r="C216" s="20"/>
      <c r="D216" s="20"/>
      <c r="E216" s="20"/>
      <c r="F216" s="1"/>
    </row>
    <row r="217" spans="1:6">
      <c r="A217" s="20"/>
      <c r="B217" s="21"/>
      <c r="C217" s="20"/>
      <c r="D217" s="20"/>
      <c r="E217" s="20"/>
      <c r="F217" s="1"/>
    </row>
    <row r="218" spans="1:6">
      <c r="A218" s="20"/>
      <c r="B218" s="21"/>
      <c r="C218" s="20"/>
      <c r="D218" s="20"/>
      <c r="E218" s="20"/>
      <c r="F218" s="1"/>
    </row>
    <row r="219" spans="1:6">
      <c r="A219" s="20"/>
      <c r="B219" s="21"/>
      <c r="C219" s="20"/>
      <c r="D219" s="20"/>
      <c r="E219" s="20"/>
      <c r="F219" s="1"/>
    </row>
    <row r="220" spans="1:6">
      <c r="A220" s="20"/>
      <c r="B220" s="21"/>
      <c r="C220" s="20"/>
      <c r="D220" s="20"/>
      <c r="E220" s="20"/>
      <c r="F220" s="1"/>
    </row>
    <row r="221" spans="1:6">
      <c r="A221" s="20"/>
      <c r="B221" s="21"/>
      <c r="C221" s="20"/>
      <c r="D221" s="20"/>
      <c r="E221" s="20"/>
      <c r="F221" s="1"/>
    </row>
    <row r="222" spans="1:6">
      <c r="A222" s="20"/>
      <c r="B222" s="21"/>
      <c r="C222" s="20"/>
      <c r="D222" s="20"/>
      <c r="E222" s="20"/>
      <c r="F222" s="1"/>
    </row>
    <row r="223" spans="1:6">
      <c r="A223" s="20"/>
      <c r="B223" s="21"/>
      <c r="C223" s="20"/>
      <c r="D223" s="20"/>
      <c r="E223" s="20"/>
      <c r="F223" s="1"/>
    </row>
    <row r="224" spans="1:6">
      <c r="A224" s="20"/>
      <c r="B224" s="21"/>
      <c r="C224" s="20"/>
      <c r="D224" s="20"/>
      <c r="E224" s="20"/>
      <c r="F224" s="1"/>
    </row>
    <row r="225" spans="1:6">
      <c r="A225" s="20"/>
      <c r="B225" s="21"/>
      <c r="C225" s="20"/>
      <c r="D225" s="20"/>
      <c r="E225" s="20"/>
      <c r="F225" s="1"/>
    </row>
    <row r="226" spans="1:6">
      <c r="A226" s="20"/>
      <c r="B226" s="21"/>
      <c r="C226" s="20"/>
      <c r="D226" s="20"/>
      <c r="E226" s="20"/>
      <c r="F226" s="1"/>
    </row>
    <row r="227" spans="1:6">
      <c r="A227" s="20"/>
      <c r="B227" s="21"/>
      <c r="C227" s="20"/>
      <c r="D227" s="20"/>
      <c r="E227" s="20"/>
      <c r="F227" s="1"/>
    </row>
    <row r="228" spans="1:6">
      <c r="A228" s="20"/>
      <c r="B228" s="21"/>
      <c r="C228" s="20"/>
      <c r="D228" s="20"/>
      <c r="E228" s="20"/>
      <c r="F228" s="1"/>
    </row>
    <row r="229" spans="1:6">
      <c r="A229" s="20"/>
      <c r="B229" s="21"/>
      <c r="C229" s="20"/>
      <c r="D229" s="20"/>
      <c r="E229" s="20"/>
      <c r="F229" s="1"/>
    </row>
    <row r="230" spans="1:6">
      <c r="A230" s="20"/>
      <c r="B230" s="21"/>
      <c r="C230" s="20"/>
      <c r="D230" s="20"/>
      <c r="E230" s="20"/>
      <c r="F230" s="1"/>
    </row>
    <row r="231" spans="1:6">
      <c r="A231" s="20"/>
      <c r="B231" s="21"/>
      <c r="C231" s="20"/>
      <c r="D231" s="20"/>
      <c r="E231" s="20"/>
      <c r="F231" s="1"/>
    </row>
    <row r="232" spans="1:6">
      <c r="A232" s="20"/>
      <c r="B232" s="21"/>
      <c r="C232" s="20"/>
      <c r="D232" s="20"/>
      <c r="E232" s="20"/>
      <c r="F232" s="1"/>
    </row>
    <row r="233" spans="1:6">
      <c r="A233" s="20"/>
      <c r="B233" s="21"/>
      <c r="C233" s="20"/>
      <c r="D233" s="20"/>
      <c r="E233" s="20"/>
      <c r="F233" s="1"/>
    </row>
    <row r="234" spans="1:6">
      <c r="A234" s="20"/>
      <c r="B234" s="21"/>
      <c r="C234" s="20"/>
      <c r="D234" s="20"/>
      <c r="E234" s="20"/>
      <c r="F234" s="1"/>
    </row>
    <row r="235" spans="1:6">
      <c r="A235" s="20"/>
      <c r="B235" s="21"/>
      <c r="C235" s="20"/>
      <c r="D235" s="20"/>
      <c r="E235" s="20"/>
      <c r="F235" s="1"/>
    </row>
    <row r="236" spans="1:6">
      <c r="A236" s="20"/>
      <c r="B236" s="21"/>
      <c r="C236" s="20"/>
      <c r="D236" s="20"/>
      <c r="E236" s="20"/>
      <c r="F236" s="1"/>
    </row>
    <row r="237" spans="1:6">
      <c r="A237" s="20"/>
      <c r="B237" s="21"/>
      <c r="C237" s="20"/>
      <c r="D237" s="20"/>
      <c r="E237" s="20"/>
      <c r="F237" s="1"/>
    </row>
    <row r="238" spans="1:6">
      <c r="A238" s="20"/>
      <c r="B238" s="21"/>
      <c r="C238" s="20"/>
      <c r="D238" s="20"/>
      <c r="E238" s="20"/>
      <c r="F238" s="1"/>
    </row>
    <row r="239" spans="1:6">
      <c r="A239" s="20"/>
      <c r="B239" s="21"/>
      <c r="C239" s="20"/>
      <c r="D239" s="20"/>
      <c r="E239" s="20"/>
      <c r="F239" s="1"/>
    </row>
    <row r="240" spans="1:6">
      <c r="A240" s="20"/>
      <c r="B240" s="21"/>
      <c r="C240" s="20"/>
      <c r="D240" s="20"/>
      <c r="E240" s="20"/>
      <c r="F240" s="1"/>
    </row>
    <row r="241" spans="1:6">
      <c r="A241" s="20"/>
      <c r="B241" s="21"/>
      <c r="C241" s="20"/>
      <c r="D241" s="20"/>
      <c r="E241" s="20"/>
      <c r="F241" s="1"/>
    </row>
    <row r="242" spans="1:6">
      <c r="A242" s="20"/>
      <c r="B242" s="21"/>
      <c r="C242" s="20"/>
      <c r="D242" s="20"/>
      <c r="E242" s="20"/>
      <c r="F242" s="1"/>
    </row>
    <row r="243" spans="1:6">
      <c r="A243" s="20"/>
      <c r="B243" s="21"/>
      <c r="C243" s="20"/>
      <c r="D243" s="20"/>
      <c r="E243" s="20"/>
      <c r="F243" s="1"/>
    </row>
    <row r="244" spans="1:6">
      <c r="A244" s="20"/>
      <c r="B244" s="21"/>
      <c r="C244" s="20"/>
      <c r="D244" s="20"/>
      <c r="E244" s="20"/>
      <c r="F244" s="1"/>
    </row>
    <row r="245" spans="1:6">
      <c r="A245" s="20"/>
      <c r="B245" s="21"/>
      <c r="C245" s="20"/>
      <c r="D245" s="20"/>
      <c r="E245" s="20"/>
      <c r="F245" s="1"/>
    </row>
    <row r="246" spans="1:6">
      <c r="A246" s="20"/>
      <c r="B246" s="21"/>
      <c r="C246" s="20"/>
      <c r="D246" s="20"/>
      <c r="E246" s="20"/>
      <c r="F246" s="1"/>
    </row>
    <row r="247" spans="1:6">
      <c r="A247" s="20"/>
      <c r="B247" s="21"/>
      <c r="C247" s="20"/>
      <c r="D247" s="20"/>
      <c r="E247" s="20"/>
      <c r="F247" s="1"/>
    </row>
    <row r="248" spans="1:6">
      <c r="A248" s="20"/>
      <c r="B248" s="21"/>
      <c r="C248" s="20"/>
      <c r="D248" s="20"/>
      <c r="E248" s="20"/>
      <c r="F248" s="1"/>
    </row>
    <row r="249" spans="1:6">
      <c r="A249" s="20"/>
      <c r="B249" s="21"/>
      <c r="C249" s="20"/>
      <c r="D249" s="20"/>
      <c r="E249" s="20"/>
      <c r="F249" s="1"/>
    </row>
    <row r="250" spans="1:6">
      <c r="A250" s="20"/>
      <c r="B250" s="21"/>
      <c r="C250" s="20"/>
      <c r="D250" s="20"/>
      <c r="E250" s="20"/>
      <c r="F250" s="1"/>
    </row>
    <row r="251" spans="1:6">
      <c r="A251" s="20"/>
      <c r="B251" s="21"/>
      <c r="C251" s="20"/>
      <c r="D251" s="20"/>
      <c r="E251" s="20"/>
      <c r="F251" s="1"/>
    </row>
    <row r="252" spans="1:6">
      <c r="A252" s="20"/>
      <c r="B252" s="21"/>
      <c r="C252" s="20"/>
      <c r="D252" s="20"/>
      <c r="E252" s="20"/>
      <c r="F252" s="1"/>
    </row>
    <row r="253" spans="1:6">
      <c r="A253" s="20"/>
      <c r="B253" s="21"/>
      <c r="C253" s="20"/>
      <c r="D253" s="20"/>
      <c r="E253" s="20"/>
      <c r="F253" s="1"/>
    </row>
    <row r="254" spans="1:6">
      <c r="A254" s="20"/>
      <c r="B254" s="21"/>
      <c r="C254" s="20"/>
      <c r="D254" s="20"/>
      <c r="E254" s="20"/>
      <c r="F254" s="1"/>
    </row>
    <row r="255" spans="1:6">
      <c r="A255" s="20"/>
      <c r="B255" s="21"/>
      <c r="C255" s="20"/>
      <c r="D255" s="20"/>
      <c r="E255" s="20"/>
      <c r="F255" s="1"/>
    </row>
    <row r="256" spans="1:6">
      <c r="A256" s="20"/>
      <c r="B256" s="21"/>
      <c r="C256" s="20"/>
      <c r="D256" s="20"/>
      <c r="E256" s="20"/>
      <c r="F256" s="1"/>
    </row>
    <row r="257" spans="1:6">
      <c r="A257" s="20"/>
      <c r="B257" s="21"/>
      <c r="C257" s="20"/>
      <c r="D257" s="20"/>
      <c r="E257" s="20"/>
      <c r="F257" s="1"/>
    </row>
    <row r="258" spans="1:6">
      <c r="A258" s="20"/>
      <c r="B258" s="21"/>
      <c r="C258" s="20"/>
      <c r="D258" s="20"/>
      <c r="E258" s="20"/>
      <c r="F258" s="1"/>
    </row>
    <row r="259" spans="1:6">
      <c r="A259" s="20"/>
      <c r="B259" s="21"/>
      <c r="C259" s="20"/>
      <c r="D259" s="20"/>
      <c r="E259" s="20"/>
      <c r="F259" s="1"/>
    </row>
    <row r="260" spans="1:6">
      <c r="A260" s="20"/>
      <c r="B260" s="21"/>
      <c r="C260" s="20"/>
      <c r="D260" s="20"/>
      <c r="E260" s="20"/>
      <c r="F260" s="1"/>
    </row>
    <row r="261" spans="1:6">
      <c r="A261" s="20"/>
      <c r="B261" s="21"/>
      <c r="C261" s="20"/>
      <c r="D261" s="20"/>
      <c r="E261" s="20"/>
      <c r="F261" s="1"/>
    </row>
    <row r="262" spans="1:6">
      <c r="A262" s="20"/>
      <c r="B262" s="21"/>
      <c r="C262" s="20"/>
      <c r="D262" s="20"/>
      <c r="E262" s="20"/>
      <c r="F262" s="1"/>
    </row>
    <row r="263" spans="1:6">
      <c r="A263" s="20"/>
      <c r="B263" s="21"/>
      <c r="C263" s="20"/>
      <c r="D263" s="20"/>
      <c r="E263" s="20"/>
      <c r="F263" s="1"/>
    </row>
    <row r="264" spans="1:6">
      <c r="A264" s="20"/>
      <c r="B264" s="21"/>
      <c r="C264" s="20"/>
      <c r="D264" s="20"/>
      <c r="E264" s="20"/>
      <c r="F264" s="1"/>
    </row>
    <row r="265" spans="1:6">
      <c r="A265" s="20"/>
      <c r="B265" s="21"/>
      <c r="C265" s="20"/>
      <c r="D265" s="20"/>
      <c r="E265" s="20"/>
      <c r="F265" s="1"/>
    </row>
    <row r="266" spans="1:6">
      <c r="A266" s="20"/>
      <c r="B266" s="21"/>
      <c r="C266" s="20"/>
      <c r="D266" s="20"/>
      <c r="E266" s="20"/>
      <c r="F266" s="1"/>
    </row>
    <row r="267" spans="1:6">
      <c r="A267" s="20"/>
      <c r="B267" s="21"/>
      <c r="C267" s="20"/>
      <c r="D267" s="20"/>
      <c r="E267" s="20"/>
      <c r="F267" s="1"/>
    </row>
    <row r="268" spans="1:6">
      <c r="A268" s="20"/>
      <c r="B268" s="21"/>
      <c r="C268" s="20"/>
      <c r="D268" s="20"/>
      <c r="E268" s="20"/>
      <c r="F268" s="1"/>
    </row>
    <row r="269" spans="1:6">
      <c r="A269" s="20"/>
      <c r="B269" s="21"/>
      <c r="C269" s="20"/>
      <c r="D269" s="20"/>
      <c r="E269" s="20"/>
      <c r="F269" s="1"/>
    </row>
    <row r="270" spans="1:6">
      <c r="A270" s="20"/>
      <c r="B270" s="21"/>
      <c r="C270" s="20"/>
      <c r="D270" s="20"/>
      <c r="E270" s="20"/>
      <c r="F270" s="1"/>
    </row>
    <row r="271" spans="1:6">
      <c r="A271" s="20"/>
      <c r="B271" s="21"/>
      <c r="C271" s="20"/>
      <c r="D271" s="20"/>
      <c r="E271" s="20"/>
      <c r="F271" s="1"/>
    </row>
    <row r="272" spans="1:6">
      <c r="A272" s="20"/>
      <c r="B272" s="21"/>
      <c r="C272" s="20"/>
      <c r="D272" s="20"/>
      <c r="E272" s="20"/>
      <c r="F272" s="1"/>
    </row>
    <row r="273" spans="1:6">
      <c r="A273" s="20"/>
      <c r="B273" s="21"/>
      <c r="C273" s="20"/>
      <c r="D273" s="20"/>
      <c r="E273" s="20"/>
      <c r="F273" s="1"/>
    </row>
    <row r="274" spans="1:6">
      <c r="A274" s="20"/>
      <c r="B274" s="21"/>
      <c r="C274" s="20"/>
      <c r="D274" s="20"/>
      <c r="E274" s="20"/>
      <c r="F274" s="1"/>
    </row>
    <row r="275" spans="1:6">
      <c r="A275" s="20"/>
      <c r="B275" s="21"/>
      <c r="C275" s="20"/>
      <c r="D275" s="20"/>
      <c r="E275" s="20"/>
      <c r="F275" s="1"/>
    </row>
    <row r="276" spans="1:6">
      <c r="A276" s="20"/>
      <c r="B276" s="21"/>
      <c r="C276" s="20"/>
      <c r="D276" s="20"/>
      <c r="E276" s="20"/>
      <c r="F276" s="1"/>
    </row>
    <row r="277" spans="1:6">
      <c r="A277" s="20"/>
      <c r="B277" s="21"/>
      <c r="C277" s="20"/>
      <c r="D277" s="20"/>
      <c r="E277" s="20"/>
      <c r="F277" s="1"/>
    </row>
    <row r="278" spans="1:6">
      <c r="A278" s="20"/>
      <c r="B278" s="21"/>
      <c r="C278" s="20"/>
      <c r="D278" s="20"/>
      <c r="E278" s="20"/>
      <c r="F278" s="1"/>
    </row>
    <row r="279" spans="1:6">
      <c r="A279" s="20"/>
      <c r="B279" s="21"/>
      <c r="C279" s="20"/>
      <c r="D279" s="20"/>
      <c r="E279" s="20"/>
      <c r="F279" s="1"/>
    </row>
    <row r="280" spans="1:6">
      <c r="A280" s="20"/>
      <c r="B280" s="21"/>
      <c r="C280" s="20"/>
      <c r="D280" s="20"/>
      <c r="E280" s="20"/>
      <c r="F280" s="1"/>
    </row>
    <row r="281" spans="1:6">
      <c r="A281" s="20"/>
      <c r="B281" s="21"/>
      <c r="C281" s="20"/>
      <c r="D281" s="20"/>
      <c r="E281" s="20"/>
      <c r="F281" s="1"/>
    </row>
    <row r="282" spans="1:6">
      <c r="A282" s="20"/>
      <c r="B282" s="21"/>
      <c r="C282" s="20"/>
      <c r="D282" s="20"/>
      <c r="E282" s="20"/>
      <c r="F282" s="1"/>
    </row>
    <row r="283" spans="1:6">
      <c r="A283" s="20"/>
      <c r="B283" s="21"/>
      <c r="C283" s="20"/>
      <c r="D283" s="20"/>
      <c r="E283" s="20"/>
      <c r="F283" s="1"/>
    </row>
    <row r="284" spans="1:6">
      <c r="A284" s="20"/>
      <c r="B284" s="21"/>
      <c r="C284" s="20"/>
      <c r="D284" s="20"/>
      <c r="E284" s="20"/>
      <c r="F284" s="1"/>
    </row>
    <row r="285" spans="1:6">
      <c r="A285" s="20"/>
      <c r="B285" s="21"/>
      <c r="C285" s="20"/>
      <c r="D285" s="20"/>
      <c r="E285" s="20"/>
      <c r="F285" s="1"/>
    </row>
    <row r="286" spans="1:6">
      <c r="A286" s="20"/>
      <c r="B286" s="21"/>
      <c r="C286" s="20"/>
      <c r="D286" s="20"/>
      <c r="E286" s="20"/>
      <c r="F286" s="1"/>
    </row>
    <row r="287" spans="1:6">
      <c r="A287" s="20"/>
      <c r="B287" s="21"/>
      <c r="C287" s="20"/>
      <c r="D287" s="20"/>
      <c r="E287" s="20"/>
      <c r="F287" s="1"/>
    </row>
    <row r="288" spans="1:6">
      <c r="A288" s="20"/>
      <c r="B288" s="21"/>
      <c r="C288" s="20"/>
      <c r="D288" s="20"/>
      <c r="E288" s="20"/>
      <c r="F288" s="1"/>
    </row>
    <row r="289" spans="1:6">
      <c r="A289" s="20"/>
      <c r="B289" s="21"/>
      <c r="C289" s="20"/>
      <c r="D289" s="20"/>
      <c r="E289" s="20"/>
      <c r="F289" s="1"/>
    </row>
    <row r="290" spans="1:6">
      <c r="A290" s="20"/>
      <c r="B290" s="21"/>
      <c r="C290" s="20"/>
      <c r="D290" s="20"/>
      <c r="E290" s="20"/>
      <c r="F290" s="1"/>
    </row>
    <row r="291" spans="1:6">
      <c r="A291" s="20"/>
      <c r="B291" s="21"/>
      <c r="C291" s="20"/>
      <c r="D291" s="20"/>
      <c r="E291" s="20"/>
      <c r="F291" s="1"/>
    </row>
    <row r="292" spans="1:6">
      <c r="A292" s="20"/>
      <c r="B292" s="21"/>
      <c r="C292" s="20"/>
      <c r="D292" s="20"/>
      <c r="E292" s="20"/>
      <c r="F292" s="1"/>
    </row>
    <row r="293" spans="1:6">
      <c r="A293" s="20"/>
      <c r="B293" s="21"/>
      <c r="C293" s="20"/>
      <c r="D293" s="20"/>
      <c r="E293" s="20"/>
      <c r="F293" s="1"/>
    </row>
    <row r="294" spans="1:6">
      <c r="A294" s="20"/>
      <c r="B294" s="21"/>
      <c r="C294" s="20"/>
      <c r="D294" s="20"/>
      <c r="E294" s="20"/>
      <c r="F294" s="1"/>
    </row>
    <row r="295" spans="1:6">
      <c r="A295" s="20"/>
      <c r="B295" s="21"/>
      <c r="C295" s="20"/>
      <c r="D295" s="20"/>
      <c r="E295" s="20"/>
      <c r="F295" s="1"/>
    </row>
    <row r="296" spans="1:6">
      <c r="A296" s="20"/>
      <c r="B296" s="21"/>
      <c r="C296" s="20"/>
      <c r="D296" s="20"/>
      <c r="E296" s="20"/>
      <c r="F296" s="1"/>
    </row>
    <row r="297" spans="1:6">
      <c r="A297" s="20"/>
      <c r="B297" s="21"/>
      <c r="C297" s="20"/>
      <c r="D297" s="20"/>
      <c r="E297" s="20"/>
      <c r="F297" s="1"/>
    </row>
    <row r="298" spans="1:6">
      <c r="A298" s="20"/>
      <c r="B298" s="21"/>
      <c r="C298" s="20"/>
      <c r="D298" s="20"/>
      <c r="E298" s="20"/>
      <c r="F298" s="1"/>
    </row>
    <row r="299" spans="1:6">
      <c r="A299" s="20"/>
      <c r="B299" s="21"/>
      <c r="C299" s="20"/>
      <c r="D299" s="20"/>
      <c r="E299" s="20"/>
      <c r="F299" s="1"/>
    </row>
    <row r="300" spans="1:6">
      <c r="A300" s="20"/>
      <c r="B300" s="21"/>
      <c r="C300" s="20"/>
      <c r="D300" s="20"/>
      <c r="E300" s="20"/>
      <c r="F300" s="1"/>
    </row>
    <row r="301" spans="1:6">
      <c r="A301" s="20"/>
      <c r="B301" s="21"/>
      <c r="C301" s="20"/>
      <c r="D301" s="20"/>
      <c r="E301" s="20"/>
      <c r="F301" s="1"/>
    </row>
    <row r="302" spans="1:6">
      <c r="A302" s="20"/>
      <c r="B302" s="21"/>
      <c r="C302" s="20"/>
      <c r="D302" s="20"/>
      <c r="E302" s="20"/>
      <c r="F302" s="1"/>
    </row>
    <row r="303" spans="1:6">
      <c r="A303" s="20"/>
      <c r="B303" s="21"/>
      <c r="C303" s="20"/>
      <c r="D303" s="20"/>
      <c r="E303" s="20"/>
      <c r="F303" s="1"/>
    </row>
    <row r="304" spans="1:6">
      <c r="A304" s="20"/>
      <c r="B304" s="21"/>
      <c r="C304" s="20"/>
      <c r="D304" s="20"/>
      <c r="E304" s="20"/>
      <c r="F304" s="1"/>
    </row>
    <row r="305" spans="1:6">
      <c r="A305" s="20"/>
      <c r="B305" s="21"/>
      <c r="C305" s="20"/>
      <c r="D305" s="20"/>
      <c r="E305" s="20"/>
      <c r="F305" s="1"/>
    </row>
    <row r="306" spans="1:6">
      <c r="A306" s="20"/>
      <c r="B306" s="21"/>
      <c r="C306" s="20"/>
      <c r="D306" s="20"/>
      <c r="E306" s="20"/>
      <c r="F306" s="1"/>
    </row>
    <row r="307" spans="1:6">
      <c r="A307" s="20"/>
      <c r="B307" s="21"/>
      <c r="C307" s="20"/>
      <c r="D307" s="20"/>
      <c r="E307" s="20"/>
      <c r="F307" s="1"/>
    </row>
    <row r="308" spans="1:6">
      <c r="A308" s="20"/>
      <c r="B308" s="21"/>
      <c r="C308" s="20"/>
      <c r="D308" s="20"/>
      <c r="E308" s="20"/>
      <c r="F308" s="1"/>
    </row>
    <row r="309" spans="1:6">
      <c r="A309" s="20"/>
      <c r="B309" s="21"/>
      <c r="C309" s="20"/>
      <c r="D309" s="20"/>
      <c r="E309" s="20"/>
      <c r="F309" s="1"/>
    </row>
    <row r="310" spans="1:6">
      <c r="A310" s="20"/>
      <c r="B310" s="21"/>
      <c r="C310" s="20"/>
      <c r="D310" s="20"/>
      <c r="E310" s="20"/>
      <c r="F310" s="1"/>
    </row>
    <row r="311" spans="1:6">
      <c r="A311" s="20"/>
      <c r="B311" s="21"/>
      <c r="C311" s="20"/>
      <c r="D311" s="20"/>
      <c r="E311" s="20"/>
      <c r="F311" s="1"/>
    </row>
    <row r="312" spans="1:6">
      <c r="A312" s="20"/>
      <c r="B312" s="21"/>
      <c r="C312" s="20"/>
      <c r="D312" s="20"/>
      <c r="E312" s="20"/>
      <c r="F312" s="1"/>
    </row>
    <row r="313" spans="1:6">
      <c r="A313" s="20"/>
      <c r="B313" s="21"/>
      <c r="C313" s="20"/>
      <c r="D313" s="20"/>
      <c r="E313" s="20"/>
      <c r="F313" s="1"/>
    </row>
    <row r="314" spans="1:6">
      <c r="A314" s="20"/>
      <c r="B314" s="21"/>
      <c r="C314" s="20"/>
      <c r="D314" s="20"/>
      <c r="E314" s="20"/>
      <c r="F314" s="1"/>
    </row>
    <row r="315" spans="1:6">
      <c r="A315" s="20"/>
      <c r="B315" s="21"/>
      <c r="C315" s="20"/>
      <c r="D315" s="20"/>
      <c r="E315" s="20"/>
      <c r="F315" s="1"/>
    </row>
    <row r="316" spans="1:6">
      <c r="A316" s="20"/>
      <c r="B316" s="21"/>
      <c r="C316" s="20"/>
      <c r="D316" s="20"/>
      <c r="E316" s="20"/>
      <c r="F316" s="1"/>
    </row>
    <row r="317" spans="1:6">
      <c r="A317" s="20"/>
      <c r="B317" s="21"/>
      <c r="C317" s="20"/>
      <c r="D317" s="20"/>
      <c r="E317" s="20"/>
      <c r="F317" s="1"/>
    </row>
    <row r="318" spans="1:6">
      <c r="A318" s="20"/>
      <c r="B318" s="21"/>
      <c r="C318" s="20"/>
      <c r="D318" s="20"/>
      <c r="E318" s="20"/>
      <c r="F318" s="1"/>
    </row>
    <row r="319" spans="1:6">
      <c r="A319" s="20"/>
      <c r="B319" s="21"/>
      <c r="C319" s="20"/>
      <c r="D319" s="20"/>
      <c r="E319" s="20"/>
      <c r="F319" s="1"/>
    </row>
    <row r="320" spans="1:6">
      <c r="A320" s="20"/>
      <c r="B320" s="21"/>
      <c r="C320" s="20"/>
      <c r="D320" s="20"/>
      <c r="E320" s="20"/>
      <c r="F320" s="1"/>
    </row>
    <row r="321" spans="1:6">
      <c r="A321" s="20"/>
      <c r="B321" s="21"/>
      <c r="C321" s="20"/>
      <c r="D321" s="20"/>
      <c r="E321" s="20"/>
      <c r="F321" s="1"/>
    </row>
    <row r="322" spans="1:6">
      <c r="A322" s="20"/>
      <c r="B322" s="21"/>
      <c r="C322" s="20"/>
      <c r="D322" s="20"/>
      <c r="E322" s="20"/>
      <c r="F322" s="1"/>
    </row>
    <row r="323" spans="1:6">
      <c r="A323" s="20"/>
      <c r="B323" s="21"/>
      <c r="C323" s="20"/>
      <c r="D323" s="20"/>
      <c r="E323" s="20"/>
      <c r="F323" s="1"/>
    </row>
    <row r="324" spans="1:6">
      <c r="A324" s="20"/>
      <c r="B324" s="21"/>
      <c r="C324" s="20"/>
      <c r="D324" s="20"/>
      <c r="E324" s="20"/>
      <c r="F324" s="1"/>
    </row>
    <row r="325" spans="1:6">
      <c r="A325" s="20"/>
      <c r="B325" s="21"/>
      <c r="C325" s="20"/>
      <c r="D325" s="20"/>
      <c r="E325" s="20"/>
      <c r="F325" s="1"/>
    </row>
    <row r="326" spans="1:6">
      <c r="A326" s="20"/>
      <c r="B326" s="21"/>
      <c r="C326" s="20"/>
      <c r="D326" s="20"/>
      <c r="E326" s="20"/>
      <c r="F326" s="1"/>
    </row>
    <row r="327" spans="1:6">
      <c r="A327" s="20"/>
      <c r="B327" s="21"/>
      <c r="C327" s="20"/>
      <c r="D327" s="20"/>
      <c r="E327" s="20"/>
      <c r="F327" s="1"/>
    </row>
    <row r="328" spans="1:6">
      <c r="A328" s="20"/>
      <c r="B328" s="21"/>
      <c r="C328" s="20"/>
      <c r="D328" s="20"/>
      <c r="E328" s="20"/>
      <c r="F328" s="1"/>
    </row>
    <row r="329" spans="1:6">
      <c r="A329" s="20"/>
      <c r="B329" s="21"/>
      <c r="C329" s="20"/>
      <c r="D329" s="20"/>
      <c r="E329" s="20"/>
      <c r="F329" s="1"/>
    </row>
    <row r="330" spans="1:6">
      <c r="A330" s="20"/>
      <c r="B330" s="21"/>
      <c r="C330" s="20"/>
      <c r="D330" s="20"/>
      <c r="E330" s="20"/>
      <c r="F330" s="1"/>
    </row>
    <row r="331" spans="1:6">
      <c r="A331" s="20"/>
      <c r="B331" s="21"/>
      <c r="C331" s="20"/>
      <c r="D331" s="20"/>
      <c r="E331" s="20"/>
      <c r="F331" s="1"/>
    </row>
    <row r="332" spans="1:6">
      <c r="A332" s="20"/>
      <c r="B332" s="21"/>
      <c r="C332" s="20"/>
      <c r="D332" s="20"/>
      <c r="E332" s="20"/>
      <c r="F332" s="1"/>
    </row>
    <row r="333" spans="1:6">
      <c r="A333" s="20"/>
      <c r="B333" s="21"/>
      <c r="C333" s="20"/>
      <c r="D333" s="20"/>
      <c r="E333" s="20"/>
      <c r="F333" s="1"/>
    </row>
    <row r="334" spans="1:6">
      <c r="A334" s="20"/>
      <c r="B334" s="21"/>
      <c r="C334" s="20"/>
      <c r="D334" s="20"/>
      <c r="E334" s="20"/>
      <c r="F334" s="1"/>
    </row>
    <row r="335" spans="1:6">
      <c r="A335" s="20"/>
      <c r="B335" s="21"/>
      <c r="C335" s="20"/>
      <c r="D335" s="20"/>
      <c r="E335" s="20"/>
      <c r="F335" s="1"/>
    </row>
    <row r="336" spans="1:6">
      <c r="A336" s="20"/>
      <c r="B336" s="21"/>
      <c r="C336" s="20"/>
      <c r="D336" s="20"/>
      <c r="E336" s="20"/>
      <c r="F336" s="1"/>
    </row>
    <row r="337" spans="1:6">
      <c r="A337" s="20"/>
      <c r="B337" s="21"/>
      <c r="C337" s="20"/>
      <c r="D337" s="20"/>
      <c r="E337" s="20"/>
      <c r="F337" s="1"/>
    </row>
    <row r="338" spans="1:6">
      <c r="A338" s="20"/>
      <c r="B338" s="21"/>
      <c r="C338" s="20"/>
      <c r="D338" s="20"/>
      <c r="E338" s="20"/>
      <c r="F338" s="1"/>
    </row>
    <row r="339" spans="1:6">
      <c r="A339" s="20"/>
      <c r="B339" s="21"/>
      <c r="C339" s="20"/>
      <c r="D339" s="20"/>
      <c r="E339" s="20"/>
      <c r="F339" s="1"/>
    </row>
    <row r="340" spans="1:6">
      <c r="A340" s="20"/>
      <c r="B340" s="21"/>
      <c r="C340" s="20"/>
      <c r="D340" s="20"/>
      <c r="E340" s="20"/>
      <c r="F340" s="1"/>
    </row>
    <row r="341" spans="1:6">
      <c r="A341" s="20"/>
      <c r="B341" s="21"/>
      <c r="C341" s="20"/>
      <c r="D341" s="20"/>
      <c r="E341" s="20"/>
      <c r="F341" s="1"/>
    </row>
    <row r="342" spans="1:6">
      <c r="A342" s="20"/>
      <c r="B342" s="21"/>
      <c r="C342" s="20"/>
      <c r="D342" s="20"/>
      <c r="E342" s="20"/>
      <c r="F342" s="1"/>
    </row>
    <row r="343" spans="1:6">
      <c r="A343" s="20"/>
      <c r="B343" s="21"/>
      <c r="C343" s="20"/>
      <c r="D343" s="20"/>
      <c r="E343" s="20"/>
      <c r="F343" s="1"/>
    </row>
    <row r="344" spans="1:6">
      <c r="A344" s="20"/>
      <c r="B344" s="21"/>
      <c r="C344" s="20"/>
      <c r="D344" s="20"/>
      <c r="E344" s="20"/>
      <c r="F344" s="1"/>
    </row>
    <row r="345" spans="1:6">
      <c r="A345" s="20"/>
      <c r="B345" s="21"/>
      <c r="C345" s="20"/>
      <c r="D345" s="20"/>
      <c r="E345" s="20"/>
      <c r="F345" s="1"/>
    </row>
    <row r="346" spans="1:6">
      <c r="A346" s="20"/>
      <c r="B346" s="21"/>
      <c r="C346" s="20"/>
      <c r="D346" s="20"/>
      <c r="E346" s="20"/>
      <c r="F346" s="1"/>
    </row>
    <row r="347" spans="1:6">
      <c r="A347" s="20"/>
      <c r="B347" s="21"/>
      <c r="C347" s="20"/>
      <c r="D347" s="20"/>
      <c r="E347" s="20"/>
      <c r="F347" s="1"/>
    </row>
    <row r="348" spans="1:6">
      <c r="A348" s="20"/>
      <c r="B348" s="21"/>
      <c r="C348" s="20"/>
      <c r="D348" s="20"/>
      <c r="E348" s="20"/>
      <c r="F348" s="1"/>
    </row>
    <row r="349" spans="1:6">
      <c r="A349" s="20"/>
      <c r="B349" s="21"/>
      <c r="C349" s="20"/>
      <c r="D349" s="20"/>
      <c r="E349" s="20"/>
      <c r="F349" s="1"/>
    </row>
    <row r="350" spans="1:6">
      <c r="A350" s="20"/>
      <c r="B350" s="21"/>
      <c r="C350" s="20"/>
      <c r="D350" s="20"/>
      <c r="E350" s="20"/>
      <c r="F350" s="1"/>
    </row>
    <row r="351" spans="1:6">
      <c r="A351" s="20"/>
      <c r="B351" s="21"/>
      <c r="C351" s="20"/>
      <c r="D351" s="20"/>
      <c r="E351" s="20"/>
      <c r="F351" s="1"/>
    </row>
    <row r="352" spans="1:6">
      <c r="A352" s="20"/>
      <c r="B352" s="21"/>
      <c r="C352" s="20"/>
      <c r="D352" s="20"/>
      <c r="E352" s="20"/>
      <c r="F352" s="1"/>
    </row>
    <row r="353" spans="1:6">
      <c r="A353" s="20"/>
      <c r="B353" s="21"/>
      <c r="C353" s="20"/>
      <c r="D353" s="20"/>
      <c r="E353" s="20"/>
      <c r="F353" s="1"/>
    </row>
    <row r="354" spans="1:6">
      <c r="A354" s="20"/>
      <c r="B354" s="21"/>
      <c r="C354" s="20"/>
      <c r="D354" s="20"/>
      <c r="E354" s="20"/>
      <c r="F354" s="1"/>
    </row>
    <row r="355" spans="1:6">
      <c r="A355" s="20"/>
      <c r="B355" s="21"/>
      <c r="C355" s="20"/>
      <c r="D355" s="20"/>
      <c r="E355" s="20"/>
      <c r="F355" s="1"/>
    </row>
    <row r="356" spans="1:6">
      <c r="A356" s="20"/>
      <c r="B356" s="21"/>
      <c r="C356" s="20"/>
      <c r="D356" s="20"/>
      <c r="E356" s="20"/>
      <c r="F356" s="1"/>
    </row>
    <row r="357" spans="1:6">
      <c r="A357" s="20"/>
      <c r="B357" s="21"/>
      <c r="C357" s="20"/>
      <c r="D357" s="20"/>
      <c r="E357" s="20"/>
      <c r="F357" s="1"/>
    </row>
    <row r="358" spans="1:6">
      <c r="A358" s="20"/>
      <c r="B358" s="21"/>
      <c r="C358" s="20"/>
      <c r="D358" s="20"/>
      <c r="E358" s="20"/>
      <c r="F358" s="1"/>
    </row>
    <row r="359" spans="1:6">
      <c r="A359" s="20"/>
      <c r="B359" s="21"/>
      <c r="C359" s="20"/>
      <c r="D359" s="20"/>
      <c r="E359" s="20"/>
      <c r="F359" s="1"/>
    </row>
    <row r="360" spans="1:6">
      <c r="A360" s="20"/>
      <c r="B360" s="21"/>
      <c r="C360" s="20"/>
      <c r="D360" s="20"/>
      <c r="E360" s="20"/>
      <c r="F360" s="1"/>
    </row>
    <row r="361" spans="1:6">
      <c r="A361" s="20"/>
      <c r="B361" s="21"/>
      <c r="C361" s="20"/>
      <c r="D361" s="20"/>
      <c r="E361" s="20"/>
      <c r="F361" s="1"/>
    </row>
    <row r="362" spans="1:6">
      <c r="A362" s="20"/>
      <c r="B362" s="21"/>
      <c r="C362" s="20"/>
      <c r="D362" s="20"/>
      <c r="E362" s="20"/>
      <c r="F362" s="1"/>
    </row>
    <row r="363" spans="1:6">
      <c r="A363" s="20"/>
      <c r="B363" s="21"/>
      <c r="C363" s="20"/>
      <c r="D363" s="20"/>
      <c r="E363" s="20"/>
      <c r="F363" s="1"/>
    </row>
    <row r="364" spans="1:6">
      <c r="A364" s="20"/>
      <c r="B364" s="21"/>
      <c r="C364" s="20"/>
      <c r="D364" s="20"/>
      <c r="E364" s="20"/>
      <c r="F364" s="1"/>
    </row>
    <row r="365" spans="1:6">
      <c r="A365" s="20"/>
      <c r="B365" s="21"/>
      <c r="C365" s="20"/>
      <c r="D365" s="20"/>
      <c r="E365" s="20"/>
      <c r="F365" s="1"/>
    </row>
    <row r="366" spans="1:6">
      <c r="A366" s="20"/>
      <c r="B366" s="21"/>
      <c r="C366" s="20"/>
      <c r="D366" s="20"/>
      <c r="E366" s="20"/>
      <c r="F366" s="1"/>
    </row>
    <row r="367" spans="1:6">
      <c r="A367" s="20"/>
      <c r="B367" s="21"/>
      <c r="C367" s="20"/>
      <c r="D367" s="20"/>
      <c r="E367" s="20"/>
      <c r="F367" s="1"/>
    </row>
    <row r="368" spans="1:6">
      <c r="A368" s="20"/>
      <c r="B368" s="21"/>
      <c r="C368" s="20"/>
      <c r="D368" s="20"/>
      <c r="E368" s="20"/>
      <c r="F368" s="1"/>
    </row>
    <row r="369" spans="1:6">
      <c r="A369" s="20"/>
      <c r="B369" s="21"/>
      <c r="C369" s="20"/>
      <c r="D369" s="20"/>
      <c r="E369" s="20"/>
      <c r="F369" s="1"/>
    </row>
    <row r="370" spans="1:6">
      <c r="A370" s="20"/>
      <c r="B370" s="21"/>
      <c r="C370" s="20"/>
      <c r="D370" s="20"/>
      <c r="E370" s="20"/>
      <c r="F370" s="1"/>
    </row>
    <row r="371" spans="1:6">
      <c r="A371" s="20"/>
      <c r="B371" s="21"/>
      <c r="C371" s="20"/>
      <c r="D371" s="20"/>
      <c r="E371" s="20"/>
      <c r="F371" s="1"/>
    </row>
    <row r="372" spans="1:6">
      <c r="A372" s="20"/>
      <c r="B372" s="21"/>
      <c r="C372" s="20"/>
      <c r="D372" s="20"/>
      <c r="E372" s="20"/>
      <c r="F372" s="1"/>
    </row>
    <row r="373" spans="1:6">
      <c r="A373" s="20"/>
      <c r="B373" s="21"/>
      <c r="C373" s="20"/>
      <c r="D373" s="20"/>
      <c r="E373" s="20"/>
      <c r="F373" s="1"/>
    </row>
    <row r="374" spans="1:6">
      <c r="A374" s="20"/>
      <c r="B374" s="21"/>
      <c r="C374" s="20"/>
      <c r="D374" s="20"/>
      <c r="E374" s="20"/>
      <c r="F374" s="1"/>
    </row>
    <row r="375" spans="1:6">
      <c r="A375" s="20"/>
      <c r="B375" s="21"/>
      <c r="C375" s="20"/>
      <c r="D375" s="20"/>
      <c r="E375" s="20"/>
      <c r="F375" s="1"/>
    </row>
    <row r="376" spans="1:6">
      <c r="A376" s="20"/>
      <c r="B376" s="21"/>
      <c r="C376" s="20"/>
      <c r="D376" s="20"/>
      <c r="E376" s="20"/>
      <c r="F376" s="1"/>
    </row>
    <row r="377" spans="1:6">
      <c r="A377" s="20"/>
      <c r="B377" s="21"/>
      <c r="C377" s="20"/>
      <c r="D377" s="20"/>
      <c r="E377" s="20"/>
      <c r="F377" s="1"/>
    </row>
    <row r="378" spans="1:6">
      <c r="A378" s="20"/>
      <c r="B378" s="21"/>
      <c r="C378" s="20"/>
      <c r="D378" s="20"/>
      <c r="E378" s="20"/>
      <c r="F378" s="1"/>
    </row>
    <row r="379" spans="1:6">
      <c r="A379" s="20"/>
      <c r="B379" s="21"/>
      <c r="C379" s="20"/>
      <c r="D379" s="20"/>
      <c r="E379" s="20"/>
      <c r="F379" s="1"/>
    </row>
    <row r="380" spans="1:6">
      <c r="A380" s="20"/>
      <c r="B380" s="21"/>
      <c r="C380" s="20"/>
      <c r="D380" s="20"/>
      <c r="E380" s="20"/>
      <c r="F380" s="1"/>
    </row>
    <row r="381" spans="1:6">
      <c r="A381" s="20"/>
      <c r="B381" s="21"/>
      <c r="C381" s="20"/>
      <c r="D381" s="20"/>
      <c r="E381" s="20"/>
      <c r="F381" s="1"/>
    </row>
    <row r="382" spans="1:6">
      <c r="A382" s="20"/>
      <c r="B382" s="21"/>
      <c r="C382" s="20"/>
      <c r="D382" s="20"/>
      <c r="E382" s="20"/>
      <c r="F382" s="1"/>
    </row>
    <row r="383" spans="1:6">
      <c r="A383" s="20"/>
      <c r="B383" s="21"/>
      <c r="C383" s="20"/>
      <c r="D383" s="20"/>
      <c r="E383" s="20"/>
      <c r="F383" s="1"/>
    </row>
    <row r="384" spans="1:6">
      <c r="A384" s="20"/>
      <c r="B384" s="21"/>
      <c r="C384" s="20"/>
      <c r="D384" s="20"/>
      <c r="E384" s="20"/>
      <c r="F384" s="1"/>
    </row>
    <row r="385" spans="1:6">
      <c r="A385" s="20"/>
      <c r="B385" s="21"/>
      <c r="C385" s="20"/>
      <c r="D385" s="20"/>
      <c r="E385" s="20"/>
      <c r="F385" s="1"/>
    </row>
    <row r="386" spans="1:6">
      <c r="A386" s="20"/>
      <c r="B386" s="21"/>
      <c r="C386" s="20"/>
      <c r="D386" s="20"/>
      <c r="E386" s="20"/>
      <c r="F386" s="1"/>
    </row>
    <row r="387" spans="1:6">
      <c r="A387" s="20"/>
      <c r="B387" s="21"/>
      <c r="C387" s="20"/>
      <c r="D387" s="20"/>
      <c r="E387" s="20"/>
      <c r="F387" s="1"/>
    </row>
    <row r="388" spans="1:6">
      <c r="A388" s="20"/>
      <c r="B388" s="21"/>
      <c r="C388" s="20"/>
      <c r="D388" s="20"/>
      <c r="E388" s="20"/>
      <c r="F388" s="1"/>
    </row>
    <row r="389" spans="1:6">
      <c r="A389" s="20"/>
      <c r="B389" s="21"/>
      <c r="C389" s="20"/>
      <c r="D389" s="20"/>
      <c r="E389" s="20"/>
      <c r="F389" s="1"/>
    </row>
    <row r="390" spans="1:6">
      <c r="A390" s="20"/>
      <c r="B390" s="21"/>
      <c r="C390" s="20"/>
      <c r="D390" s="20"/>
      <c r="E390" s="20"/>
      <c r="F390" s="1"/>
    </row>
    <row r="391" spans="1:6">
      <c r="A391" s="20"/>
      <c r="B391" s="21"/>
      <c r="C391" s="20"/>
      <c r="D391" s="20"/>
      <c r="E391" s="20"/>
      <c r="F391" s="1"/>
    </row>
    <row r="392" spans="1:6">
      <c r="A392" s="20"/>
      <c r="B392" s="21"/>
      <c r="C392" s="20"/>
      <c r="D392" s="20"/>
      <c r="E392" s="20"/>
      <c r="F392" s="1"/>
    </row>
    <row r="393" spans="1:6">
      <c r="A393" s="20"/>
      <c r="B393" s="21"/>
      <c r="C393" s="20"/>
      <c r="D393" s="20"/>
      <c r="E393" s="20"/>
      <c r="F393" s="1"/>
    </row>
    <row r="394" spans="1:6">
      <c r="A394" s="20"/>
      <c r="B394" s="21"/>
      <c r="C394" s="20"/>
      <c r="D394" s="20"/>
      <c r="E394" s="20"/>
      <c r="F394" s="1"/>
    </row>
    <row r="395" spans="1:6">
      <c r="A395" s="20"/>
      <c r="B395" s="21"/>
      <c r="C395" s="20"/>
      <c r="D395" s="20"/>
      <c r="E395" s="20"/>
      <c r="F395" s="1"/>
    </row>
    <row r="396" spans="1:6">
      <c r="A396" s="20"/>
      <c r="B396" s="21"/>
      <c r="C396" s="20"/>
      <c r="D396" s="20"/>
      <c r="E396" s="20"/>
      <c r="F396" s="1"/>
    </row>
    <row r="397" spans="1:6">
      <c r="A397" s="20"/>
      <c r="B397" s="21"/>
      <c r="C397" s="20"/>
      <c r="D397" s="20"/>
      <c r="E397" s="20"/>
      <c r="F397" s="1"/>
    </row>
    <row r="398" spans="1:6">
      <c r="A398" s="20"/>
      <c r="B398" s="21"/>
      <c r="C398" s="20"/>
      <c r="D398" s="20"/>
      <c r="E398" s="20"/>
      <c r="F398" s="1"/>
    </row>
    <row r="399" spans="1:6">
      <c r="A399" s="20"/>
      <c r="B399" s="21"/>
      <c r="C399" s="20"/>
      <c r="D399" s="20"/>
      <c r="E399" s="20"/>
      <c r="F399" s="1"/>
    </row>
    <row r="400" spans="1:6">
      <c r="A400" s="20"/>
      <c r="B400" s="21"/>
      <c r="C400" s="20"/>
      <c r="D400" s="20"/>
      <c r="E400" s="20"/>
      <c r="F400" s="1"/>
    </row>
    <row r="401" spans="1:6">
      <c r="A401" s="20"/>
      <c r="B401" s="21"/>
      <c r="C401" s="20"/>
      <c r="D401" s="20"/>
      <c r="E401" s="20"/>
      <c r="F401" s="1"/>
    </row>
    <row r="402" spans="1:6">
      <c r="A402" s="20"/>
      <c r="B402" s="21"/>
      <c r="C402" s="20"/>
      <c r="D402" s="20"/>
      <c r="E402" s="20"/>
      <c r="F402" s="1"/>
    </row>
    <row r="403" spans="1:6">
      <c r="A403" s="20"/>
      <c r="B403" s="21"/>
      <c r="C403" s="20"/>
      <c r="D403" s="20"/>
      <c r="E403" s="20"/>
      <c r="F403" s="1"/>
    </row>
    <row r="404" spans="1:6">
      <c r="A404" s="20"/>
      <c r="B404" s="21"/>
      <c r="C404" s="20"/>
      <c r="D404" s="20"/>
      <c r="E404" s="20"/>
      <c r="F404" s="1"/>
    </row>
    <row r="405" spans="1:6">
      <c r="A405" s="20"/>
      <c r="B405" s="21"/>
      <c r="C405" s="20"/>
      <c r="D405" s="20"/>
      <c r="E405" s="20"/>
      <c r="F405" s="1"/>
    </row>
    <row r="406" spans="1:6">
      <c r="A406" s="20"/>
      <c r="B406" s="21"/>
      <c r="C406" s="20"/>
      <c r="D406" s="20"/>
      <c r="E406" s="20"/>
      <c r="F406" s="1"/>
    </row>
    <row r="407" spans="1:6">
      <c r="A407" s="20"/>
      <c r="B407" s="21"/>
      <c r="C407" s="20"/>
      <c r="D407" s="20"/>
      <c r="E407" s="20"/>
      <c r="F407" s="1"/>
    </row>
    <row r="408" spans="1:6">
      <c r="A408" s="20"/>
      <c r="B408" s="21"/>
      <c r="C408" s="20"/>
      <c r="D408" s="20"/>
      <c r="E408" s="20"/>
      <c r="F408" s="1"/>
    </row>
    <row r="409" spans="1:6">
      <c r="A409" s="20"/>
      <c r="B409" s="21"/>
      <c r="C409" s="20"/>
      <c r="D409" s="20"/>
      <c r="E409" s="20"/>
      <c r="F409" s="1"/>
    </row>
    <row r="410" spans="1:6">
      <c r="A410" s="20"/>
      <c r="B410" s="21"/>
      <c r="C410" s="20"/>
      <c r="D410" s="20"/>
      <c r="E410" s="20"/>
      <c r="F410" s="1"/>
    </row>
    <row r="411" spans="1:6">
      <c r="A411" s="20"/>
      <c r="B411" s="21"/>
      <c r="C411" s="20"/>
      <c r="D411" s="20"/>
      <c r="E411" s="20"/>
      <c r="F411" s="1"/>
    </row>
    <row r="412" spans="1:6">
      <c r="A412" s="20"/>
      <c r="B412" s="21"/>
      <c r="C412" s="20"/>
      <c r="D412" s="20"/>
      <c r="E412" s="20"/>
      <c r="F412" s="1"/>
    </row>
    <row r="413" spans="1:6">
      <c r="A413" s="20"/>
      <c r="B413" s="21"/>
      <c r="C413" s="20"/>
      <c r="D413" s="20"/>
      <c r="E413" s="20"/>
      <c r="F413" s="1"/>
    </row>
    <row r="414" spans="1:6">
      <c r="A414" s="20"/>
      <c r="B414" s="21"/>
      <c r="C414" s="20"/>
      <c r="D414" s="20"/>
      <c r="E414" s="20"/>
      <c r="F414" s="1"/>
    </row>
    <row r="415" spans="1:6">
      <c r="A415" s="20"/>
      <c r="B415" s="21"/>
      <c r="C415" s="20"/>
      <c r="D415" s="20"/>
      <c r="E415" s="20"/>
      <c r="F415" s="1"/>
    </row>
    <row r="416" spans="1:6">
      <c r="A416" s="20"/>
      <c r="B416" s="21"/>
      <c r="C416" s="20"/>
      <c r="D416" s="20"/>
      <c r="E416" s="20"/>
      <c r="F416" s="1"/>
    </row>
    <row r="417" spans="1:6">
      <c r="A417" s="20"/>
      <c r="B417" s="21"/>
      <c r="C417" s="20"/>
      <c r="D417" s="20"/>
      <c r="E417" s="20"/>
      <c r="F417" s="1"/>
    </row>
    <row r="418" spans="1:6">
      <c r="A418" s="20"/>
      <c r="B418" s="21"/>
      <c r="C418" s="20"/>
      <c r="D418" s="20"/>
      <c r="E418" s="20"/>
      <c r="F418" s="1"/>
    </row>
    <row r="419" spans="1:6">
      <c r="A419" s="20"/>
      <c r="B419" s="21"/>
      <c r="C419" s="20"/>
      <c r="D419" s="20"/>
      <c r="E419" s="20"/>
      <c r="F419" s="1"/>
    </row>
    <row r="420" spans="1:6">
      <c r="A420" s="20"/>
      <c r="B420" s="21"/>
      <c r="C420" s="20"/>
      <c r="D420" s="20"/>
      <c r="E420" s="20"/>
      <c r="F420" s="1"/>
    </row>
    <row r="421" spans="1:6">
      <c r="A421" s="20"/>
      <c r="B421" s="21"/>
      <c r="C421" s="20"/>
      <c r="D421" s="20"/>
      <c r="E421" s="20"/>
      <c r="F421" s="1"/>
    </row>
    <row r="422" spans="1:6">
      <c r="A422" s="20"/>
      <c r="B422" s="21"/>
      <c r="C422" s="20"/>
      <c r="D422" s="20"/>
      <c r="E422" s="20"/>
      <c r="F422" s="1"/>
    </row>
    <row r="423" spans="1:6">
      <c r="A423" s="20"/>
      <c r="B423" s="21"/>
      <c r="C423" s="20"/>
      <c r="D423" s="20"/>
      <c r="E423" s="20"/>
      <c r="F423" s="1"/>
    </row>
    <row r="424" spans="1:6">
      <c r="A424" s="20"/>
      <c r="B424" s="21"/>
      <c r="C424" s="20"/>
      <c r="D424" s="20"/>
      <c r="E424" s="20"/>
      <c r="F424" s="1"/>
    </row>
    <row r="425" spans="1:6">
      <c r="A425" s="20"/>
      <c r="B425" s="21"/>
      <c r="C425" s="20"/>
      <c r="D425" s="20"/>
      <c r="E425" s="20"/>
      <c r="F425" s="1"/>
    </row>
    <row r="426" spans="1:6">
      <c r="A426" s="20"/>
      <c r="B426" s="21"/>
      <c r="C426" s="20"/>
      <c r="D426" s="20"/>
      <c r="E426" s="20"/>
      <c r="F426" s="1"/>
    </row>
    <row r="427" spans="1:6">
      <c r="A427" s="20"/>
      <c r="B427" s="21"/>
      <c r="C427" s="20"/>
      <c r="D427" s="20"/>
      <c r="E427" s="20"/>
      <c r="F427" s="1"/>
    </row>
    <row r="428" spans="1:6">
      <c r="A428" s="20"/>
      <c r="B428" s="21"/>
      <c r="C428" s="20"/>
      <c r="D428" s="20"/>
      <c r="E428" s="20"/>
      <c r="F428" s="1"/>
    </row>
    <row r="429" spans="1:6">
      <c r="A429" s="20"/>
      <c r="B429" s="21"/>
      <c r="C429" s="20"/>
      <c r="D429" s="20"/>
      <c r="E429" s="20"/>
      <c r="F429" s="1"/>
    </row>
    <row r="430" spans="1:6">
      <c r="A430" s="20"/>
      <c r="B430" s="21"/>
      <c r="C430" s="20"/>
      <c r="D430" s="20"/>
      <c r="E430" s="20"/>
      <c r="F430" s="1"/>
    </row>
    <row r="431" spans="1:6">
      <c r="A431" s="20"/>
      <c r="B431" s="21"/>
      <c r="C431" s="20"/>
      <c r="D431" s="20"/>
      <c r="E431" s="20"/>
      <c r="F431" s="1"/>
    </row>
    <row r="432" spans="1:6">
      <c r="A432" s="20"/>
      <c r="B432" s="21"/>
      <c r="C432" s="20"/>
      <c r="D432" s="20"/>
      <c r="E432" s="20"/>
      <c r="F432" s="1"/>
    </row>
    <row r="433" spans="1:6">
      <c r="A433" s="20"/>
      <c r="B433" s="21"/>
      <c r="C433" s="20"/>
      <c r="D433" s="20"/>
      <c r="E433" s="20"/>
      <c r="F433" s="1"/>
    </row>
    <row r="434" spans="1:6">
      <c r="A434" s="20"/>
      <c r="B434" s="21"/>
      <c r="C434" s="20"/>
      <c r="D434" s="20"/>
      <c r="E434" s="20"/>
      <c r="F434" s="1"/>
    </row>
    <row r="435" spans="1:6">
      <c r="A435" s="20"/>
      <c r="B435" s="21"/>
      <c r="C435" s="20"/>
      <c r="D435" s="20"/>
      <c r="E435" s="20"/>
      <c r="F435" s="1"/>
    </row>
    <row r="436" spans="1:6">
      <c r="A436" s="20"/>
      <c r="B436" s="21"/>
      <c r="C436" s="20"/>
      <c r="D436" s="20"/>
      <c r="E436" s="20"/>
      <c r="F436" s="1"/>
    </row>
    <row r="437" spans="1:6">
      <c r="A437" s="20"/>
      <c r="B437" s="21"/>
      <c r="C437" s="20"/>
      <c r="D437" s="20"/>
      <c r="E437" s="20"/>
      <c r="F437" s="1"/>
    </row>
    <row r="438" spans="1:6">
      <c r="A438" s="20"/>
      <c r="B438" s="21"/>
      <c r="C438" s="20"/>
      <c r="D438" s="20"/>
      <c r="E438" s="20"/>
      <c r="F438" s="1"/>
    </row>
    <row r="439" spans="1:6">
      <c r="A439" s="20"/>
      <c r="B439" s="21"/>
      <c r="C439" s="20"/>
      <c r="D439" s="20"/>
      <c r="E439" s="20"/>
      <c r="F439" s="1"/>
    </row>
    <row r="440" spans="1:6">
      <c r="A440" s="20"/>
      <c r="B440" s="21"/>
      <c r="C440" s="20"/>
      <c r="D440" s="20"/>
      <c r="E440" s="20"/>
      <c r="F440" s="1"/>
    </row>
    <row r="441" spans="1:6">
      <c r="A441" s="20"/>
      <c r="B441" s="21"/>
      <c r="C441" s="20"/>
      <c r="D441" s="20"/>
      <c r="E441" s="20"/>
      <c r="F441" s="1"/>
    </row>
    <row r="442" spans="1:6">
      <c r="A442" s="20"/>
      <c r="B442" s="21"/>
      <c r="C442" s="20"/>
      <c r="D442" s="20"/>
      <c r="E442" s="20"/>
      <c r="F442" s="1"/>
    </row>
    <row r="443" spans="1:6">
      <c r="A443" s="20"/>
      <c r="B443" s="21"/>
      <c r="C443" s="20"/>
      <c r="D443" s="20"/>
      <c r="E443" s="20"/>
      <c r="F443" s="1"/>
    </row>
    <row r="444" spans="1:6">
      <c r="A444" s="20"/>
      <c r="B444" s="21"/>
      <c r="C444" s="20"/>
      <c r="D444" s="20"/>
      <c r="E444" s="20"/>
      <c r="F444" s="1"/>
    </row>
    <row r="445" spans="1:6">
      <c r="A445" s="20"/>
      <c r="B445" s="21"/>
      <c r="C445" s="20"/>
      <c r="D445" s="20"/>
      <c r="E445" s="20"/>
      <c r="F445" s="1"/>
    </row>
    <row r="446" spans="1:6">
      <c r="A446" s="20"/>
      <c r="B446" s="21"/>
      <c r="C446" s="20"/>
      <c r="D446" s="20"/>
      <c r="E446" s="20"/>
      <c r="F446" s="1"/>
    </row>
    <row r="447" spans="1:6">
      <c r="A447" s="20"/>
      <c r="B447" s="21"/>
      <c r="C447" s="20"/>
      <c r="D447" s="20"/>
      <c r="E447" s="20"/>
      <c r="F447" s="1"/>
    </row>
    <row r="448" spans="1:6">
      <c r="A448" s="20"/>
      <c r="B448" s="21"/>
      <c r="C448" s="20"/>
      <c r="D448" s="20"/>
      <c r="E448" s="20"/>
      <c r="F448" s="1"/>
    </row>
    <row r="449" spans="1:6">
      <c r="A449" s="20"/>
      <c r="B449" s="21"/>
      <c r="C449" s="20"/>
      <c r="D449" s="20"/>
      <c r="E449" s="20"/>
      <c r="F449" s="1"/>
    </row>
    <row r="450" spans="1:6">
      <c r="A450" s="20"/>
      <c r="B450" s="21"/>
      <c r="C450" s="20"/>
      <c r="D450" s="20"/>
      <c r="E450" s="20"/>
      <c r="F450" s="1"/>
    </row>
    <row r="451" spans="1:6">
      <c r="A451" s="20"/>
      <c r="B451" s="21"/>
      <c r="C451" s="20"/>
      <c r="D451" s="20"/>
      <c r="E451" s="20"/>
      <c r="F451" s="1"/>
    </row>
    <row r="452" spans="1:6">
      <c r="A452" s="20"/>
      <c r="B452" s="21"/>
      <c r="C452" s="20"/>
      <c r="D452" s="20"/>
      <c r="E452" s="20"/>
      <c r="F452" s="1"/>
    </row>
    <row r="453" spans="1:6">
      <c r="A453" s="20"/>
      <c r="B453" s="21"/>
      <c r="C453" s="20"/>
      <c r="D453" s="20"/>
      <c r="E453" s="20"/>
      <c r="F453" s="1"/>
    </row>
    <row r="454" spans="1:6">
      <c r="A454" s="20"/>
      <c r="B454" s="21"/>
      <c r="C454" s="20"/>
      <c r="D454" s="20"/>
      <c r="E454" s="20"/>
      <c r="F454" s="1"/>
    </row>
    <row r="455" spans="1:6">
      <c r="A455" s="20"/>
      <c r="B455" s="21"/>
      <c r="C455" s="20"/>
      <c r="D455" s="20"/>
      <c r="E455" s="20"/>
      <c r="F455" s="1"/>
    </row>
    <row r="456" spans="1:6">
      <c r="A456" s="20"/>
      <c r="B456" s="21"/>
      <c r="C456" s="20"/>
      <c r="D456" s="20"/>
      <c r="E456" s="20"/>
      <c r="F456" s="1"/>
    </row>
    <row r="457" spans="1:6">
      <c r="A457" s="20"/>
      <c r="B457" s="21"/>
      <c r="C457" s="20"/>
      <c r="D457" s="20"/>
      <c r="E457" s="20"/>
      <c r="F457" s="1"/>
    </row>
    <row r="458" spans="1:6">
      <c r="A458" s="20"/>
      <c r="B458" s="21"/>
      <c r="C458" s="20"/>
      <c r="D458" s="20"/>
      <c r="E458" s="20"/>
      <c r="F458" s="1"/>
    </row>
    <row r="459" spans="1:6">
      <c r="A459" s="20"/>
      <c r="B459" s="21"/>
      <c r="C459" s="20"/>
      <c r="D459" s="20"/>
      <c r="E459" s="20"/>
      <c r="F459" s="1"/>
    </row>
    <row r="460" spans="1:6">
      <c r="A460" s="20"/>
      <c r="B460" s="21"/>
      <c r="C460" s="20"/>
      <c r="D460" s="20"/>
      <c r="E460" s="20"/>
      <c r="F460" s="1"/>
    </row>
    <row r="461" spans="1:6">
      <c r="A461" s="20"/>
      <c r="B461" s="21"/>
      <c r="C461" s="20"/>
      <c r="D461" s="20"/>
      <c r="E461" s="20"/>
      <c r="F461" s="1"/>
    </row>
    <row r="462" spans="1:6">
      <c r="A462" s="20"/>
      <c r="B462" s="21"/>
      <c r="C462" s="20"/>
      <c r="D462" s="20"/>
      <c r="E462" s="20"/>
      <c r="F462" s="1"/>
    </row>
    <row r="463" spans="1:6">
      <c r="A463" s="20"/>
      <c r="B463" s="21"/>
      <c r="C463" s="20"/>
      <c r="D463" s="20"/>
      <c r="E463" s="20"/>
      <c r="F463" s="1"/>
    </row>
    <row r="464" spans="1:6">
      <c r="A464" s="20"/>
      <c r="B464" s="21"/>
      <c r="C464" s="20"/>
      <c r="D464" s="20"/>
      <c r="E464" s="20"/>
      <c r="F464" s="1"/>
    </row>
    <row r="465" spans="1:6">
      <c r="A465" s="20"/>
      <c r="B465" s="21"/>
      <c r="C465" s="20"/>
      <c r="D465" s="20"/>
      <c r="E465" s="20"/>
      <c r="F465" s="1"/>
    </row>
    <row r="466" spans="1:6">
      <c r="A466" s="20"/>
      <c r="B466" s="21"/>
      <c r="C466" s="20"/>
      <c r="D466" s="20"/>
      <c r="E466" s="20"/>
      <c r="F466" s="1"/>
    </row>
    <row r="467" spans="1:6">
      <c r="A467" s="20"/>
      <c r="B467" s="21"/>
      <c r="C467" s="20"/>
      <c r="D467" s="20"/>
      <c r="E467" s="20"/>
      <c r="F467" s="1"/>
    </row>
    <row r="468" spans="1:6">
      <c r="A468" s="20"/>
      <c r="B468" s="21"/>
      <c r="C468" s="20"/>
      <c r="D468" s="20"/>
      <c r="E468" s="20"/>
      <c r="F468" s="1"/>
    </row>
    <row r="469" spans="1:6">
      <c r="A469" s="20"/>
      <c r="B469" s="21"/>
      <c r="C469" s="20"/>
      <c r="D469" s="20"/>
      <c r="E469" s="20"/>
      <c r="F469" s="1"/>
    </row>
    <row r="470" spans="1:6">
      <c r="A470" s="20"/>
      <c r="B470" s="21"/>
      <c r="C470" s="20"/>
      <c r="D470" s="20"/>
      <c r="E470" s="20"/>
      <c r="F470" s="1"/>
    </row>
    <row r="471" spans="1:6">
      <c r="A471" s="20"/>
      <c r="B471" s="21"/>
      <c r="C471" s="20"/>
      <c r="D471" s="20"/>
      <c r="E471" s="20"/>
      <c r="F471" s="1"/>
    </row>
    <row r="472" spans="1:6">
      <c r="A472" s="20"/>
      <c r="B472" s="21"/>
      <c r="C472" s="20"/>
      <c r="D472" s="20"/>
      <c r="E472" s="20"/>
      <c r="F472" s="1"/>
    </row>
    <row r="473" spans="1:6">
      <c r="A473" s="20"/>
      <c r="B473" s="21"/>
      <c r="C473" s="20"/>
      <c r="D473" s="20"/>
      <c r="E473" s="20"/>
      <c r="F473" s="1"/>
    </row>
    <row r="474" spans="1:6">
      <c r="A474" s="20"/>
      <c r="B474" s="21"/>
      <c r="C474" s="20"/>
      <c r="D474" s="20"/>
      <c r="E474" s="20"/>
      <c r="F474" s="1"/>
    </row>
    <row r="475" spans="1:6">
      <c r="A475" s="20"/>
      <c r="B475" s="21"/>
      <c r="C475" s="20"/>
      <c r="D475" s="20"/>
      <c r="E475" s="20"/>
      <c r="F475" s="1"/>
    </row>
    <row r="476" spans="1:6">
      <c r="A476" s="20"/>
      <c r="B476" s="21"/>
      <c r="C476" s="20"/>
      <c r="D476" s="20"/>
      <c r="E476" s="20"/>
      <c r="F476" s="1"/>
    </row>
    <row r="477" spans="1:6">
      <c r="A477" s="20"/>
      <c r="B477" s="21"/>
      <c r="C477" s="20"/>
      <c r="D477" s="20"/>
      <c r="E477" s="20"/>
      <c r="F477" s="1"/>
    </row>
    <row r="478" spans="1:6">
      <c r="A478" s="20"/>
      <c r="B478" s="21"/>
      <c r="C478" s="20"/>
      <c r="D478" s="20"/>
      <c r="E478" s="20"/>
      <c r="F478" s="1"/>
    </row>
    <row r="479" spans="1:6">
      <c r="A479" s="20"/>
      <c r="B479" s="21"/>
      <c r="C479" s="20"/>
      <c r="D479" s="20"/>
      <c r="E479" s="20"/>
      <c r="F479" s="1"/>
    </row>
    <row r="480" spans="1:6">
      <c r="A480" s="20"/>
      <c r="B480" s="21"/>
      <c r="C480" s="20"/>
      <c r="D480" s="20"/>
      <c r="E480" s="20"/>
      <c r="F480" s="1"/>
    </row>
    <row r="481" spans="1:6">
      <c r="A481" s="20"/>
      <c r="B481" s="21"/>
      <c r="C481" s="20"/>
      <c r="D481" s="20"/>
      <c r="E481" s="20"/>
      <c r="F481" s="1"/>
    </row>
    <row r="482" spans="1:6">
      <c r="A482" s="20"/>
      <c r="B482" s="21"/>
      <c r="C482" s="20"/>
      <c r="D482" s="20"/>
      <c r="E482" s="20"/>
      <c r="F482" s="1"/>
    </row>
    <row r="483" spans="1:6">
      <c r="A483" s="20"/>
      <c r="B483" s="21"/>
      <c r="C483" s="20"/>
      <c r="D483" s="20"/>
      <c r="E483" s="20"/>
      <c r="F483" s="1"/>
    </row>
    <row r="484" spans="1:6">
      <c r="A484" s="20"/>
      <c r="B484" s="21"/>
      <c r="C484" s="20"/>
      <c r="D484" s="20"/>
      <c r="E484" s="20"/>
      <c r="F484" s="1"/>
    </row>
    <row r="485" spans="1:6">
      <c r="A485" s="20"/>
      <c r="B485" s="21"/>
      <c r="C485" s="20"/>
      <c r="D485" s="20"/>
      <c r="E485" s="20"/>
      <c r="F485" s="1"/>
    </row>
    <row r="486" spans="1:6">
      <c r="A486" s="20"/>
      <c r="B486" s="21"/>
      <c r="C486" s="20"/>
      <c r="D486" s="20"/>
      <c r="E486" s="20"/>
      <c r="F486" s="1"/>
    </row>
    <row r="487" spans="1:6">
      <c r="A487" s="20"/>
      <c r="B487" s="21"/>
      <c r="C487" s="20"/>
      <c r="D487" s="20"/>
      <c r="E487" s="20"/>
      <c r="F487" s="1"/>
    </row>
    <row r="488" spans="1:6">
      <c r="A488" s="20"/>
      <c r="B488" s="21"/>
      <c r="C488" s="20"/>
      <c r="D488" s="20"/>
      <c r="E488" s="20"/>
      <c r="F488" s="1"/>
    </row>
    <row r="489" spans="1:6">
      <c r="A489" s="20"/>
      <c r="B489" s="21"/>
      <c r="C489" s="20"/>
      <c r="D489" s="20"/>
      <c r="E489" s="20"/>
      <c r="F489" s="1"/>
    </row>
    <row r="490" spans="1:6">
      <c r="A490" s="20"/>
      <c r="B490" s="21"/>
      <c r="C490" s="20"/>
      <c r="D490" s="20"/>
      <c r="E490" s="20"/>
      <c r="F490" s="1"/>
    </row>
    <row r="491" spans="1:6">
      <c r="A491" s="20"/>
      <c r="B491" s="21"/>
      <c r="C491" s="20"/>
      <c r="D491" s="20"/>
      <c r="E491" s="20"/>
      <c r="F491" s="1"/>
    </row>
    <row r="492" spans="1:6">
      <c r="A492" s="20"/>
      <c r="B492" s="21"/>
      <c r="C492" s="20"/>
      <c r="D492" s="20"/>
      <c r="E492" s="20"/>
      <c r="F492" s="1"/>
    </row>
    <row r="493" spans="1:6">
      <c r="A493" s="20"/>
      <c r="B493" s="21"/>
      <c r="C493" s="20"/>
      <c r="D493" s="20"/>
      <c r="E493" s="20"/>
      <c r="F493" s="1"/>
    </row>
    <row r="494" spans="1:6">
      <c r="A494" s="20"/>
      <c r="B494" s="21"/>
      <c r="C494" s="20"/>
      <c r="D494" s="20"/>
      <c r="E494" s="20"/>
      <c r="F494" s="1"/>
    </row>
    <row r="495" spans="1:6">
      <c r="A495" s="20"/>
      <c r="B495" s="21"/>
      <c r="C495" s="20"/>
      <c r="D495" s="20"/>
      <c r="E495" s="20"/>
      <c r="F495" s="1"/>
    </row>
    <row r="496" spans="1:6">
      <c r="A496" s="20"/>
      <c r="B496" s="21"/>
      <c r="C496" s="20"/>
      <c r="D496" s="20"/>
      <c r="E496" s="20"/>
      <c r="F496" s="1"/>
    </row>
    <row r="497" spans="1:6">
      <c r="A497" s="20"/>
      <c r="B497" s="21"/>
      <c r="C497" s="20"/>
      <c r="D497" s="20"/>
      <c r="E497" s="20"/>
      <c r="F497" s="1"/>
    </row>
    <row r="498" spans="1:6">
      <c r="A498" s="20"/>
      <c r="B498" s="21"/>
      <c r="C498" s="20"/>
      <c r="D498" s="20"/>
      <c r="E498" s="20"/>
      <c r="F498" s="1"/>
    </row>
    <row r="499" spans="1:6">
      <c r="A499" s="20"/>
      <c r="B499" s="21"/>
      <c r="C499" s="20"/>
      <c r="D499" s="20"/>
      <c r="E499" s="20"/>
      <c r="F499" s="1"/>
    </row>
    <row r="500" spans="1:6">
      <c r="A500" s="20"/>
      <c r="B500" s="21"/>
      <c r="C500" s="20"/>
      <c r="D500" s="20"/>
      <c r="E500" s="20"/>
      <c r="F500" s="1"/>
    </row>
    <row r="501" spans="1:6">
      <c r="A501" s="20"/>
      <c r="B501" s="21"/>
      <c r="C501" s="20"/>
      <c r="D501" s="20"/>
      <c r="E501" s="20"/>
      <c r="F501" s="1"/>
    </row>
    <row r="502" spans="1:6">
      <c r="A502" s="20"/>
      <c r="B502" s="21"/>
      <c r="C502" s="20"/>
      <c r="D502" s="20"/>
      <c r="E502" s="20"/>
      <c r="F502" s="1"/>
    </row>
    <row r="503" spans="1:6">
      <c r="A503" s="20"/>
      <c r="B503" s="21"/>
      <c r="C503" s="20"/>
      <c r="D503" s="20"/>
      <c r="E503" s="20"/>
      <c r="F503" s="1"/>
    </row>
    <row r="504" spans="1:6">
      <c r="A504" s="20"/>
      <c r="B504" s="21"/>
      <c r="C504" s="20"/>
      <c r="D504" s="20"/>
      <c r="E504" s="20"/>
      <c r="F504" s="1"/>
    </row>
    <row r="505" spans="1:6">
      <c r="A505" s="20"/>
      <c r="B505" s="21"/>
      <c r="C505" s="20"/>
      <c r="D505" s="20"/>
      <c r="E505" s="20"/>
      <c r="F505" s="1"/>
    </row>
    <row r="506" spans="1:6">
      <c r="A506" s="20"/>
      <c r="B506" s="21"/>
      <c r="C506" s="20"/>
      <c r="D506" s="20"/>
      <c r="E506" s="20"/>
      <c r="F506" s="1"/>
    </row>
    <row r="507" spans="1:6">
      <c r="A507" s="20"/>
      <c r="B507" s="21"/>
      <c r="C507" s="20"/>
      <c r="D507" s="20"/>
      <c r="E507" s="20"/>
      <c r="F507" s="1"/>
    </row>
    <row r="508" spans="1:6">
      <c r="A508" s="20"/>
      <c r="B508" s="21"/>
      <c r="C508" s="20"/>
      <c r="D508" s="20"/>
      <c r="E508" s="20"/>
      <c r="F508" s="1"/>
    </row>
    <row r="509" spans="1:6">
      <c r="A509" s="20"/>
      <c r="B509" s="21"/>
      <c r="C509" s="20"/>
      <c r="D509" s="20"/>
      <c r="E509" s="20"/>
      <c r="F509" s="1"/>
    </row>
    <row r="510" spans="1:6">
      <c r="A510" s="20"/>
      <c r="B510" s="21"/>
      <c r="C510" s="20"/>
      <c r="D510" s="20"/>
      <c r="E510" s="20"/>
      <c r="F510" s="1"/>
    </row>
    <row r="511" spans="1:6">
      <c r="A511" s="20"/>
      <c r="B511" s="21"/>
      <c r="C511" s="20"/>
      <c r="D511" s="20"/>
      <c r="E511" s="20"/>
      <c r="F511" s="1"/>
    </row>
    <row r="512" spans="1:6">
      <c r="A512" s="20"/>
      <c r="B512" s="21"/>
      <c r="C512" s="20"/>
      <c r="D512" s="20"/>
      <c r="E512" s="20"/>
      <c r="F512" s="1"/>
    </row>
    <row r="513" spans="1:6">
      <c r="A513" s="20"/>
      <c r="B513" s="21"/>
      <c r="C513" s="20"/>
      <c r="D513" s="20"/>
      <c r="E513" s="20"/>
      <c r="F513" s="1"/>
    </row>
    <row r="514" spans="1:6">
      <c r="A514" s="20"/>
      <c r="B514" s="21"/>
      <c r="C514" s="20"/>
      <c r="D514" s="20"/>
      <c r="E514" s="20"/>
      <c r="F514" s="1"/>
    </row>
    <row r="515" spans="1:6">
      <c r="A515" s="20"/>
      <c r="B515" s="21"/>
      <c r="C515" s="20"/>
      <c r="D515" s="20"/>
      <c r="E515" s="20"/>
      <c r="F515" s="1"/>
    </row>
    <row r="516" spans="1:6">
      <c r="A516" s="20"/>
      <c r="B516" s="21"/>
      <c r="C516" s="20"/>
      <c r="D516" s="20"/>
      <c r="E516" s="20"/>
      <c r="F516" s="1"/>
    </row>
    <row r="517" spans="1:6">
      <c r="A517" s="20"/>
      <c r="B517" s="21"/>
      <c r="C517" s="20"/>
      <c r="D517" s="20"/>
      <c r="E517" s="20"/>
      <c r="F517" s="1"/>
    </row>
    <row r="518" spans="1:6">
      <c r="A518" s="20"/>
      <c r="B518" s="21"/>
      <c r="C518" s="20"/>
      <c r="D518" s="20"/>
      <c r="E518" s="20"/>
      <c r="F518" s="1"/>
    </row>
    <row r="519" spans="1:6">
      <c r="A519" s="20"/>
      <c r="B519" s="21"/>
      <c r="C519" s="20"/>
      <c r="D519" s="20"/>
      <c r="E519" s="20"/>
      <c r="F519" s="1"/>
    </row>
    <row r="520" spans="1:6">
      <c r="A520" s="20"/>
      <c r="B520" s="21"/>
      <c r="C520" s="20"/>
      <c r="D520" s="20"/>
      <c r="E520" s="20"/>
      <c r="F520" s="1"/>
    </row>
    <row r="521" spans="1:6">
      <c r="A521" s="20"/>
      <c r="B521" s="21"/>
      <c r="C521" s="20"/>
      <c r="D521" s="20"/>
      <c r="E521" s="20"/>
      <c r="F521" s="1"/>
    </row>
    <row r="522" spans="1:6">
      <c r="A522" s="20"/>
      <c r="B522" s="21"/>
      <c r="C522" s="20"/>
      <c r="D522" s="20"/>
      <c r="E522" s="20"/>
      <c r="F522" s="1"/>
    </row>
    <row r="523" spans="1:6">
      <c r="A523" s="20"/>
      <c r="B523" s="21"/>
      <c r="C523" s="20"/>
      <c r="D523" s="20"/>
      <c r="E523" s="20"/>
      <c r="F523" s="1"/>
    </row>
    <row r="524" spans="1:6">
      <c r="A524" s="20"/>
      <c r="B524" s="21"/>
      <c r="C524" s="20"/>
      <c r="D524" s="20"/>
      <c r="E524" s="20"/>
      <c r="F524" s="1"/>
    </row>
    <row r="525" spans="1:6">
      <c r="A525" s="20"/>
      <c r="B525" s="21"/>
      <c r="C525" s="20"/>
      <c r="D525" s="20"/>
      <c r="E525" s="20"/>
      <c r="F525" s="1"/>
    </row>
    <row r="526" spans="1:6">
      <c r="A526" s="20"/>
      <c r="B526" s="21"/>
      <c r="C526" s="20"/>
      <c r="D526" s="20"/>
      <c r="E526" s="20"/>
      <c r="F526" s="1"/>
    </row>
    <row r="527" spans="1:6">
      <c r="A527" s="20"/>
      <c r="B527" s="21"/>
      <c r="C527" s="20"/>
      <c r="D527" s="20"/>
      <c r="E527" s="20"/>
      <c r="F527" s="1"/>
    </row>
    <row r="528" spans="1:6">
      <c r="A528" s="20"/>
      <c r="B528" s="21"/>
      <c r="C528" s="20"/>
      <c r="D528" s="20"/>
      <c r="E528" s="20"/>
      <c r="F528" s="1"/>
    </row>
    <row r="529" spans="1:6">
      <c r="A529" s="20"/>
      <c r="B529" s="21"/>
      <c r="C529" s="20"/>
      <c r="D529" s="20"/>
      <c r="E529" s="20"/>
      <c r="F529" s="1"/>
    </row>
    <row r="530" spans="1:6">
      <c r="A530" s="1"/>
      <c r="B530" s="1"/>
      <c r="C530" s="1"/>
      <c r="D530" s="1"/>
      <c r="E530" s="1"/>
      <c r="F530" s="1"/>
    </row>
    <row r="531" spans="1:6">
      <c r="A531" s="1"/>
      <c r="B531" s="1"/>
      <c r="C531" s="1"/>
      <c r="D531" s="1"/>
      <c r="E531" s="1"/>
      <c r="F531" s="1"/>
    </row>
    <row r="532" spans="1:6">
      <c r="A532" s="1"/>
      <c r="B532" s="1"/>
      <c r="C532" s="1"/>
      <c r="D532" s="1"/>
      <c r="E532" s="1"/>
      <c r="F532" s="1"/>
    </row>
    <row r="533" spans="1:6">
      <c r="A533" s="1"/>
      <c r="B533" s="1"/>
      <c r="C533" s="1"/>
      <c r="D533" s="1"/>
      <c r="E533" s="1"/>
      <c r="F533" s="1"/>
    </row>
    <row r="534" spans="1:6">
      <c r="A534" s="1"/>
      <c r="B534" s="1"/>
      <c r="C534" s="1"/>
      <c r="D534" s="1"/>
      <c r="E534" s="1"/>
      <c r="F534" s="1"/>
    </row>
    <row r="535" spans="1:6">
      <c r="A535" s="1"/>
      <c r="B535" s="1"/>
      <c r="C535" s="1"/>
      <c r="D535" s="1"/>
      <c r="E535" s="1"/>
      <c r="F535" s="1"/>
    </row>
    <row r="536" spans="1:6">
      <c r="A536" s="1"/>
      <c r="B536" s="1"/>
      <c r="C536" s="1"/>
      <c r="D536" s="1"/>
      <c r="E536" s="1"/>
      <c r="F536" s="1"/>
    </row>
    <row r="537" spans="1:6">
      <c r="A537" s="1"/>
      <c r="B537" s="1"/>
      <c r="C537" s="1"/>
      <c r="D537" s="1"/>
      <c r="E537" s="1"/>
      <c r="F537" s="1"/>
    </row>
    <row r="538" spans="1:6">
      <c r="A538" s="1"/>
      <c r="B538" s="1"/>
      <c r="C538" s="1"/>
      <c r="D538" s="1"/>
      <c r="E538" s="1"/>
      <c r="F538" s="1"/>
    </row>
    <row r="539" spans="1:6">
      <c r="A539" s="1"/>
      <c r="B539" s="1"/>
      <c r="C539" s="1"/>
      <c r="D539" s="1"/>
      <c r="E539" s="1"/>
      <c r="F539" s="1"/>
    </row>
    <row r="540" spans="1:6">
      <c r="A540" s="1"/>
      <c r="B540" s="1"/>
      <c r="C540" s="1"/>
      <c r="D540" s="1"/>
      <c r="E540" s="1"/>
      <c r="F540" s="1"/>
    </row>
    <row r="541" spans="1:6">
      <c r="A541" s="1"/>
      <c r="B541" s="1"/>
      <c r="C541" s="1"/>
      <c r="D541" s="1"/>
      <c r="E541" s="1"/>
      <c r="F541" s="1"/>
    </row>
    <row r="542" spans="1:6">
      <c r="A542" s="1"/>
      <c r="B542" s="1"/>
      <c r="C542" s="1"/>
      <c r="D542" s="1"/>
      <c r="E542" s="1"/>
      <c r="F542" s="1"/>
    </row>
    <row r="543" spans="1:6">
      <c r="A543" s="1"/>
      <c r="B543" s="1"/>
      <c r="C543" s="1"/>
      <c r="D543" s="1"/>
      <c r="E543" s="1"/>
      <c r="F543" s="1"/>
    </row>
    <row r="544" spans="1:6">
      <c r="A544" s="1"/>
      <c r="B544" s="1"/>
      <c r="C544" s="1"/>
      <c r="D544" s="1"/>
      <c r="E544" s="1"/>
      <c r="F544" s="1"/>
    </row>
    <row r="545" spans="1:6">
      <c r="A545" s="1"/>
      <c r="B545" s="1"/>
      <c r="C545" s="1"/>
      <c r="D545" s="1"/>
      <c r="E545" s="1"/>
      <c r="F545" s="1"/>
    </row>
  </sheetData>
  <WedgeCells count="4">
    <WedgeCell ref="A1:F1"/>
    <WedgeCell ref="A2:F2"/>
    <WedgeCell ref="A3:F3"/>
    <WedgeCell ref="A27:F27"/>
  </WedgeCells>
  <dataValidations count="1">
    <dataValidation type="whole" sqref="E6:E25 D30:D529" xr:uid="{00000000-0002-0000-0300-000000000000}">
      <formula1>0</formula1>
      <formula2>1</formula2>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Tue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E9448"/>
  </sheetPr>
  <dimension ref="A1:I547"/>
  <sheetViews>
    <sheetView showGridLines="0" zoomScale="90" zoomScaleNormal="90" workbookViewId="0">
      <pane ySplit="5" topLeftCell="A189" activePane="bottomLeft" state="frozen"/>
      <selection pane="bottomLeft" sqref="A1:E1"/>
    </sheetView>
  </sheetViews>
  <sheetFormatPr defaultRowHeight="13.5"/>
  <cols>
    <col min="1" max="1" width="42.875" bestFit="1" customWidth="1"/>
    <col min="2" max="2" width="18" customWidth="1"/>
    <col min="3" max="3" width="40" customWidth="1"/>
    <col min="4" max="4" width="12" customWidth="1"/>
    <col min="5" max="5" width="52" customWidth="1"/>
    <col min="6" max="9" width="25.5625" customWidth="1"/>
  </cols>
  <sheetData>
    <row r="1" spans="1:9" ht="21.4">
      <c r="A1" s="83" t="s">
        <v>94</v>
      </c>
      <c r="B1" s="82"/>
      <c r="C1" s="82"/>
      <c r="D1" s="82"/>
      <c r="E1" s="82"/>
    </row>
    <row r="2" spans="1:9">
      <c r="A2" s="82" t="s">
        <v>95</v>
      </c>
      <c r="B2" s="82"/>
      <c r="C2" s="82"/>
      <c r="D2" s="82"/>
      <c r="E2" s="82"/>
    </row>
    <row r="3" spans="1:9">
      <c r="A3" s="82" t="s">
        <v>1458</v>
      </c>
      <c r="B3" s="82"/>
      <c r="C3" s="82"/>
      <c r="D3" s="82"/>
      <c r="E3" s="82"/>
    </row>
    <row r="4" spans="1:9">
      <c r="A4" s="1"/>
      <c r="B4" s="1"/>
      <c r="C4" s="1"/>
      <c r="D4" s="1"/>
      <c r="E4" s="1"/>
    </row>
    <row r="5" spans="1:9" ht="13.9">
      <c r="A5" s="3" t="s">
        <v>96</v>
      </c>
      <c r="B5" s="28" t="s">
        <v>97</v>
      </c>
      <c r="C5" s="28" t="s">
        <v>98</v>
      </c>
      <c r="D5" s="28" t="s">
        <v>99</v>
      </c>
      <c r="E5" s="28" t="s">
        <v>100</v>
      </c>
      <c r="F5" t="s">
        <v>928</v>
      </c>
      <c r="G5" t="s">
        <v>929</v>
      </c>
      <c r="H5" t="s">
        <v>930</v>
      </c>
      <c r="I5" t="s">
        <v>931</v>
      </c>
    </row>
    <row r="6" spans="1:9">
      <c r="A6" s="34" t="s">
        <v>88</v>
      </c>
      <c r="B6" s="35">
        <v>46057</v>
      </c>
      <c r="C6" s="34" t="s">
        <v>932</v>
      </c>
      <c r="D6" s="34">
        <v>1</v>
      </c>
      <c r="E6" s="34" t="s">
        <v>933</v>
      </c>
      <c r="F6" t="s">
        <v>934</v>
      </c>
      <c r="G6" t="s">
        <v>935</v>
      </c>
      <c r="H6" t="s">
        <v>936</v>
      </c>
      <c r="I6" t="s">
        <v>937</v>
      </c>
    </row>
    <row r="7" spans="1:9">
      <c r="A7" s="34" t="s">
        <v>88</v>
      </c>
      <c r="B7" s="35">
        <v>46074</v>
      </c>
      <c r="C7" s="34" t="s">
        <v>938</v>
      </c>
      <c r="D7" s="34">
        <v>1</v>
      </c>
      <c r="E7" s="34" t="s">
        <v>933</v>
      </c>
      <c r="F7" t="s">
        <v>934</v>
      </c>
      <c r="G7" t="s">
        <v>935</v>
      </c>
      <c r="H7" t="s">
        <v>936</v>
      </c>
      <c r="I7" t="s">
        <v>937</v>
      </c>
    </row>
    <row r="8" spans="1:9">
      <c r="A8" s="34" t="s">
        <v>88</v>
      </c>
      <c r="B8" s="35">
        <v>46098</v>
      </c>
      <c r="C8" s="34" t="s">
        <v>939</v>
      </c>
      <c r="D8" s="34">
        <v>1</v>
      </c>
      <c r="E8" s="34" t="s">
        <v>933</v>
      </c>
      <c r="F8" t="s">
        <v>934</v>
      </c>
      <c r="G8" t="s">
        <v>935</v>
      </c>
      <c r="H8" t="s">
        <v>936</v>
      </c>
      <c r="I8" t="s">
        <v>937</v>
      </c>
    </row>
    <row r="9" spans="1:9">
      <c r="A9" s="34" t="s">
        <v>88</v>
      </c>
      <c r="B9" s="35">
        <v>46101</v>
      </c>
      <c r="C9" s="34" t="s">
        <v>940</v>
      </c>
      <c r="D9" s="34">
        <v>1</v>
      </c>
      <c r="E9" s="34" t="s">
        <v>933</v>
      </c>
      <c r="F9" t="s">
        <v>934</v>
      </c>
      <c r="G9" t="s">
        <v>935</v>
      </c>
      <c r="H9" t="s">
        <v>936</v>
      </c>
      <c r="I9" t="s">
        <v>937</v>
      </c>
    </row>
    <row r="10" spans="1:9">
      <c r="A10" s="34" t="s">
        <v>88</v>
      </c>
      <c r="B10" s="35">
        <v>46102</v>
      </c>
      <c r="C10" s="34" t="s">
        <v>941</v>
      </c>
      <c r="D10" s="34">
        <v>1</v>
      </c>
      <c r="E10" s="34" t="s">
        <v>933</v>
      </c>
      <c r="F10" t="s">
        <v>934</v>
      </c>
      <c r="G10" t="s">
        <v>935</v>
      </c>
      <c r="H10" t="s">
        <v>936</v>
      </c>
      <c r="I10" t="s">
        <v>937</v>
      </c>
    </row>
    <row r="11" spans="1:9">
      <c r="A11" s="34" t="s">
        <v>88</v>
      </c>
      <c r="B11" s="35">
        <v>46103</v>
      </c>
      <c r="C11" s="34" t="s">
        <v>941</v>
      </c>
      <c r="D11" s="34">
        <v>1</v>
      </c>
      <c r="E11" s="34" t="s">
        <v>933</v>
      </c>
      <c r="F11" t="s">
        <v>934</v>
      </c>
      <c r="G11" t="s">
        <v>935</v>
      </c>
      <c r="H11" t="s">
        <v>936</v>
      </c>
      <c r="I11" t="s">
        <v>937</v>
      </c>
    </row>
    <row r="12" spans="1:9">
      <c r="A12" s="34" t="s">
        <v>88</v>
      </c>
      <c r="B12" s="35">
        <v>46104</v>
      </c>
      <c r="C12" s="34" t="s">
        <v>941</v>
      </c>
      <c r="D12" s="34">
        <v>1</v>
      </c>
      <c r="E12" s="34" t="s">
        <v>933</v>
      </c>
      <c r="F12" t="s">
        <v>934</v>
      </c>
      <c r="G12" t="s">
        <v>935</v>
      </c>
      <c r="H12" t="s">
        <v>936</v>
      </c>
      <c r="I12" t="s">
        <v>937</v>
      </c>
    </row>
    <row r="13" spans="1:9">
      <c r="A13" s="34" t="s">
        <v>88</v>
      </c>
      <c r="B13" s="35">
        <v>46107</v>
      </c>
      <c r="C13" s="34" t="s">
        <v>942</v>
      </c>
      <c r="D13" s="34">
        <v>1</v>
      </c>
      <c r="E13" s="34" t="s">
        <v>933</v>
      </c>
      <c r="F13" t="s">
        <v>934</v>
      </c>
      <c r="G13" t="s">
        <v>935</v>
      </c>
      <c r="H13" t="s">
        <v>936</v>
      </c>
      <c r="I13" t="s">
        <v>937</v>
      </c>
    </row>
    <row r="14" spans="1:9">
      <c r="A14" s="34" t="s">
        <v>88</v>
      </c>
      <c r="B14" s="35">
        <v>46126</v>
      </c>
      <c r="C14" s="34" t="s">
        <v>943</v>
      </c>
      <c r="D14" s="34">
        <v>1</v>
      </c>
      <c r="E14" s="34" t="s">
        <v>933</v>
      </c>
      <c r="F14" t="s">
        <v>934</v>
      </c>
      <c r="G14" t="s">
        <v>935</v>
      </c>
      <c r="H14" t="s">
        <v>936</v>
      </c>
      <c r="I14" t="s">
        <v>937</v>
      </c>
    </row>
    <row r="15" spans="1:9">
      <c r="A15" s="34" t="s">
        <v>88</v>
      </c>
      <c r="B15" s="35">
        <v>46143</v>
      </c>
      <c r="C15" s="34" t="s">
        <v>944</v>
      </c>
      <c r="D15" s="34">
        <v>1</v>
      </c>
      <c r="E15" s="34" t="s">
        <v>933</v>
      </c>
      <c r="F15" t="s">
        <v>934</v>
      </c>
      <c r="G15" t="s">
        <v>935</v>
      </c>
      <c r="H15" t="s">
        <v>936</v>
      </c>
      <c r="I15" t="s">
        <v>937</v>
      </c>
    </row>
    <row r="16" spans="1:9">
      <c r="A16" s="34" t="s">
        <v>88</v>
      </c>
      <c r="B16" s="35">
        <v>46170</v>
      </c>
      <c r="C16" s="34" t="s">
        <v>945</v>
      </c>
      <c r="D16" s="34">
        <v>1</v>
      </c>
      <c r="E16" s="34" t="s">
        <v>933</v>
      </c>
      <c r="F16" t="s">
        <v>934</v>
      </c>
      <c r="G16" t="s">
        <v>935</v>
      </c>
      <c r="H16" t="s">
        <v>936</v>
      </c>
      <c r="I16" t="s">
        <v>937</v>
      </c>
    </row>
    <row r="17" spans="1:9">
      <c r="A17" s="34" t="s">
        <v>88</v>
      </c>
      <c r="B17" s="35">
        <v>46171</v>
      </c>
      <c r="C17" s="34" t="s">
        <v>945</v>
      </c>
      <c r="D17" s="34">
        <v>1</v>
      </c>
      <c r="E17" s="34" t="s">
        <v>933</v>
      </c>
      <c r="F17" t="s">
        <v>934</v>
      </c>
      <c r="G17" t="s">
        <v>935</v>
      </c>
      <c r="H17" t="s">
        <v>936</v>
      </c>
      <c r="I17" t="s">
        <v>937</v>
      </c>
    </row>
    <row r="18" spans="1:9">
      <c r="A18" s="34" t="s">
        <v>88</v>
      </c>
      <c r="B18" s="35">
        <v>46172</v>
      </c>
      <c r="C18" s="34" t="s">
        <v>945</v>
      </c>
      <c r="D18" s="34">
        <v>1</v>
      </c>
      <c r="E18" s="34" t="s">
        <v>933</v>
      </c>
      <c r="F18" t="s">
        <v>934</v>
      </c>
      <c r="G18" t="s">
        <v>935</v>
      </c>
      <c r="H18" t="s">
        <v>936</v>
      </c>
      <c r="I18" t="s">
        <v>937</v>
      </c>
    </row>
    <row r="19" spans="1:9">
      <c r="A19" s="34" t="s">
        <v>88</v>
      </c>
      <c r="B19" s="35">
        <v>46199</v>
      </c>
      <c r="C19" s="34" t="s">
        <v>946</v>
      </c>
      <c r="D19" s="34">
        <v>1</v>
      </c>
      <c r="E19" s="34" t="s">
        <v>933</v>
      </c>
      <c r="F19" t="s">
        <v>934</v>
      </c>
      <c r="G19" t="s">
        <v>935</v>
      </c>
      <c r="H19" t="s">
        <v>936</v>
      </c>
      <c r="I19" t="s">
        <v>937</v>
      </c>
    </row>
    <row r="20" spans="1:9">
      <c r="A20" s="34" t="s">
        <v>88</v>
      </c>
      <c r="B20" s="35">
        <v>46239</v>
      </c>
      <c r="C20" s="34" t="s">
        <v>947</v>
      </c>
      <c r="D20" s="34">
        <v>1</v>
      </c>
      <c r="E20" s="34" t="s">
        <v>933</v>
      </c>
      <c r="F20" t="s">
        <v>934</v>
      </c>
      <c r="G20" t="s">
        <v>935</v>
      </c>
      <c r="H20" t="s">
        <v>936</v>
      </c>
      <c r="I20" t="s">
        <v>937</v>
      </c>
    </row>
    <row r="21" spans="1:9">
      <c r="A21" s="34" t="s">
        <v>88</v>
      </c>
      <c r="B21" s="35">
        <v>46260</v>
      </c>
      <c r="C21" s="34" t="s">
        <v>948</v>
      </c>
      <c r="D21" s="34">
        <v>1</v>
      </c>
      <c r="E21" s="34" t="s">
        <v>933</v>
      </c>
      <c r="F21" t="s">
        <v>934</v>
      </c>
      <c r="G21" t="s">
        <v>935</v>
      </c>
      <c r="H21" t="s">
        <v>936</v>
      </c>
      <c r="I21" t="s">
        <v>937</v>
      </c>
    </row>
    <row r="22" spans="1:9">
      <c r="A22" s="34" t="s">
        <v>88</v>
      </c>
      <c r="B22" s="35">
        <v>46372</v>
      </c>
      <c r="C22" s="34" t="s">
        <v>949</v>
      </c>
      <c r="D22" s="34">
        <v>1</v>
      </c>
      <c r="E22" s="34" t="s">
        <v>933</v>
      </c>
      <c r="F22" t="s">
        <v>934</v>
      </c>
      <c r="G22" t="s">
        <v>935</v>
      </c>
      <c r="H22" t="s">
        <v>936</v>
      </c>
      <c r="I22" t="s">
        <v>937</v>
      </c>
    </row>
    <row r="23" spans="1:9">
      <c r="A23" s="34" t="s">
        <v>88</v>
      </c>
      <c r="B23" s="35">
        <v>46381</v>
      </c>
      <c r="C23" s="34" t="s">
        <v>107</v>
      </c>
      <c r="D23" s="34">
        <v>1</v>
      </c>
      <c r="E23" s="34" t="s">
        <v>933</v>
      </c>
      <c r="F23" t="s">
        <v>934</v>
      </c>
      <c r="G23" t="s">
        <v>935</v>
      </c>
      <c r="H23" t="s">
        <v>936</v>
      </c>
      <c r="I23" t="s">
        <v>937</v>
      </c>
    </row>
    <row r="24" spans="1:9">
      <c r="A24" s="34" t="s">
        <v>88</v>
      </c>
      <c r="B24" s="35">
        <v>46411</v>
      </c>
      <c r="C24" s="34" t="s">
        <v>950</v>
      </c>
      <c r="D24" s="34">
        <v>1</v>
      </c>
      <c r="E24" s="34" t="s">
        <v>933</v>
      </c>
      <c r="F24" t="s">
        <v>934</v>
      </c>
      <c r="G24" t="s">
        <v>951</v>
      </c>
      <c r="H24" t="s">
        <v>936</v>
      </c>
      <c r="I24" t="s">
        <v>937</v>
      </c>
    </row>
    <row r="25" spans="1:9">
      <c r="A25" s="34" t="s">
        <v>88</v>
      </c>
      <c r="B25" s="35">
        <v>46439</v>
      </c>
      <c r="C25" s="34" t="s">
        <v>938</v>
      </c>
      <c r="D25" s="34">
        <v>1</v>
      </c>
      <c r="E25" s="34" t="s">
        <v>933</v>
      </c>
      <c r="F25" t="s">
        <v>934</v>
      </c>
      <c r="G25" t="s">
        <v>935</v>
      </c>
      <c r="H25" t="s">
        <v>936</v>
      </c>
      <c r="I25" t="s">
        <v>937</v>
      </c>
    </row>
    <row r="26" spans="1:9">
      <c r="A26" s="34" t="s">
        <v>88</v>
      </c>
      <c r="B26" s="35">
        <v>46451</v>
      </c>
      <c r="C26" s="34" t="s">
        <v>952</v>
      </c>
      <c r="D26" s="34">
        <v>1</v>
      </c>
      <c r="E26" s="34" t="s">
        <v>933</v>
      </c>
      <c r="F26" t="s">
        <v>934</v>
      </c>
      <c r="G26" t="s">
        <v>951</v>
      </c>
      <c r="H26" t="s">
        <v>936</v>
      </c>
      <c r="I26" t="s">
        <v>937</v>
      </c>
    </row>
    <row r="27" spans="1:9">
      <c r="A27" s="34" t="s">
        <v>88</v>
      </c>
      <c r="B27" s="35">
        <v>46453</v>
      </c>
      <c r="C27" s="34" t="s">
        <v>953</v>
      </c>
      <c r="D27" s="34">
        <v>1</v>
      </c>
      <c r="E27" s="34" t="s">
        <v>933</v>
      </c>
      <c r="F27" t="s">
        <v>934</v>
      </c>
      <c r="G27" t="s">
        <v>951</v>
      </c>
      <c r="H27" t="s">
        <v>936</v>
      </c>
      <c r="I27" t="s">
        <v>937</v>
      </c>
    </row>
    <row r="28" spans="1:9">
      <c r="A28" s="34" t="s">
        <v>88</v>
      </c>
      <c r="B28" s="35">
        <v>46456</v>
      </c>
      <c r="C28" s="34" t="s">
        <v>954</v>
      </c>
      <c r="D28" s="34">
        <v>1</v>
      </c>
      <c r="E28" s="34" t="s">
        <v>933</v>
      </c>
      <c r="F28" t="s">
        <v>934</v>
      </c>
      <c r="G28" t="s">
        <v>951</v>
      </c>
      <c r="H28" t="s">
        <v>936</v>
      </c>
      <c r="I28" t="s">
        <v>937</v>
      </c>
    </row>
    <row r="29" spans="1:9">
      <c r="A29" s="34" t="s">
        <v>88</v>
      </c>
      <c r="B29" s="35">
        <v>46457</v>
      </c>
      <c r="C29" s="34" t="s">
        <v>954</v>
      </c>
      <c r="D29" s="34">
        <v>1</v>
      </c>
      <c r="E29" s="34" t="s">
        <v>933</v>
      </c>
      <c r="F29" t="s">
        <v>934</v>
      </c>
      <c r="G29" t="s">
        <v>951</v>
      </c>
      <c r="H29" t="s">
        <v>936</v>
      </c>
      <c r="I29" t="s">
        <v>937</v>
      </c>
    </row>
    <row r="30" spans="1:9">
      <c r="A30" s="34" t="s">
        <v>88</v>
      </c>
      <c r="B30" s="35">
        <v>46458</v>
      </c>
      <c r="C30" s="34" t="s">
        <v>954</v>
      </c>
      <c r="D30" s="34">
        <v>1</v>
      </c>
      <c r="E30" s="34" t="s">
        <v>933</v>
      </c>
      <c r="F30" t="s">
        <v>934</v>
      </c>
      <c r="G30" t="s">
        <v>951</v>
      </c>
      <c r="H30" t="s">
        <v>936</v>
      </c>
      <c r="I30" t="s">
        <v>937</v>
      </c>
    </row>
    <row r="31" spans="1:9">
      <c r="A31" s="34" t="s">
        <v>88</v>
      </c>
      <c r="B31" s="35">
        <v>46472</v>
      </c>
      <c r="C31" s="34" t="s">
        <v>942</v>
      </c>
      <c r="D31" s="34">
        <v>1</v>
      </c>
      <c r="E31" s="34" t="s">
        <v>933</v>
      </c>
      <c r="F31" t="s">
        <v>934</v>
      </c>
      <c r="G31" t="s">
        <v>935</v>
      </c>
      <c r="H31" t="s">
        <v>936</v>
      </c>
      <c r="I31" t="s">
        <v>937</v>
      </c>
    </row>
    <row r="32" spans="1:9">
      <c r="A32" s="34" t="s">
        <v>88</v>
      </c>
      <c r="B32" s="35">
        <v>46491</v>
      </c>
      <c r="C32" s="34" t="s">
        <v>943</v>
      </c>
      <c r="D32" s="34">
        <v>1</v>
      </c>
      <c r="E32" s="34" t="s">
        <v>933</v>
      </c>
      <c r="F32" t="s">
        <v>934</v>
      </c>
      <c r="G32" t="s">
        <v>935</v>
      </c>
      <c r="H32" t="s">
        <v>936</v>
      </c>
      <c r="I32" t="s">
        <v>937</v>
      </c>
    </row>
    <row r="33" spans="1:9">
      <c r="A33" s="34" t="s">
        <v>88</v>
      </c>
      <c r="B33" s="35">
        <v>46508</v>
      </c>
      <c r="C33" s="34" t="s">
        <v>944</v>
      </c>
      <c r="D33" s="34">
        <v>1</v>
      </c>
      <c r="E33" s="34" t="s">
        <v>933</v>
      </c>
      <c r="F33" t="s">
        <v>934</v>
      </c>
      <c r="G33" t="s">
        <v>935</v>
      </c>
      <c r="H33" t="s">
        <v>936</v>
      </c>
      <c r="I33" t="s">
        <v>937</v>
      </c>
    </row>
    <row r="34" spans="1:9">
      <c r="A34" s="34" t="s">
        <v>88</v>
      </c>
      <c r="B34" s="35">
        <v>46524</v>
      </c>
      <c r="C34" s="34" t="s">
        <v>955</v>
      </c>
      <c r="D34" s="34">
        <v>1</v>
      </c>
      <c r="E34" s="34" t="s">
        <v>933</v>
      </c>
      <c r="F34" t="s">
        <v>934</v>
      </c>
      <c r="G34" t="s">
        <v>951</v>
      </c>
      <c r="H34" t="s">
        <v>936</v>
      </c>
      <c r="I34" t="s">
        <v>937</v>
      </c>
    </row>
    <row r="35" spans="1:9">
      <c r="A35" s="34" t="s">
        <v>88</v>
      </c>
      <c r="B35" s="35">
        <v>46525</v>
      </c>
      <c r="C35" s="34" t="s">
        <v>955</v>
      </c>
      <c r="D35" s="34">
        <v>1</v>
      </c>
      <c r="E35" s="34" t="s">
        <v>933</v>
      </c>
      <c r="F35" t="s">
        <v>934</v>
      </c>
      <c r="G35" t="s">
        <v>951</v>
      </c>
      <c r="H35" t="s">
        <v>936</v>
      </c>
      <c r="I35" t="s">
        <v>937</v>
      </c>
    </row>
    <row r="36" spans="1:9">
      <c r="A36" s="34" t="s">
        <v>88</v>
      </c>
      <c r="B36" s="35">
        <v>46526</v>
      </c>
      <c r="C36" s="34" t="s">
        <v>955</v>
      </c>
      <c r="D36" s="34">
        <v>1</v>
      </c>
      <c r="E36" s="34" t="s">
        <v>933</v>
      </c>
      <c r="F36" t="s">
        <v>934</v>
      </c>
      <c r="G36" t="s">
        <v>951</v>
      </c>
      <c r="H36" t="s">
        <v>936</v>
      </c>
      <c r="I36" t="s">
        <v>937</v>
      </c>
    </row>
    <row r="37" spans="1:9">
      <c r="A37" s="34" t="s">
        <v>88</v>
      </c>
      <c r="B37" s="35">
        <v>46554</v>
      </c>
      <c r="C37" s="34" t="s">
        <v>956</v>
      </c>
      <c r="D37" s="34">
        <v>1</v>
      </c>
      <c r="E37" s="34" t="s">
        <v>933</v>
      </c>
      <c r="F37" t="s">
        <v>934</v>
      </c>
      <c r="G37" t="s">
        <v>951</v>
      </c>
      <c r="H37" t="s">
        <v>936</v>
      </c>
      <c r="I37" t="s">
        <v>937</v>
      </c>
    </row>
    <row r="38" spans="1:9">
      <c r="A38" s="34" t="s">
        <v>88</v>
      </c>
      <c r="B38" s="35">
        <v>46604</v>
      </c>
      <c r="C38" s="34" t="s">
        <v>947</v>
      </c>
      <c r="D38" s="34">
        <v>1</v>
      </c>
      <c r="E38" s="34" t="s">
        <v>933</v>
      </c>
      <c r="F38" t="s">
        <v>934</v>
      </c>
      <c r="G38" t="s">
        <v>935</v>
      </c>
      <c r="H38" t="s">
        <v>936</v>
      </c>
      <c r="I38" t="s">
        <v>937</v>
      </c>
    </row>
    <row r="39" spans="1:9">
      <c r="A39" s="34" t="s">
        <v>88</v>
      </c>
      <c r="B39" s="35">
        <v>46614</v>
      </c>
      <c r="C39" s="34" t="s">
        <v>957</v>
      </c>
      <c r="D39" s="34">
        <v>1</v>
      </c>
      <c r="E39" s="34" t="s">
        <v>933</v>
      </c>
      <c r="F39" t="s">
        <v>934</v>
      </c>
      <c r="G39" t="s">
        <v>951</v>
      </c>
      <c r="H39" t="s">
        <v>936</v>
      </c>
      <c r="I39" t="s">
        <v>937</v>
      </c>
    </row>
    <row r="40" spans="1:9">
      <c r="A40" s="34" t="s">
        <v>88</v>
      </c>
      <c r="B40" s="35">
        <v>46737</v>
      </c>
      <c r="C40" s="34" t="s">
        <v>949</v>
      </c>
      <c r="D40" s="34">
        <v>1</v>
      </c>
      <c r="E40" s="34" t="s">
        <v>933</v>
      </c>
      <c r="F40" t="s">
        <v>934</v>
      </c>
      <c r="G40" t="s">
        <v>935</v>
      </c>
      <c r="H40" t="s">
        <v>936</v>
      </c>
      <c r="I40" t="s">
        <v>937</v>
      </c>
    </row>
    <row r="41" spans="1:9">
      <c r="A41" s="34" t="s">
        <v>88</v>
      </c>
      <c r="B41" s="35">
        <v>46746</v>
      </c>
      <c r="C41" s="34" t="s">
        <v>107</v>
      </c>
      <c r="D41" s="34">
        <v>1</v>
      </c>
      <c r="E41" s="34" t="s">
        <v>933</v>
      </c>
      <c r="F41" t="s">
        <v>934</v>
      </c>
      <c r="G41" t="s">
        <v>935</v>
      </c>
      <c r="H41" t="s">
        <v>936</v>
      </c>
      <c r="I41" t="s">
        <v>937</v>
      </c>
    </row>
    <row r="42" spans="1:9">
      <c r="A42" s="34" t="s">
        <v>88</v>
      </c>
      <c r="B42" s="35">
        <v>46765</v>
      </c>
      <c r="C42" s="34" t="s">
        <v>950</v>
      </c>
      <c r="D42" s="34">
        <v>1</v>
      </c>
      <c r="E42" s="34" t="s">
        <v>933</v>
      </c>
      <c r="F42" t="s">
        <v>934</v>
      </c>
      <c r="G42" t="s">
        <v>951</v>
      </c>
      <c r="H42" t="s">
        <v>936</v>
      </c>
      <c r="I42" t="s">
        <v>937</v>
      </c>
    </row>
    <row r="43" spans="1:9">
      <c r="A43" s="34" t="s">
        <v>88</v>
      </c>
      <c r="B43" s="35">
        <v>46804</v>
      </c>
      <c r="C43" s="34" t="s">
        <v>938</v>
      </c>
      <c r="D43" s="34">
        <v>1</v>
      </c>
      <c r="E43" s="34" t="s">
        <v>933</v>
      </c>
      <c r="F43" t="s">
        <v>934</v>
      </c>
      <c r="G43" t="s">
        <v>935</v>
      </c>
      <c r="H43" t="s">
        <v>936</v>
      </c>
      <c r="I43" t="s">
        <v>937</v>
      </c>
    </row>
    <row r="44" spans="1:9">
      <c r="A44" s="34" t="s">
        <v>88</v>
      </c>
      <c r="B44" s="35">
        <v>46807</v>
      </c>
      <c r="C44" s="34" t="s">
        <v>953</v>
      </c>
      <c r="D44" s="34">
        <v>1</v>
      </c>
      <c r="E44" s="34" t="s">
        <v>933</v>
      </c>
      <c r="F44" t="s">
        <v>934</v>
      </c>
      <c r="G44" t="s">
        <v>951</v>
      </c>
      <c r="H44" t="s">
        <v>936</v>
      </c>
      <c r="I44" t="s">
        <v>937</v>
      </c>
    </row>
    <row r="45" spans="1:9">
      <c r="A45" s="34" t="s">
        <v>88</v>
      </c>
      <c r="B45" s="35">
        <v>46808</v>
      </c>
      <c r="C45" s="34" t="s">
        <v>952</v>
      </c>
      <c r="D45" s="34">
        <v>1</v>
      </c>
      <c r="E45" s="34" t="s">
        <v>933</v>
      </c>
      <c r="F45" t="s">
        <v>934</v>
      </c>
      <c r="G45" t="s">
        <v>951</v>
      </c>
      <c r="H45" t="s">
        <v>936</v>
      </c>
      <c r="I45" t="s">
        <v>937</v>
      </c>
    </row>
    <row r="46" spans="1:9">
      <c r="A46" s="34" t="s">
        <v>88</v>
      </c>
      <c r="B46" s="35">
        <v>46810</v>
      </c>
      <c r="C46" s="34" t="s">
        <v>954</v>
      </c>
      <c r="D46" s="34">
        <v>1</v>
      </c>
      <c r="E46" s="34" t="s">
        <v>933</v>
      </c>
      <c r="F46" t="s">
        <v>934</v>
      </c>
      <c r="G46" t="s">
        <v>951</v>
      </c>
      <c r="H46" t="s">
        <v>936</v>
      </c>
      <c r="I46" t="s">
        <v>937</v>
      </c>
    </row>
    <row r="47" spans="1:9">
      <c r="A47" s="34" t="s">
        <v>88</v>
      </c>
      <c r="B47" s="35">
        <v>46811</v>
      </c>
      <c r="C47" s="34" t="s">
        <v>954</v>
      </c>
      <c r="D47" s="34">
        <v>1</v>
      </c>
      <c r="E47" s="34" t="s">
        <v>933</v>
      </c>
      <c r="F47" t="s">
        <v>934</v>
      </c>
      <c r="G47" t="s">
        <v>951</v>
      </c>
      <c r="H47" t="s">
        <v>936</v>
      </c>
      <c r="I47" t="s">
        <v>937</v>
      </c>
    </row>
    <row r="48" spans="1:9">
      <c r="A48" s="34" t="s">
        <v>88</v>
      </c>
      <c r="B48" s="35">
        <v>46812</v>
      </c>
      <c r="C48" s="34" t="s">
        <v>954</v>
      </c>
      <c r="D48" s="34">
        <v>1</v>
      </c>
      <c r="E48" s="34" t="s">
        <v>933</v>
      </c>
      <c r="F48" t="s">
        <v>934</v>
      </c>
      <c r="G48" t="s">
        <v>951</v>
      </c>
      <c r="H48" t="s">
        <v>936</v>
      </c>
      <c r="I48" t="s">
        <v>937</v>
      </c>
    </row>
    <row r="49" spans="1:9">
      <c r="A49" s="34" t="s">
        <v>88</v>
      </c>
      <c r="B49" s="35">
        <v>46838</v>
      </c>
      <c r="C49" s="34" t="s">
        <v>942</v>
      </c>
      <c r="D49" s="34">
        <v>1</v>
      </c>
      <c r="E49" s="34" t="s">
        <v>933</v>
      </c>
      <c r="F49" t="s">
        <v>934</v>
      </c>
      <c r="G49" t="s">
        <v>935</v>
      </c>
      <c r="H49" t="s">
        <v>936</v>
      </c>
      <c r="I49" t="s">
        <v>937</v>
      </c>
    </row>
    <row r="50" spans="1:9">
      <c r="A50" s="34" t="s">
        <v>88</v>
      </c>
      <c r="B50" s="35">
        <v>46857</v>
      </c>
      <c r="C50" s="34" t="s">
        <v>943</v>
      </c>
      <c r="D50" s="34">
        <v>1</v>
      </c>
      <c r="E50" s="34" t="s">
        <v>933</v>
      </c>
      <c r="F50" t="s">
        <v>934</v>
      </c>
      <c r="G50" t="s">
        <v>935</v>
      </c>
      <c r="H50" t="s">
        <v>936</v>
      </c>
      <c r="I50" t="s">
        <v>937</v>
      </c>
    </row>
    <row r="51" spans="1:9">
      <c r="A51" s="34" t="s">
        <v>88</v>
      </c>
      <c r="B51" s="35">
        <v>46874</v>
      </c>
      <c r="C51" s="34" t="s">
        <v>944</v>
      </c>
      <c r="D51" s="34">
        <v>1</v>
      </c>
      <c r="E51" s="34" t="s">
        <v>933</v>
      </c>
      <c r="F51" t="s">
        <v>934</v>
      </c>
      <c r="G51" t="s">
        <v>935</v>
      </c>
      <c r="H51" t="s">
        <v>936</v>
      </c>
      <c r="I51" t="s">
        <v>937</v>
      </c>
    </row>
    <row r="52" spans="1:9">
      <c r="A52" s="34" t="s">
        <v>88</v>
      </c>
      <c r="B52" s="35">
        <v>46879</v>
      </c>
      <c r="C52" s="34" t="s">
        <v>955</v>
      </c>
      <c r="D52" s="34">
        <v>1</v>
      </c>
      <c r="E52" s="34" t="s">
        <v>933</v>
      </c>
      <c r="F52" t="s">
        <v>934</v>
      </c>
      <c r="G52" t="s">
        <v>951</v>
      </c>
      <c r="H52" t="s">
        <v>936</v>
      </c>
      <c r="I52" t="s">
        <v>937</v>
      </c>
    </row>
    <row r="53" spans="1:9">
      <c r="A53" s="34" t="s">
        <v>88</v>
      </c>
      <c r="B53" s="35">
        <v>46880</v>
      </c>
      <c r="C53" s="34" t="s">
        <v>955</v>
      </c>
      <c r="D53" s="34">
        <v>1</v>
      </c>
      <c r="E53" s="34" t="s">
        <v>933</v>
      </c>
      <c r="F53" t="s">
        <v>934</v>
      </c>
      <c r="G53" t="s">
        <v>951</v>
      </c>
      <c r="H53" t="s">
        <v>936</v>
      </c>
      <c r="I53" t="s">
        <v>937</v>
      </c>
    </row>
    <row r="54" spans="1:9">
      <c r="A54" s="34" t="s">
        <v>88</v>
      </c>
      <c r="B54" s="35">
        <v>46881</v>
      </c>
      <c r="C54" s="34" t="s">
        <v>955</v>
      </c>
      <c r="D54" s="34">
        <v>1</v>
      </c>
      <c r="E54" s="34" t="s">
        <v>933</v>
      </c>
      <c r="F54" t="s">
        <v>934</v>
      </c>
      <c r="G54" t="s">
        <v>951</v>
      </c>
      <c r="H54" t="s">
        <v>936</v>
      </c>
      <c r="I54" t="s">
        <v>937</v>
      </c>
    </row>
    <row r="55" spans="1:9">
      <c r="A55" s="34" t="s">
        <v>88</v>
      </c>
      <c r="B55" s="35">
        <v>46908</v>
      </c>
      <c r="C55" s="34" t="s">
        <v>956</v>
      </c>
      <c r="D55" s="34">
        <v>1</v>
      </c>
      <c r="E55" s="34" t="s">
        <v>933</v>
      </c>
      <c r="F55" t="s">
        <v>934</v>
      </c>
      <c r="G55" t="s">
        <v>951</v>
      </c>
      <c r="H55" t="s">
        <v>936</v>
      </c>
      <c r="I55" t="s">
        <v>937</v>
      </c>
    </row>
    <row r="56" spans="1:9">
      <c r="A56" s="34" t="s">
        <v>88</v>
      </c>
      <c r="B56" s="35">
        <v>46969</v>
      </c>
      <c r="C56" s="34" t="s">
        <v>957</v>
      </c>
      <c r="D56" s="34">
        <v>1</v>
      </c>
      <c r="E56" s="34" t="s">
        <v>933</v>
      </c>
      <c r="F56" t="s">
        <v>934</v>
      </c>
      <c r="G56" t="s">
        <v>951</v>
      </c>
      <c r="H56" t="s">
        <v>936</v>
      </c>
      <c r="I56" t="s">
        <v>937</v>
      </c>
    </row>
    <row r="57" spans="1:9">
      <c r="A57" s="34" t="s">
        <v>88</v>
      </c>
      <c r="B57" s="35">
        <v>46970</v>
      </c>
      <c r="C57" s="34" t="s">
        <v>947</v>
      </c>
      <c r="D57" s="34">
        <v>1</v>
      </c>
      <c r="E57" s="34" t="s">
        <v>933</v>
      </c>
      <c r="F57" t="s">
        <v>934</v>
      </c>
      <c r="G57" t="s">
        <v>935</v>
      </c>
      <c r="H57" t="s">
        <v>936</v>
      </c>
      <c r="I57" t="s">
        <v>937</v>
      </c>
    </row>
    <row r="58" spans="1:9">
      <c r="A58" s="34" t="s">
        <v>88</v>
      </c>
      <c r="B58" s="35">
        <v>47103</v>
      </c>
      <c r="C58" s="34" t="s">
        <v>949</v>
      </c>
      <c r="D58" s="34">
        <v>1</v>
      </c>
      <c r="E58" s="34" t="s">
        <v>933</v>
      </c>
      <c r="F58" t="s">
        <v>934</v>
      </c>
      <c r="G58" t="s">
        <v>935</v>
      </c>
      <c r="H58" t="s">
        <v>936</v>
      </c>
      <c r="I58" t="s">
        <v>937</v>
      </c>
    </row>
    <row r="59" spans="1:9">
      <c r="A59" s="34" t="s">
        <v>88</v>
      </c>
      <c r="B59" s="35">
        <v>47112</v>
      </c>
      <c r="C59" s="34" t="s">
        <v>107</v>
      </c>
      <c r="D59" s="34">
        <v>1</v>
      </c>
      <c r="E59" s="34" t="s">
        <v>933</v>
      </c>
      <c r="F59" t="s">
        <v>934</v>
      </c>
      <c r="G59" t="s">
        <v>935</v>
      </c>
      <c r="H59" t="s">
        <v>936</v>
      </c>
      <c r="I59" t="s">
        <v>937</v>
      </c>
    </row>
    <row r="60" spans="1:9">
      <c r="A60" s="34" t="s">
        <v>912</v>
      </c>
      <c r="B60" s="35">
        <v>46023</v>
      </c>
      <c r="C60" s="34" t="s">
        <v>958</v>
      </c>
      <c r="D60" s="34">
        <v>1</v>
      </c>
      <c r="E60" s="34" t="s">
        <v>959</v>
      </c>
      <c r="F60" t="s">
        <v>934</v>
      </c>
      <c r="G60" t="s">
        <v>935</v>
      </c>
      <c r="H60" t="s">
        <v>936</v>
      </c>
      <c r="I60" t="s">
        <v>937</v>
      </c>
    </row>
    <row r="61" spans="1:9">
      <c r="A61" s="34" t="s">
        <v>912</v>
      </c>
      <c r="B61" s="35">
        <v>46115</v>
      </c>
      <c r="C61" s="34" t="s">
        <v>102</v>
      </c>
      <c r="D61" s="34">
        <v>1</v>
      </c>
      <c r="E61" s="34" t="s">
        <v>959</v>
      </c>
      <c r="F61" t="s">
        <v>934</v>
      </c>
      <c r="G61" t="s">
        <v>935</v>
      </c>
      <c r="H61" t="s">
        <v>936</v>
      </c>
      <c r="I61" t="s">
        <v>937</v>
      </c>
    </row>
    <row r="62" spans="1:9">
      <c r="A62" s="34" t="s">
        <v>912</v>
      </c>
      <c r="B62" s="35">
        <v>46160</v>
      </c>
      <c r="C62" s="34" t="s">
        <v>960</v>
      </c>
      <c r="D62" s="34">
        <v>1</v>
      </c>
      <c r="E62" s="34" t="s">
        <v>959</v>
      </c>
      <c r="F62" t="s">
        <v>934</v>
      </c>
      <c r="G62" t="s">
        <v>935</v>
      </c>
      <c r="H62" t="s">
        <v>936</v>
      </c>
      <c r="I62" t="s">
        <v>937</v>
      </c>
    </row>
    <row r="63" spans="1:9">
      <c r="A63" s="34" t="s">
        <v>912</v>
      </c>
      <c r="B63" s="35">
        <v>46204</v>
      </c>
      <c r="C63" s="34" t="s">
        <v>961</v>
      </c>
      <c r="D63" s="34">
        <v>1</v>
      </c>
      <c r="E63" s="34" t="s">
        <v>959</v>
      </c>
      <c r="F63" t="s">
        <v>934</v>
      </c>
      <c r="G63" t="s">
        <v>935</v>
      </c>
      <c r="H63" t="s">
        <v>936</v>
      </c>
      <c r="I63" t="s">
        <v>937</v>
      </c>
    </row>
    <row r="64" spans="1:9">
      <c r="A64" s="34" t="s">
        <v>912</v>
      </c>
      <c r="B64" s="35">
        <v>46272</v>
      </c>
      <c r="C64" s="34" t="s">
        <v>962</v>
      </c>
      <c r="D64" s="34">
        <v>1</v>
      </c>
      <c r="E64" s="34" t="s">
        <v>959</v>
      </c>
      <c r="F64" t="s">
        <v>934</v>
      </c>
      <c r="G64" t="s">
        <v>935</v>
      </c>
      <c r="H64" t="s">
        <v>936</v>
      </c>
      <c r="I64" t="s">
        <v>937</v>
      </c>
    </row>
    <row r="65" spans="1:9">
      <c r="A65" s="34" t="s">
        <v>912</v>
      </c>
      <c r="B65" s="35">
        <v>46295</v>
      </c>
      <c r="C65" s="34" t="s">
        <v>963</v>
      </c>
      <c r="D65" s="34">
        <v>1</v>
      </c>
      <c r="E65" s="34" t="s">
        <v>959</v>
      </c>
      <c r="F65" t="s">
        <v>934</v>
      </c>
      <c r="G65" t="s">
        <v>935</v>
      </c>
      <c r="H65" t="s">
        <v>936</v>
      </c>
      <c r="I65" t="s">
        <v>937</v>
      </c>
    </row>
    <row r="66" spans="1:9">
      <c r="A66" s="34" t="s">
        <v>912</v>
      </c>
      <c r="B66" s="35">
        <v>46307</v>
      </c>
      <c r="C66" s="34" t="s">
        <v>964</v>
      </c>
      <c r="D66" s="34">
        <v>1</v>
      </c>
      <c r="E66" s="34" t="s">
        <v>959</v>
      </c>
      <c r="F66" t="s">
        <v>934</v>
      </c>
      <c r="G66" t="s">
        <v>935</v>
      </c>
      <c r="H66" t="s">
        <v>936</v>
      </c>
      <c r="I66" t="s">
        <v>937</v>
      </c>
    </row>
    <row r="67" spans="1:9">
      <c r="A67" s="34" t="s">
        <v>912</v>
      </c>
      <c r="B67" s="35">
        <v>46337</v>
      </c>
      <c r="C67" s="34" t="s">
        <v>965</v>
      </c>
      <c r="D67" s="34">
        <v>1</v>
      </c>
      <c r="E67" s="34" t="s">
        <v>959</v>
      </c>
      <c r="F67" t="s">
        <v>934</v>
      </c>
      <c r="G67" t="s">
        <v>935</v>
      </c>
      <c r="H67" t="s">
        <v>936</v>
      </c>
      <c r="I67" t="s">
        <v>937</v>
      </c>
    </row>
    <row r="68" spans="1:9">
      <c r="A68" s="34" t="s">
        <v>912</v>
      </c>
      <c r="B68" s="35">
        <v>46381</v>
      </c>
      <c r="C68" s="34" t="s">
        <v>107</v>
      </c>
      <c r="D68" s="34">
        <v>1</v>
      </c>
      <c r="E68" s="34" t="s">
        <v>959</v>
      </c>
      <c r="F68" t="s">
        <v>934</v>
      </c>
      <c r="G68" t="s">
        <v>935</v>
      </c>
      <c r="H68" t="s">
        <v>936</v>
      </c>
      <c r="I68" t="s">
        <v>937</v>
      </c>
    </row>
    <row r="69" spans="1:9">
      <c r="A69" s="34" t="s">
        <v>912</v>
      </c>
      <c r="B69" s="35">
        <v>46382</v>
      </c>
      <c r="C69" s="34" t="s">
        <v>108</v>
      </c>
      <c r="D69" s="34">
        <v>1</v>
      </c>
      <c r="E69" s="34" t="s">
        <v>959</v>
      </c>
      <c r="F69" t="s">
        <v>934</v>
      </c>
      <c r="G69" t="s">
        <v>935</v>
      </c>
      <c r="H69" t="s">
        <v>936</v>
      </c>
      <c r="I69" t="s">
        <v>937</v>
      </c>
    </row>
    <row r="70" spans="1:9">
      <c r="A70" s="34" t="s">
        <v>912</v>
      </c>
      <c r="B70" s="35">
        <v>46384</v>
      </c>
      <c r="C70" s="34" t="s">
        <v>966</v>
      </c>
      <c r="D70" s="34">
        <v>1</v>
      </c>
      <c r="E70" s="34" t="s">
        <v>959</v>
      </c>
      <c r="F70" t="s">
        <v>934</v>
      </c>
      <c r="G70" t="s">
        <v>935</v>
      </c>
      <c r="H70" t="s">
        <v>936</v>
      </c>
      <c r="I70" t="s">
        <v>937</v>
      </c>
    </row>
    <row r="71" spans="1:9">
      <c r="A71" s="34" t="s">
        <v>912</v>
      </c>
      <c r="B71" s="35">
        <v>46388</v>
      </c>
      <c r="C71" s="34" t="s">
        <v>958</v>
      </c>
      <c r="D71" s="34">
        <v>1</v>
      </c>
      <c r="E71" s="34" t="s">
        <v>959</v>
      </c>
      <c r="F71" t="s">
        <v>934</v>
      </c>
      <c r="G71" t="s">
        <v>935</v>
      </c>
      <c r="H71" t="s">
        <v>936</v>
      </c>
      <c r="I71" t="s">
        <v>937</v>
      </c>
    </row>
    <row r="72" spans="1:9">
      <c r="A72" s="34" t="s">
        <v>912</v>
      </c>
      <c r="B72" s="35">
        <v>46472</v>
      </c>
      <c r="C72" s="34" t="s">
        <v>102</v>
      </c>
      <c r="D72" s="34">
        <v>1</v>
      </c>
      <c r="E72" s="34" t="s">
        <v>959</v>
      </c>
      <c r="F72" t="s">
        <v>934</v>
      </c>
      <c r="G72" t="s">
        <v>935</v>
      </c>
      <c r="H72" t="s">
        <v>936</v>
      </c>
      <c r="I72" t="s">
        <v>937</v>
      </c>
    </row>
    <row r="73" spans="1:9">
      <c r="A73" s="34" t="s">
        <v>912</v>
      </c>
      <c r="B73" s="35">
        <v>46531</v>
      </c>
      <c r="C73" s="34" t="s">
        <v>960</v>
      </c>
      <c r="D73" s="34">
        <v>1</v>
      </c>
      <c r="E73" s="34" t="s">
        <v>959</v>
      </c>
      <c r="F73" t="s">
        <v>934</v>
      </c>
      <c r="G73" t="s">
        <v>935</v>
      </c>
      <c r="H73" t="s">
        <v>936</v>
      </c>
      <c r="I73" t="s">
        <v>937</v>
      </c>
    </row>
    <row r="74" spans="1:9">
      <c r="A74" s="34" t="s">
        <v>912</v>
      </c>
      <c r="B74" s="35">
        <v>46569</v>
      </c>
      <c r="C74" s="34" t="s">
        <v>961</v>
      </c>
      <c r="D74" s="34">
        <v>1</v>
      </c>
      <c r="E74" s="34" t="s">
        <v>959</v>
      </c>
      <c r="F74" t="s">
        <v>934</v>
      </c>
      <c r="G74" t="s">
        <v>935</v>
      </c>
      <c r="H74" t="s">
        <v>936</v>
      </c>
      <c r="I74" t="s">
        <v>937</v>
      </c>
    </row>
    <row r="75" spans="1:9">
      <c r="A75" s="34" t="s">
        <v>912</v>
      </c>
      <c r="B75" s="35">
        <v>46636</v>
      </c>
      <c r="C75" s="34" t="s">
        <v>962</v>
      </c>
      <c r="D75" s="34">
        <v>1</v>
      </c>
      <c r="E75" s="34" t="s">
        <v>959</v>
      </c>
      <c r="F75" t="s">
        <v>934</v>
      </c>
      <c r="G75" t="s">
        <v>935</v>
      </c>
      <c r="H75" t="s">
        <v>936</v>
      </c>
      <c r="I75" t="s">
        <v>937</v>
      </c>
    </row>
    <row r="76" spans="1:9">
      <c r="A76" s="34" t="s">
        <v>912</v>
      </c>
      <c r="B76" s="35">
        <v>46660</v>
      </c>
      <c r="C76" s="34" t="s">
        <v>963</v>
      </c>
      <c r="D76" s="34">
        <v>1</v>
      </c>
      <c r="E76" s="34" t="s">
        <v>959</v>
      </c>
      <c r="F76" t="s">
        <v>934</v>
      </c>
      <c r="G76" t="s">
        <v>935</v>
      </c>
      <c r="H76" t="s">
        <v>936</v>
      </c>
      <c r="I76" t="s">
        <v>937</v>
      </c>
    </row>
    <row r="77" spans="1:9">
      <c r="A77" s="34" t="s">
        <v>912</v>
      </c>
      <c r="B77" s="35">
        <v>46671</v>
      </c>
      <c r="C77" s="34" t="s">
        <v>964</v>
      </c>
      <c r="D77" s="34">
        <v>1</v>
      </c>
      <c r="E77" s="34" t="s">
        <v>959</v>
      </c>
      <c r="F77" t="s">
        <v>934</v>
      </c>
      <c r="G77" t="s">
        <v>935</v>
      </c>
      <c r="H77" t="s">
        <v>936</v>
      </c>
      <c r="I77" t="s">
        <v>937</v>
      </c>
    </row>
    <row r="78" spans="1:9">
      <c r="A78" s="34" t="s">
        <v>912</v>
      </c>
      <c r="B78" s="35">
        <v>46702</v>
      </c>
      <c r="C78" s="34" t="s">
        <v>965</v>
      </c>
      <c r="D78" s="34">
        <v>1</v>
      </c>
      <c r="E78" s="34" t="s">
        <v>959</v>
      </c>
      <c r="F78" t="s">
        <v>934</v>
      </c>
      <c r="G78" t="s">
        <v>935</v>
      </c>
      <c r="H78" t="s">
        <v>936</v>
      </c>
      <c r="I78" t="s">
        <v>937</v>
      </c>
    </row>
    <row r="79" spans="1:9">
      <c r="A79" s="34" t="s">
        <v>912</v>
      </c>
      <c r="B79" s="35">
        <v>46746</v>
      </c>
      <c r="C79" s="34" t="s">
        <v>107</v>
      </c>
      <c r="D79" s="34">
        <v>1</v>
      </c>
      <c r="E79" s="34" t="s">
        <v>959</v>
      </c>
      <c r="F79" t="s">
        <v>934</v>
      </c>
      <c r="G79" t="s">
        <v>935</v>
      </c>
      <c r="H79" t="s">
        <v>936</v>
      </c>
      <c r="I79" t="s">
        <v>937</v>
      </c>
    </row>
    <row r="80" spans="1:9">
      <c r="A80" s="34" t="s">
        <v>912</v>
      </c>
      <c r="B80" s="35">
        <v>46747</v>
      </c>
      <c r="C80" s="34" t="s">
        <v>108</v>
      </c>
      <c r="D80" s="34">
        <v>1</v>
      </c>
      <c r="E80" s="34" t="s">
        <v>959</v>
      </c>
      <c r="F80" t="s">
        <v>934</v>
      </c>
      <c r="G80" t="s">
        <v>935</v>
      </c>
      <c r="H80" t="s">
        <v>936</v>
      </c>
      <c r="I80" t="s">
        <v>937</v>
      </c>
    </row>
    <row r="81" spans="1:9">
      <c r="A81" s="34" t="s">
        <v>912</v>
      </c>
      <c r="B81" s="35">
        <v>46748</v>
      </c>
      <c r="C81" s="34" t="s">
        <v>967</v>
      </c>
      <c r="D81" s="34">
        <v>1</v>
      </c>
      <c r="E81" s="34" t="s">
        <v>959</v>
      </c>
      <c r="F81" t="s">
        <v>934</v>
      </c>
      <c r="G81" t="s">
        <v>935</v>
      </c>
      <c r="H81" t="s">
        <v>936</v>
      </c>
      <c r="I81" t="s">
        <v>937</v>
      </c>
    </row>
    <row r="82" spans="1:9">
      <c r="A82" s="34" t="s">
        <v>912</v>
      </c>
      <c r="B82" s="35">
        <v>46749</v>
      </c>
      <c r="C82" s="34" t="s">
        <v>966</v>
      </c>
      <c r="D82" s="34">
        <v>1</v>
      </c>
      <c r="E82" s="34" t="s">
        <v>959</v>
      </c>
      <c r="F82" t="s">
        <v>934</v>
      </c>
      <c r="G82" t="s">
        <v>935</v>
      </c>
      <c r="H82" t="s">
        <v>936</v>
      </c>
      <c r="I82" t="s">
        <v>937</v>
      </c>
    </row>
    <row r="83" spans="1:9">
      <c r="A83" s="34" t="s">
        <v>912</v>
      </c>
      <c r="B83" s="35">
        <v>46753</v>
      </c>
      <c r="C83" s="34" t="s">
        <v>958</v>
      </c>
      <c r="D83" s="34">
        <v>1</v>
      </c>
      <c r="E83" s="34" t="s">
        <v>959</v>
      </c>
      <c r="F83" t="s">
        <v>934</v>
      </c>
      <c r="G83" t="s">
        <v>935</v>
      </c>
      <c r="H83" t="s">
        <v>936</v>
      </c>
      <c r="I83" t="s">
        <v>937</v>
      </c>
    </row>
    <row r="84" spans="1:9">
      <c r="A84" s="34" t="s">
        <v>912</v>
      </c>
      <c r="B84" s="35">
        <v>46755</v>
      </c>
      <c r="C84" s="34" t="s">
        <v>968</v>
      </c>
      <c r="D84" s="34">
        <v>1</v>
      </c>
      <c r="E84" s="34" t="s">
        <v>959</v>
      </c>
      <c r="F84" t="s">
        <v>934</v>
      </c>
      <c r="G84" t="s">
        <v>935</v>
      </c>
      <c r="H84" t="s">
        <v>936</v>
      </c>
      <c r="I84" t="s">
        <v>937</v>
      </c>
    </row>
    <row r="85" spans="1:9">
      <c r="A85" s="34" t="s">
        <v>912</v>
      </c>
      <c r="B85" s="35">
        <v>46857</v>
      </c>
      <c r="C85" s="34" t="s">
        <v>102</v>
      </c>
      <c r="D85" s="34">
        <v>1</v>
      </c>
      <c r="E85" s="34" t="s">
        <v>959</v>
      </c>
      <c r="F85" t="s">
        <v>934</v>
      </c>
      <c r="G85" t="s">
        <v>935</v>
      </c>
      <c r="H85" t="s">
        <v>936</v>
      </c>
      <c r="I85" t="s">
        <v>937</v>
      </c>
    </row>
    <row r="86" spans="1:9">
      <c r="A86" s="34" t="s">
        <v>912</v>
      </c>
      <c r="B86" s="35">
        <v>46895</v>
      </c>
      <c r="C86" s="34" t="s">
        <v>960</v>
      </c>
      <c r="D86" s="34">
        <v>1</v>
      </c>
      <c r="E86" s="34" t="s">
        <v>959</v>
      </c>
      <c r="F86" t="s">
        <v>934</v>
      </c>
      <c r="G86" t="s">
        <v>935</v>
      </c>
      <c r="H86" t="s">
        <v>936</v>
      </c>
      <c r="I86" t="s">
        <v>937</v>
      </c>
    </row>
    <row r="87" spans="1:9">
      <c r="A87" s="34" t="s">
        <v>912</v>
      </c>
      <c r="B87" s="35">
        <v>46935</v>
      </c>
      <c r="C87" s="34" t="s">
        <v>961</v>
      </c>
      <c r="D87" s="34">
        <v>1</v>
      </c>
      <c r="E87" s="34" t="s">
        <v>959</v>
      </c>
      <c r="F87" t="s">
        <v>934</v>
      </c>
      <c r="G87" t="s">
        <v>935</v>
      </c>
      <c r="H87" t="s">
        <v>936</v>
      </c>
      <c r="I87" t="s">
        <v>937</v>
      </c>
    </row>
    <row r="88" spans="1:9">
      <c r="A88" s="34" t="s">
        <v>912</v>
      </c>
      <c r="B88" s="35">
        <v>46937</v>
      </c>
      <c r="C88" s="34" t="s">
        <v>969</v>
      </c>
      <c r="D88" s="34">
        <v>1</v>
      </c>
      <c r="E88" s="34" t="s">
        <v>959</v>
      </c>
      <c r="F88" t="s">
        <v>934</v>
      </c>
      <c r="G88" t="s">
        <v>935</v>
      </c>
      <c r="H88" t="s">
        <v>936</v>
      </c>
      <c r="I88" t="s">
        <v>937</v>
      </c>
    </row>
    <row r="89" spans="1:9">
      <c r="A89" s="34" t="s">
        <v>912</v>
      </c>
      <c r="B89" s="35">
        <v>47000</v>
      </c>
      <c r="C89" s="34" t="s">
        <v>962</v>
      </c>
      <c r="D89" s="34">
        <v>1</v>
      </c>
      <c r="E89" s="34" t="s">
        <v>959</v>
      </c>
      <c r="F89" t="s">
        <v>934</v>
      </c>
      <c r="G89" t="s">
        <v>935</v>
      </c>
      <c r="H89" t="s">
        <v>936</v>
      </c>
      <c r="I89" t="s">
        <v>937</v>
      </c>
    </row>
    <row r="90" spans="1:9">
      <c r="A90" s="34" t="s">
        <v>912</v>
      </c>
      <c r="B90" s="35">
        <v>47026</v>
      </c>
      <c r="C90" s="34" t="s">
        <v>963</v>
      </c>
      <c r="D90" s="34">
        <v>1</v>
      </c>
      <c r="E90" s="34" t="s">
        <v>959</v>
      </c>
      <c r="F90" t="s">
        <v>934</v>
      </c>
      <c r="G90" t="s">
        <v>935</v>
      </c>
      <c r="H90" t="s">
        <v>936</v>
      </c>
      <c r="I90" t="s">
        <v>937</v>
      </c>
    </row>
    <row r="91" spans="1:9">
      <c r="A91" s="34" t="s">
        <v>912</v>
      </c>
      <c r="B91" s="35">
        <v>47028</v>
      </c>
      <c r="C91" s="34" t="s">
        <v>970</v>
      </c>
      <c r="D91" s="34">
        <v>1</v>
      </c>
      <c r="E91" s="34" t="s">
        <v>959</v>
      </c>
      <c r="F91" t="s">
        <v>934</v>
      </c>
      <c r="G91" t="s">
        <v>935</v>
      </c>
      <c r="H91" t="s">
        <v>936</v>
      </c>
      <c r="I91" t="s">
        <v>937</v>
      </c>
    </row>
    <row r="92" spans="1:9">
      <c r="A92" s="34" t="s">
        <v>912</v>
      </c>
      <c r="B92" s="35">
        <v>47035</v>
      </c>
      <c r="C92" s="34" t="s">
        <v>964</v>
      </c>
      <c r="D92" s="34">
        <v>1</v>
      </c>
      <c r="E92" s="34" t="s">
        <v>959</v>
      </c>
      <c r="F92" t="s">
        <v>934</v>
      </c>
      <c r="G92" t="s">
        <v>935</v>
      </c>
      <c r="H92" t="s">
        <v>936</v>
      </c>
      <c r="I92" t="s">
        <v>937</v>
      </c>
    </row>
    <row r="93" spans="1:9">
      <c r="A93" s="34" t="s">
        <v>912</v>
      </c>
      <c r="B93" s="35">
        <v>47068</v>
      </c>
      <c r="C93" s="34" t="s">
        <v>965</v>
      </c>
      <c r="D93" s="34">
        <v>1</v>
      </c>
      <c r="E93" s="34" t="s">
        <v>959</v>
      </c>
      <c r="F93" t="s">
        <v>934</v>
      </c>
      <c r="G93" t="s">
        <v>935</v>
      </c>
      <c r="H93" t="s">
        <v>936</v>
      </c>
      <c r="I93" t="s">
        <v>937</v>
      </c>
    </row>
    <row r="94" spans="1:9">
      <c r="A94" s="34" t="s">
        <v>912</v>
      </c>
      <c r="B94" s="35">
        <v>47070</v>
      </c>
      <c r="C94" s="34" t="s">
        <v>971</v>
      </c>
      <c r="D94" s="34">
        <v>1</v>
      </c>
      <c r="E94" s="34" t="s">
        <v>959</v>
      </c>
      <c r="F94" t="s">
        <v>934</v>
      </c>
      <c r="G94" t="s">
        <v>935</v>
      </c>
      <c r="H94" t="s">
        <v>936</v>
      </c>
      <c r="I94" t="s">
        <v>937</v>
      </c>
    </row>
    <row r="95" spans="1:9">
      <c r="A95" s="34" t="s">
        <v>912</v>
      </c>
      <c r="B95" s="35">
        <v>47112</v>
      </c>
      <c r="C95" s="34" t="s">
        <v>107</v>
      </c>
      <c r="D95" s="34">
        <v>1</v>
      </c>
      <c r="E95" s="34" t="s">
        <v>959</v>
      </c>
      <c r="F95" t="s">
        <v>934</v>
      </c>
      <c r="G95" t="s">
        <v>935</v>
      </c>
      <c r="H95" t="s">
        <v>936</v>
      </c>
      <c r="I95" t="s">
        <v>937</v>
      </c>
    </row>
    <row r="96" spans="1:9">
      <c r="A96" s="34" t="s">
        <v>912</v>
      </c>
      <c r="B96" s="35">
        <v>47113</v>
      </c>
      <c r="C96" s="34" t="s">
        <v>108</v>
      </c>
      <c r="D96" s="34">
        <v>1</v>
      </c>
      <c r="E96" s="34" t="s">
        <v>959</v>
      </c>
      <c r="F96" t="s">
        <v>934</v>
      </c>
      <c r="G96" t="s">
        <v>935</v>
      </c>
      <c r="H96" t="s">
        <v>936</v>
      </c>
      <c r="I96" t="s">
        <v>937</v>
      </c>
    </row>
    <row r="97" spans="1:9">
      <c r="A97" s="34" t="s">
        <v>898</v>
      </c>
      <c r="B97" s="35">
        <v>46023</v>
      </c>
      <c r="C97" s="34" t="s">
        <v>958</v>
      </c>
      <c r="D97" s="34">
        <v>1</v>
      </c>
      <c r="E97" s="34" t="s">
        <v>972</v>
      </c>
      <c r="F97" t="s">
        <v>934</v>
      </c>
      <c r="G97" t="s">
        <v>935</v>
      </c>
      <c r="H97" t="s">
        <v>936</v>
      </c>
      <c r="I97" t="s">
        <v>937</v>
      </c>
    </row>
    <row r="98" spans="1:9">
      <c r="A98" s="34" t="s">
        <v>898</v>
      </c>
      <c r="B98" s="35">
        <v>46024</v>
      </c>
      <c r="C98" s="34" t="s">
        <v>973</v>
      </c>
      <c r="D98" s="34">
        <v>1</v>
      </c>
      <c r="E98" s="34" t="s">
        <v>972</v>
      </c>
      <c r="F98" t="s">
        <v>934</v>
      </c>
      <c r="G98" t="s">
        <v>935</v>
      </c>
      <c r="H98" t="s">
        <v>936</v>
      </c>
      <c r="I98" t="s">
        <v>937</v>
      </c>
    </row>
    <row r="99" spans="1:9">
      <c r="A99" s="34" t="s">
        <v>898</v>
      </c>
      <c r="B99" s="35">
        <v>46026</v>
      </c>
      <c r="C99" s="34" t="s">
        <v>974</v>
      </c>
      <c r="D99" s="34">
        <v>1</v>
      </c>
      <c r="E99" s="34" t="s">
        <v>972</v>
      </c>
      <c r="F99" t="s">
        <v>975</v>
      </c>
      <c r="G99" t="s">
        <v>976</v>
      </c>
      <c r="H99" t="s">
        <v>936</v>
      </c>
      <c r="I99" t="s">
        <v>937</v>
      </c>
    </row>
    <row r="100" spans="1:9">
      <c r="A100" s="34" t="s">
        <v>898</v>
      </c>
      <c r="B100" s="35">
        <v>46067</v>
      </c>
      <c r="C100" s="34" t="s">
        <v>974</v>
      </c>
      <c r="D100" s="34">
        <v>1</v>
      </c>
      <c r="E100" s="34" t="s">
        <v>972</v>
      </c>
      <c r="F100" t="s">
        <v>975</v>
      </c>
      <c r="G100" t="s">
        <v>976</v>
      </c>
      <c r="H100" t="s">
        <v>936</v>
      </c>
      <c r="I100" t="s">
        <v>937</v>
      </c>
    </row>
    <row r="101" spans="1:9">
      <c r="A101" s="34" t="s">
        <v>898</v>
      </c>
      <c r="B101" s="35">
        <v>46069</v>
      </c>
      <c r="C101" s="34" t="s">
        <v>977</v>
      </c>
      <c r="D101" s="34">
        <v>1</v>
      </c>
      <c r="E101" s="34" t="s">
        <v>972</v>
      </c>
      <c r="F101" t="s">
        <v>934</v>
      </c>
      <c r="G101" t="s">
        <v>935</v>
      </c>
      <c r="H101" t="s">
        <v>936</v>
      </c>
      <c r="I101" t="s">
        <v>937</v>
      </c>
    </row>
    <row r="102" spans="1:9">
      <c r="A102" s="34" t="s">
        <v>898</v>
      </c>
      <c r="B102" s="35">
        <v>46070</v>
      </c>
      <c r="C102" s="34" t="s">
        <v>978</v>
      </c>
      <c r="D102" s="34">
        <v>1</v>
      </c>
      <c r="E102" s="34" t="s">
        <v>972</v>
      </c>
      <c r="F102" t="s">
        <v>934</v>
      </c>
      <c r="G102" t="s">
        <v>935</v>
      </c>
      <c r="H102" t="s">
        <v>936</v>
      </c>
      <c r="I102" t="s">
        <v>937</v>
      </c>
    </row>
    <row r="103" spans="1:9">
      <c r="A103" s="34" t="s">
        <v>898</v>
      </c>
      <c r="B103" s="35">
        <v>46071</v>
      </c>
      <c r="C103" s="34" t="s">
        <v>978</v>
      </c>
      <c r="D103" s="34">
        <v>1</v>
      </c>
      <c r="E103" s="34" t="s">
        <v>972</v>
      </c>
      <c r="F103" t="s">
        <v>934</v>
      </c>
      <c r="G103" t="s">
        <v>935</v>
      </c>
      <c r="H103" t="s">
        <v>936</v>
      </c>
      <c r="I103" t="s">
        <v>937</v>
      </c>
    </row>
    <row r="104" spans="1:9">
      <c r="A104" s="34" t="s">
        <v>898</v>
      </c>
      <c r="B104" s="35">
        <v>46072</v>
      </c>
      <c r="C104" s="34" t="s">
        <v>978</v>
      </c>
      <c r="D104" s="34">
        <v>1</v>
      </c>
      <c r="E104" s="34" t="s">
        <v>972</v>
      </c>
      <c r="F104" t="s">
        <v>934</v>
      </c>
      <c r="G104" t="s">
        <v>935</v>
      </c>
      <c r="H104" t="s">
        <v>936</v>
      </c>
      <c r="I104" t="s">
        <v>937</v>
      </c>
    </row>
    <row r="105" spans="1:9">
      <c r="A105" s="34" t="s">
        <v>898</v>
      </c>
      <c r="B105" s="35">
        <v>46073</v>
      </c>
      <c r="C105" s="34" t="s">
        <v>979</v>
      </c>
      <c r="D105" s="34">
        <v>1</v>
      </c>
      <c r="E105" s="34" t="s">
        <v>972</v>
      </c>
      <c r="F105" t="s">
        <v>934</v>
      </c>
      <c r="G105" t="s">
        <v>935</v>
      </c>
      <c r="H105" t="s">
        <v>936</v>
      </c>
      <c r="I105" t="s">
        <v>937</v>
      </c>
    </row>
    <row r="106" spans="1:9">
      <c r="A106" s="34" t="s">
        <v>898</v>
      </c>
      <c r="B106" s="35">
        <v>46076</v>
      </c>
      <c r="C106" s="34" t="s">
        <v>980</v>
      </c>
      <c r="D106" s="34">
        <v>1</v>
      </c>
      <c r="E106" s="34" t="s">
        <v>972</v>
      </c>
      <c r="F106" t="s">
        <v>934</v>
      </c>
      <c r="G106" t="s">
        <v>935</v>
      </c>
      <c r="H106" t="s">
        <v>936</v>
      </c>
      <c r="I106" t="s">
        <v>937</v>
      </c>
    </row>
    <row r="107" spans="1:9">
      <c r="A107" s="34" t="s">
        <v>898</v>
      </c>
      <c r="B107" s="35">
        <v>46081</v>
      </c>
      <c r="C107" s="34" t="s">
        <v>974</v>
      </c>
      <c r="D107" s="34">
        <v>1</v>
      </c>
      <c r="E107" s="34" t="s">
        <v>972</v>
      </c>
      <c r="F107" t="s">
        <v>975</v>
      </c>
      <c r="G107" t="s">
        <v>976</v>
      </c>
      <c r="H107" t="s">
        <v>936</v>
      </c>
      <c r="I107" t="s">
        <v>937</v>
      </c>
    </row>
    <row r="108" spans="1:9">
      <c r="A108" s="34" t="s">
        <v>898</v>
      </c>
      <c r="B108" s="35">
        <v>46117</v>
      </c>
      <c r="C108" s="34" t="s">
        <v>981</v>
      </c>
      <c r="D108" s="34">
        <v>1</v>
      </c>
      <c r="E108" s="34" t="s">
        <v>972</v>
      </c>
      <c r="F108" t="s">
        <v>934</v>
      </c>
      <c r="G108" t="s">
        <v>935</v>
      </c>
      <c r="H108" t="s">
        <v>936</v>
      </c>
      <c r="I108" t="s">
        <v>937</v>
      </c>
    </row>
    <row r="109" spans="1:9">
      <c r="A109" s="34" t="s">
        <v>898</v>
      </c>
      <c r="B109" s="35">
        <v>46118</v>
      </c>
      <c r="C109" s="34" t="s">
        <v>982</v>
      </c>
      <c r="D109" s="34">
        <v>1</v>
      </c>
      <c r="E109" s="34" t="s">
        <v>972</v>
      </c>
      <c r="F109" t="s">
        <v>934</v>
      </c>
      <c r="G109" t="s">
        <v>935</v>
      </c>
      <c r="H109" t="s">
        <v>936</v>
      </c>
      <c r="I109" t="s">
        <v>937</v>
      </c>
    </row>
    <row r="110" spans="1:9">
      <c r="A110" s="34" t="s">
        <v>898</v>
      </c>
      <c r="B110" s="35">
        <v>46143</v>
      </c>
      <c r="C110" s="34" t="s">
        <v>962</v>
      </c>
      <c r="D110" s="34">
        <v>1</v>
      </c>
      <c r="E110" s="34" t="s">
        <v>972</v>
      </c>
      <c r="F110" t="s">
        <v>934</v>
      </c>
      <c r="G110" t="s">
        <v>935</v>
      </c>
      <c r="H110" t="s">
        <v>936</v>
      </c>
      <c r="I110" t="s">
        <v>937</v>
      </c>
    </row>
    <row r="111" spans="1:9">
      <c r="A111" s="34" t="s">
        <v>898</v>
      </c>
      <c r="B111" s="35">
        <v>46144</v>
      </c>
      <c r="C111" s="34" t="s">
        <v>962</v>
      </c>
      <c r="D111" s="34">
        <v>1</v>
      </c>
      <c r="E111" s="34" t="s">
        <v>972</v>
      </c>
      <c r="F111" t="s">
        <v>934</v>
      </c>
      <c r="G111" t="s">
        <v>935</v>
      </c>
      <c r="H111" t="s">
        <v>936</v>
      </c>
      <c r="I111" t="s">
        <v>937</v>
      </c>
    </row>
    <row r="112" spans="1:9">
      <c r="A112" s="34" t="s">
        <v>898</v>
      </c>
      <c r="B112" s="35">
        <v>46146</v>
      </c>
      <c r="C112" s="34" t="s">
        <v>983</v>
      </c>
      <c r="D112" s="34">
        <v>1</v>
      </c>
      <c r="E112" s="34" t="s">
        <v>972</v>
      </c>
      <c r="F112" t="s">
        <v>934</v>
      </c>
      <c r="G112" t="s">
        <v>935</v>
      </c>
      <c r="H112" t="s">
        <v>936</v>
      </c>
      <c r="I112" t="s">
        <v>937</v>
      </c>
    </row>
    <row r="113" spans="1:9">
      <c r="A113" s="34" t="s">
        <v>898</v>
      </c>
      <c r="B113" s="35">
        <v>46147</v>
      </c>
      <c r="C113" s="34" t="s">
        <v>984</v>
      </c>
      <c r="D113" s="34">
        <v>1</v>
      </c>
      <c r="E113" s="34" t="s">
        <v>972</v>
      </c>
      <c r="F113" t="s">
        <v>934</v>
      </c>
      <c r="G113" t="s">
        <v>935</v>
      </c>
      <c r="H113" t="s">
        <v>936</v>
      </c>
      <c r="I113" t="s">
        <v>937</v>
      </c>
    </row>
    <row r="114" spans="1:9">
      <c r="A114" s="34" t="s">
        <v>898</v>
      </c>
      <c r="B114" s="35">
        <v>46151</v>
      </c>
      <c r="C114" s="34" t="s">
        <v>974</v>
      </c>
      <c r="D114" s="34">
        <v>1</v>
      </c>
      <c r="E114" s="34" t="s">
        <v>972</v>
      </c>
      <c r="F114" t="s">
        <v>975</v>
      </c>
      <c r="G114" t="s">
        <v>976</v>
      </c>
      <c r="H114" t="s">
        <v>936</v>
      </c>
      <c r="I114" t="s">
        <v>937</v>
      </c>
    </row>
    <row r="115" spans="1:9">
      <c r="A115" s="34" t="s">
        <v>898</v>
      </c>
      <c r="B115" s="35">
        <v>46192</v>
      </c>
      <c r="C115" s="34" t="s">
        <v>985</v>
      </c>
      <c r="D115" s="34">
        <v>1</v>
      </c>
      <c r="E115" s="34" t="s">
        <v>972</v>
      </c>
      <c r="F115" t="s">
        <v>934</v>
      </c>
      <c r="G115" t="s">
        <v>935</v>
      </c>
      <c r="H115" t="s">
        <v>936</v>
      </c>
      <c r="I115" t="s">
        <v>937</v>
      </c>
    </row>
    <row r="116" spans="1:9">
      <c r="A116" s="34" t="s">
        <v>898</v>
      </c>
      <c r="B116" s="35">
        <v>46285</v>
      </c>
      <c r="C116" s="34" t="s">
        <v>974</v>
      </c>
      <c r="D116" s="34">
        <v>1</v>
      </c>
      <c r="E116" s="34" t="s">
        <v>972</v>
      </c>
      <c r="F116" t="s">
        <v>975</v>
      </c>
      <c r="G116" t="s">
        <v>976</v>
      </c>
      <c r="H116" t="s">
        <v>936</v>
      </c>
      <c r="I116" t="s">
        <v>937</v>
      </c>
    </row>
    <row r="117" spans="1:9">
      <c r="A117" s="34" t="s">
        <v>898</v>
      </c>
      <c r="B117" s="35">
        <v>46290</v>
      </c>
      <c r="C117" s="34" t="s">
        <v>986</v>
      </c>
      <c r="D117" s="34">
        <v>1</v>
      </c>
      <c r="E117" s="34" t="s">
        <v>972</v>
      </c>
      <c r="F117" t="s">
        <v>934</v>
      </c>
      <c r="G117" t="s">
        <v>935</v>
      </c>
      <c r="H117" t="s">
        <v>936</v>
      </c>
      <c r="I117" t="s">
        <v>937</v>
      </c>
    </row>
    <row r="118" spans="1:9">
      <c r="A118" s="34" t="s">
        <v>898</v>
      </c>
      <c r="B118" s="35">
        <v>46296</v>
      </c>
      <c r="C118" s="34" t="s">
        <v>987</v>
      </c>
      <c r="D118" s="34">
        <v>1</v>
      </c>
      <c r="E118" s="34" t="s">
        <v>972</v>
      </c>
      <c r="F118" t="s">
        <v>934</v>
      </c>
      <c r="G118" t="s">
        <v>935</v>
      </c>
      <c r="H118" t="s">
        <v>936</v>
      </c>
      <c r="I118" t="s">
        <v>937</v>
      </c>
    </row>
    <row r="119" spans="1:9">
      <c r="A119" s="34" t="s">
        <v>898</v>
      </c>
      <c r="B119" s="35">
        <v>46297</v>
      </c>
      <c r="C119" s="34" t="s">
        <v>987</v>
      </c>
      <c r="D119" s="34">
        <v>1</v>
      </c>
      <c r="E119" s="34" t="s">
        <v>972</v>
      </c>
      <c r="F119" t="s">
        <v>934</v>
      </c>
      <c r="G119" t="s">
        <v>935</v>
      </c>
      <c r="H119" t="s">
        <v>936</v>
      </c>
      <c r="I119" t="s">
        <v>937</v>
      </c>
    </row>
    <row r="120" spans="1:9">
      <c r="A120" s="34" t="s">
        <v>898</v>
      </c>
      <c r="B120" s="35">
        <v>46298</v>
      </c>
      <c r="C120" s="34" t="s">
        <v>987</v>
      </c>
      <c r="D120" s="34">
        <v>1</v>
      </c>
      <c r="E120" s="34" t="s">
        <v>972</v>
      </c>
      <c r="F120" t="s">
        <v>934</v>
      </c>
      <c r="G120" t="s">
        <v>935</v>
      </c>
      <c r="H120" t="s">
        <v>936</v>
      </c>
      <c r="I120" t="s">
        <v>937</v>
      </c>
    </row>
    <row r="121" spans="1:9">
      <c r="A121" s="34" t="s">
        <v>898</v>
      </c>
      <c r="B121" s="35">
        <v>46300</v>
      </c>
      <c r="C121" s="34" t="s">
        <v>988</v>
      </c>
      <c r="D121" s="34">
        <v>1</v>
      </c>
      <c r="E121" s="34" t="s">
        <v>972</v>
      </c>
      <c r="F121" t="s">
        <v>934</v>
      </c>
      <c r="G121" t="s">
        <v>935</v>
      </c>
      <c r="H121" t="s">
        <v>936</v>
      </c>
      <c r="I121" t="s">
        <v>937</v>
      </c>
    </row>
    <row r="122" spans="1:9">
      <c r="A122" s="34" t="s">
        <v>898</v>
      </c>
      <c r="B122" s="35">
        <v>46301</v>
      </c>
      <c r="C122" s="34" t="s">
        <v>989</v>
      </c>
      <c r="D122" s="34">
        <v>1</v>
      </c>
      <c r="E122" s="34" t="s">
        <v>972</v>
      </c>
      <c r="F122" t="s">
        <v>934</v>
      </c>
      <c r="G122" t="s">
        <v>935</v>
      </c>
      <c r="H122" t="s">
        <v>936</v>
      </c>
      <c r="I122" t="s">
        <v>937</v>
      </c>
    </row>
    <row r="123" spans="1:9">
      <c r="A123" s="34" t="s">
        <v>898</v>
      </c>
      <c r="B123" s="35">
        <v>46302</v>
      </c>
      <c r="C123" s="34" t="s">
        <v>990</v>
      </c>
      <c r="D123" s="34">
        <v>1</v>
      </c>
      <c r="E123" s="34" t="s">
        <v>972</v>
      </c>
      <c r="F123" t="s">
        <v>934</v>
      </c>
      <c r="G123" t="s">
        <v>935</v>
      </c>
      <c r="H123" t="s">
        <v>936</v>
      </c>
      <c r="I123" t="s">
        <v>937</v>
      </c>
    </row>
    <row r="124" spans="1:9">
      <c r="A124" s="34" t="s">
        <v>898</v>
      </c>
      <c r="B124" s="35">
        <v>46305</v>
      </c>
      <c r="C124" s="34" t="s">
        <v>974</v>
      </c>
      <c r="D124" s="34">
        <v>1</v>
      </c>
      <c r="E124" s="34" t="s">
        <v>972</v>
      </c>
      <c r="F124" t="s">
        <v>975</v>
      </c>
      <c r="G124" t="s">
        <v>976</v>
      </c>
      <c r="H124" t="s">
        <v>936</v>
      </c>
      <c r="I124" t="s">
        <v>937</v>
      </c>
    </row>
    <row r="125" spans="1:9">
      <c r="A125" s="34" t="s">
        <v>898</v>
      </c>
      <c r="B125" s="35">
        <v>46388</v>
      </c>
      <c r="C125" s="34" t="s">
        <v>958</v>
      </c>
      <c r="D125" s="34">
        <v>1</v>
      </c>
      <c r="E125" s="34" t="s">
        <v>972</v>
      </c>
      <c r="F125" t="s">
        <v>934</v>
      </c>
      <c r="G125" t="s">
        <v>991</v>
      </c>
      <c r="H125" t="s">
        <v>936</v>
      </c>
      <c r="I125" t="s">
        <v>937</v>
      </c>
    </row>
    <row r="126" spans="1:9">
      <c r="A126" s="34" t="s">
        <v>898</v>
      </c>
      <c r="B126" s="35">
        <v>46423</v>
      </c>
      <c r="C126" s="34" t="s">
        <v>977</v>
      </c>
      <c r="D126" s="34">
        <v>1</v>
      </c>
      <c r="E126" s="34" t="s">
        <v>972</v>
      </c>
      <c r="F126" t="s">
        <v>934</v>
      </c>
      <c r="G126" t="s">
        <v>991</v>
      </c>
      <c r="H126" t="s">
        <v>936</v>
      </c>
      <c r="I126" t="s">
        <v>937</v>
      </c>
    </row>
    <row r="127" spans="1:9">
      <c r="A127" s="34" t="s">
        <v>898</v>
      </c>
      <c r="B127" s="35">
        <v>46424</v>
      </c>
      <c r="C127" s="34" t="s">
        <v>978</v>
      </c>
      <c r="D127" s="34">
        <v>1</v>
      </c>
      <c r="E127" s="34" t="s">
        <v>972</v>
      </c>
      <c r="F127" t="s">
        <v>934</v>
      </c>
      <c r="G127" t="s">
        <v>991</v>
      </c>
      <c r="H127" t="s">
        <v>936</v>
      </c>
      <c r="I127" t="s">
        <v>937</v>
      </c>
    </row>
    <row r="128" spans="1:9">
      <c r="A128" s="34" t="s">
        <v>898</v>
      </c>
      <c r="B128" s="35">
        <v>46425</v>
      </c>
      <c r="C128" s="34" t="s">
        <v>978</v>
      </c>
      <c r="D128" s="34">
        <v>1</v>
      </c>
      <c r="E128" s="34" t="s">
        <v>972</v>
      </c>
      <c r="F128" t="s">
        <v>934</v>
      </c>
      <c r="G128" t="s">
        <v>991</v>
      </c>
      <c r="H128" t="s">
        <v>936</v>
      </c>
      <c r="I128" t="s">
        <v>937</v>
      </c>
    </row>
    <row r="129" spans="1:9">
      <c r="A129" s="34" t="s">
        <v>898</v>
      </c>
      <c r="B129" s="35">
        <v>46426</v>
      </c>
      <c r="C129" s="34" t="s">
        <v>978</v>
      </c>
      <c r="D129" s="34">
        <v>1</v>
      </c>
      <c r="E129" s="34" t="s">
        <v>972</v>
      </c>
      <c r="F129" t="s">
        <v>934</v>
      </c>
      <c r="G129" t="s">
        <v>991</v>
      </c>
      <c r="H129" t="s">
        <v>936</v>
      </c>
      <c r="I129" t="s">
        <v>937</v>
      </c>
    </row>
    <row r="130" spans="1:9">
      <c r="A130" s="34" t="s">
        <v>898</v>
      </c>
      <c r="B130" s="35">
        <v>46427</v>
      </c>
      <c r="C130" s="34" t="s">
        <v>992</v>
      </c>
      <c r="D130" s="34">
        <v>1</v>
      </c>
      <c r="E130" s="34" t="s">
        <v>972</v>
      </c>
      <c r="F130" t="s">
        <v>934</v>
      </c>
      <c r="G130" t="s">
        <v>991</v>
      </c>
      <c r="H130" t="s">
        <v>936</v>
      </c>
      <c r="I130" t="s">
        <v>937</v>
      </c>
    </row>
    <row r="131" spans="1:9">
      <c r="A131" s="34" t="s">
        <v>898</v>
      </c>
      <c r="B131" s="35">
        <v>46428</v>
      </c>
      <c r="C131" s="34" t="s">
        <v>992</v>
      </c>
      <c r="D131" s="34">
        <v>1</v>
      </c>
      <c r="E131" s="34" t="s">
        <v>972</v>
      </c>
      <c r="F131" t="s">
        <v>934</v>
      </c>
      <c r="G131" t="s">
        <v>991</v>
      </c>
      <c r="H131" t="s">
        <v>936</v>
      </c>
      <c r="I131" t="s">
        <v>937</v>
      </c>
    </row>
    <row r="132" spans="1:9">
      <c r="A132" s="34" t="s">
        <v>898</v>
      </c>
      <c r="B132" s="35">
        <v>46482</v>
      </c>
      <c r="C132" s="34" t="s">
        <v>981</v>
      </c>
      <c r="D132" s="34">
        <v>1</v>
      </c>
      <c r="E132" s="34" t="s">
        <v>972</v>
      </c>
      <c r="F132" t="s">
        <v>934</v>
      </c>
      <c r="G132" t="s">
        <v>991</v>
      </c>
      <c r="H132" t="s">
        <v>936</v>
      </c>
      <c r="I132" t="s">
        <v>937</v>
      </c>
    </row>
    <row r="133" spans="1:9">
      <c r="A133" s="34" t="s">
        <v>898</v>
      </c>
      <c r="B133" s="35">
        <v>46508</v>
      </c>
      <c r="C133" s="34" t="s">
        <v>962</v>
      </c>
      <c r="D133" s="34">
        <v>1</v>
      </c>
      <c r="E133" s="34" t="s">
        <v>972</v>
      </c>
      <c r="F133" t="s">
        <v>934</v>
      </c>
      <c r="G133" t="s">
        <v>991</v>
      </c>
      <c r="H133" t="s">
        <v>936</v>
      </c>
      <c r="I133" t="s">
        <v>937</v>
      </c>
    </row>
    <row r="134" spans="1:9">
      <c r="A134" s="34" t="s">
        <v>898</v>
      </c>
      <c r="B134" s="35">
        <v>46509</v>
      </c>
      <c r="C134" s="34" t="s">
        <v>962</v>
      </c>
      <c r="D134" s="34">
        <v>1</v>
      </c>
      <c r="E134" s="34" t="s">
        <v>972</v>
      </c>
      <c r="F134" t="s">
        <v>934</v>
      </c>
      <c r="G134" t="s">
        <v>991</v>
      </c>
      <c r="H134" t="s">
        <v>936</v>
      </c>
      <c r="I134" t="s">
        <v>937</v>
      </c>
    </row>
    <row r="135" spans="1:9">
      <c r="A135" s="34" t="s">
        <v>898</v>
      </c>
      <c r="B135" s="35">
        <v>46510</v>
      </c>
      <c r="C135" s="34" t="s">
        <v>983</v>
      </c>
      <c r="D135" s="34">
        <v>1</v>
      </c>
      <c r="E135" s="34" t="s">
        <v>972</v>
      </c>
      <c r="F135" t="s">
        <v>934</v>
      </c>
      <c r="G135" t="s">
        <v>991</v>
      </c>
      <c r="H135" t="s">
        <v>936</v>
      </c>
      <c r="I135" t="s">
        <v>937</v>
      </c>
    </row>
    <row r="136" spans="1:9">
      <c r="A136" s="34" t="s">
        <v>898</v>
      </c>
      <c r="B136" s="35">
        <v>46511</v>
      </c>
      <c r="C136" s="34" t="s">
        <v>983</v>
      </c>
      <c r="D136" s="34">
        <v>1</v>
      </c>
      <c r="E136" s="34" t="s">
        <v>972</v>
      </c>
      <c r="F136" t="s">
        <v>934</v>
      </c>
      <c r="G136" t="s">
        <v>991</v>
      </c>
      <c r="H136" t="s">
        <v>936</v>
      </c>
      <c r="I136" t="s">
        <v>937</v>
      </c>
    </row>
    <row r="137" spans="1:9">
      <c r="A137" s="34" t="s">
        <v>898</v>
      </c>
      <c r="B137" s="35">
        <v>46547</v>
      </c>
      <c r="C137" s="34" t="s">
        <v>985</v>
      </c>
      <c r="D137" s="34">
        <v>1</v>
      </c>
      <c r="E137" s="34" t="s">
        <v>972</v>
      </c>
      <c r="F137" t="s">
        <v>934</v>
      </c>
      <c r="G137" t="s">
        <v>991</v>
      </c>
      <c r="H137" t="s">
        <v>936</v>
      </c>
      <c r="I137" t="s">
        <v>937</v>
      </c>
    </row>
    <row r="138" spans="1:9">
      <c r="A138" s="34" t="s">
        <v>898</v>
      </c>
      <c r="B138" s="35">
        <v>46645</v>
      </c>
      <c r="C138" s="34" t="s">
        <v>986</v>
      </c>
      <c r="D138" s="34">
        <v>1</v>
      </c>
      <c r="E138" s="34" t="s">
        <v>972</v>
      </c>
      <c r="F138" t="s">
        <v>934</v>
      </c>
      <c r="G138" t="s">
        <v>991</v>
      </c>
      <c r="H138" t="s">
        <v>936</v>
      </c>
      <c r="I138" t="s">
        <v>937</v>
      </c>
    </row>
    <row r="139" spans="1:9">
      <c r="A139" s="34" t="s">
        <v>898</v>
      </c>
      <c r="B139" s="35">
        <v>46661</v>
      </c>
      <c r="C139" s="34" t="s">
        <v>987</v>
      </c>
      <c r="D139" s="34">
        <v>1</v>
      </c>
      <c r="E139" s="34" t="s">
        <v>972</v>
      </c>
      <c r="F139" t="s">
        <v>934</v>
      </c>
      <c r="G139" t="s">
        <v>991</v>
      </c>
      <c r="H139" t="s">
        <v>936</v>
      </c>
      <c r="I139" t="s">
        <v>937</v>
      </c>
    </row>
    <row r="140" spans="1:9">
      <c r="A140" s="34" t="s">
        <v>898</v>
      </c>
      <c r="B140" s="35">
        <v>46662</v>
      </c>
      <c r="C140" s="34" t="s">
        <v>987</v>
      </c>
      <c r="D140" s="34">
        <v>1</v>
      </c>
      <c r="E140" s="34" t="s">
        <v>972</v>
      </c>
      <c r="F140" t="s">
        <v>934</v>
      </c>
      <c r="G140" t="s">
        <v>991</v>
      </c>
      <c r="H140" t="s">
        <v>936</v>
      </c>
      <c r="I140" t="s">
        <v>937</v>
      </c>
    </row>
    <row r="141" spans="1:9">
      <c r="A141" s="34" t="s">
        <v>898</v>
      </c>
      <c r="B141" s="35">
        <v>46663</v>
      </c>
      <c r="C141" s="34" t="s">
        <v>987</v>
      </c>
      <c r="D141" s="34">
        <v>1</v>
      </c>
      <c r="E141" s="34" t="s">
        <v>972</v>
      </c>
      <c r="F141" t="s">
        <v>934</v>
      </c>
      <c r="G141" t="s">
        <v>991</v>
      </c>
      <c r="H141" t="s">
        <v>936</v>
      </c>
      <c r="I141" t="s">
        <v>937</v>
      </c>
    </row>
    <row r="142" spans="1:9">
      <c r="A142" s="34" t="s">
        <v>898</v>
      </c>
      <c r="B142" s="35">
        <v>46664</v>
      </c>
      <c r="C142" s="34" t="s">
        <v>988</v>
      </c>
      <c r="D142" s="34">
        <v>1</v>
      </c>
      <c r="E142" s="34" t="s">
        <v>972</v>
      </c>
      <c r="F142" t="s">
        <v>934</v>
      </c>
      <c r="G142" t="s">
        <v>991</v>
      </c>
      <c r="H142" t="s">
        <v>936</v>
      </c>
      <c r="I142" t="s">
        <v>937</v>
      </c>
    </row>
    <row r="143" spans="1:9">
      <c r="A143" s="34" t="s">
        <v>898</v>
      </c>
      <c r="B143" s="35">
        <v>46665</v>
      </c>
      <c r="C143" s="34" t="s">
        <v>988</v>
      </c>
      <c r="D143" s="34">
        <v>1</v>
      </c>
      <c r="E143" s="34" t="s">
        <v>972</v>
      </c>
      <c r="F143" t="s">
        <v>934</v>
      </c>
      <c r="G143" t="s">
        <v>991</v>
      </c>
      <c r="H143" t="s">
        <v>936</v>
      </c>
      <c r="I143" t="s">
        <v>937</v>
      </c>
    </row>
    <row r="144" spans="1:9">
      <c r="A144" s="34" t="s">
        <v>898</v>
      </c>
      <c r="B144" s="35">
        <v>46753</v>
      </c>
      <c r="C144" s="34" t="s">
        <v>958</v>
      </c>
      <c r="D144" s="34">
        <v>1</v>
      </c>
      <c r="E144" s="34" t="s">
        <v>972</v>
      </c>
      <c r="F144" t="s">
        <v>934</v>
      </c>
      <c r="G144" t="s">
        <v>991</v>
      </c>
      <c r="H144" t="s">
        <v>936</v>
      </c>
      <c r="I144" t="s">
        <v>937</v>
      </c>
    </row>
    <row r="145" spans="1:9">
      <c r="A145" s="34" t="s">
        <v>898</v>
      </c>
      <c r="B145" s="35">
        <v>46755</v>
      </c>
      <c r="C145" s="34" t="s">
        <v>968</v>
      </c>
      <c r="D145" s="34">
        <v>1</v>
      </c>
      <c r="E145" s="34" t="s">
        <v>972</v>
      </c>
      <c r="F145" t="s">
        <v>934</v>
      </c>
      <c r="G145" t="s">
        <v>991</v>
      </c>
      <c r="H145" t="s">
        <v>936</v>
      </c>
      <c r="I145" t="s">
        <v>937</v>
      </c>
    </row>
    <row r="146" spans="1:9">
      <c r="A146" s="34" t="s">
        <v>898</v>
      </c>
      <c r="B146" s="35">
        <v>46777</v>
      </c>
      <c r="C146" s="34" t="s">
        <v>977</v>
      </c>
      <c r="D146" s="34">
        <v>1</v>
      </c>
      <c r="E146" s="34" t="s">
        <v>972</v>
      </c>
      <c r="F146" t="s">
        <v>934</v>
      </c>
      <c r="G146" t="s">
        <v>991</v>
      </c>
      <c r="H146" t="s">
        <v>936</v>
      </c>
      <c r="I146" t="s">
        <v>937</v>
      </c>
    </row>
    <row r="147" spans="1:9">
      <c r="A147" s="34" t="s">
        <v>898</v>
      </c>
      <c r="B147" s="35">
        <v>46778</v>
      </c>
      <c r="C147" s="34" t="s">
        <v>978</v>
      </c>
      <c r="D147" s="34">
        <v>1</v>
      </c>
      <c r="E147" s="34" t="s">
        <v>972</v>
      </c>
      <c r="F147" t="s">
        <v>934</v>
      </c>
      <c r="G147" t="s">
        <v>991</v>
      </c>
      <c r="H147" t="s">
        <v>936</v>
      </c>
      <c r="I147" t="s">
        <v>937</v>
      </c>
    </row>
    <row r="148" spans="1:9">
      <c r="A148" s="34" t="s">
        <v>898</v>
      </c>
      <c r="B148" s="35">
        <v>46779</v>
      </c>
      <c r="C148" s="34" t="s">
        <v>978</v>
      </c>
      <c r="D148" s="34">
        <v>1</v>
      </c>
      <c r="E148" s="34" t="s">
        <v>972</v>
      </c>
      <c r="F148" t="s">
        <v>934</v>
      </c>
      <c r="G148" t="s">
        <v>991</v>
      </c>
      <c r="H148" t="s">
        <v>936</v>
      </c>
      <c r="I148" t="s">
        <v>937</v>
      </c>
    </row>
    <row r="149" spans="1:9">
      <c r="A149" s="34" t="s">
        <v>898</v>
      </c>
      <c r="B149" s="35">
        <v>46780</v>
      </c>
      <c r="C149" s="34" t="s">
        <v>978</v>
      </c>
      <c r="D149" s="34">
        <v>1</v>
      </c>
      <c r="E149" s="34" t="s">
        <v>972</v>
      </c>
      <c r="F149" t="s">
        <v>934</v>
      </c>
      <c r="G149" t="s">
        <v>991</v>
      </c>
      <c r="H149" t="s">
        <v>936</v>
      </c>
      <c r="I149" t="s">
        <v>937</v>
      </c>
    </row>
    <row r="150" spans="1:9">
      <c r="A150" s="34" t="s">
        <v>898</v>
      </c>
      <c r="B150" s="35">
        <v>46847</v>
      </c>
      <c r="C150" s="34" t="s">
        <v>981</v>
      </c>
      <c r="D150" s="34">
        <v>1</v>
      </c>
      <c r="E150" s="34" t="s">
        <v>972</v>
      </c>
      <c r="F150" t="s">
        <v>934</v>
      </c>
      <c r="G150" t="s">
        <v>991</v>
      </c>
      <c r="H150" t="s">
        <v>936</v>
      </c>
      <c r="I150" t="s">
        <v>937</v>
      </c>
    </row>
    <row r="151" spans="1:9">
      <c r="A151" s="34" t="s">
        <v>898</v>
      </c>
      <c r="B151" s="35">
        <v>46874</v>
      </c>
      <c r="C151" s="34" t="s">
        <v>962</v>
      </c>
      <c r="D151" s="34">
        <v>1</v>
      </c>
      <c r="E151" s="34" t="s">
        <v>972</v>
      </c>
      <c r="F151" t="s">
        <v>934</v>
      </c>
      <c r="G151" t="s">
        <v>991</v>
      </c>
      <c r="H151" t="s">
        <v>936</v>
      </c>
      <c r="I151" t="s">
        <v>937</v>
      </c>
    </row>
    <row r="152" spans="1:9">
      <c r="A152" s="34" t="s">
        <v>898</v>
      </c>
      <c r="B152" s="35">
        <v>46875</v>
      </c>
      <c r="C152" s="34" t="s">
        <v>962</v>
      </c>
      <c r="D152" s="34">
        <v>1</v>
      </c>
      <c r="E152" s="34" t="s">
        <v>972</v>
      </c>
      <c r="F152" t="s">
        <v>934</v>
      </c>
      <c r="G152" t="s">
        <v>991</v>
      </c>
      <c r="H152" t="s">
        <v>936</v>
      </c>
      <c r="I152" t="s">
        <v>937</v>
      </c>
    </row>
    <row r="153" spans="1:9">
      <c r="A153" s="34" t="s">
        <v>898</v>
      </c>
      <c r="B153" s="35">
        <v>46901</v>
      </c>
      <c r="C153" s="34" t="s">
        <v>985</v>
      </c>
      <c r="D153" s="34">
        <v>1</v>
      </c>
      <c r="E153" s="34" t="s">
        <v>972</v>
      </c>
      <c r="F153" t="s">
        <v>934</v>
      </c>
      <c r="G153" t="s">
        <v>991</v>
      </c>
      <c r="H153" t="s">
        <v>936</v>
      </c>
      <c r="I153" t="s">
        <v>937</v>
      </c>
    </row>
    <row r="154" spans="1:9">
      <c r="A154" s="34" t="s">
        <v>898</v>
      </c>
      <c r="B154" s="35">
        <v>46902</v>
      </c>
      <c r="C154" s="34" t="s">
        <v>993</v>
      </c>
      <c r="D154" s="34">
        <v>1</v>
      </c>
      <c r="E154" s="34" t="s">
        <v>972</v>
      </c>
      <c r="F154" t="s">
        <v>934</v>
      </c>
      <c r="G154" t="s">
        <v>991</v>
      </c>
      <c r="H154" t="s">
        <v>936</v>
      </c>
      <c r="I154" t="s">
        <v>937</v>
      </c>
    </row>
    <row r="155" spans="1:9">
      <c r="A155" s="34" t="s">
        <v>898</v>
      </c>
      <c r="B155" s="35">
        <v>47027</v>
      </c>
      <c r="C155" s="34" t="s">
        <v>987</v>
      </c>
      <c r="D155" s="34">
        <v>1</v>
      </c>
      <c r="E155" s="34" t="s">
        <v>972</v>
      </c>
      <c r="F155" t="s">
        <v>934</v>
      </c>
      <c r="G155" t="s">
        <v>991</v>
      </c>
      <c r="H155" t="s">
        <v>936</v>
      </c>
      <c r="I155" t="s">
        <v>937</v>
      </c>
    </row>
    <row r="156" spans="1:9">
      <c r="A156" s="34" t="s">
        <v>898</v>
      </c>
      <c r="B156" s="35">
        <v>47028</v>
      </c>
      <c r="C156" s="34" t="s">
        <v>987</v>
      </c>
      <c r="D156" s="34">
        <v>1</v>
      </c>
      <c r="E156" s="34" t="s">
        <v>972</v>
      </c>
      <c r="F156" t="s">
        <v>934</v>
      </c>
      <c r="G156" t="s">
        <v>991</v>
      </c>
      <c r="H156" t="s">
        <v>936</v>
      </c>
      <c r="I156" t="s">
        <v>937</v>
      </c>
    </row>
    <row r="157" spans="1:9">
      <c r="A157" s="34" t="s">
        <v>898</v>
      </c>
      <c r="B157" s="35">
        <v>47029</v>
      </c>
      <c r="C157" s="34" t="s">
        <v>994</v>
      </c>
      <c r="D157" s="34">
        <v>1</v>
      </c>
      <c r="E157" s="34" t="s">
        <v>972</v>
      </c>
      <c r="F157" t="s">
        <v>934</v>
      </c>
      <c r="G157" t="s">
        <v>991</v>
      </c>
      <c r="H157" t="s">
        <v>936</v>
      </c>
      <c r="I157" t="s">
        <v>937</v>
      </c>
    </row>
    <row r="158" spans="1:9">
      <c r="A158" s="34" t="s">
        <v>898</v>
      </c>
      <c r="B158" s="35">
        <v>47030</v>
      </c>
      <c r="C158" s="34" t="s">
        <v>988</v>
      </c>
      <c r="D158" s="34">
        <v>1</v>
      </c>
      <c r="E158" s="34" t="s">
        <v>972</v>
      </c>
      <c r="F158" t="s">
        <v>934</v>
      </c>
      <c r="G158" t="s">
        <v>991</v>
      </c>
      <c r="H158" t="s">
        <v>936</v>
      </c>
      <c r="I158" t="s">
        <v>937</v>
      </c>
    </row>
    <row r="159" spans="1:9">
      <c r="A159" s="34" t="s">
        <v>905</v>
      </c>
      <c r="B159" s="35">
        <v>46023</v>
      </c>
      <c r="C159" s="34" t="s">
        <v>958</v>
      </c>
      <c r="D159" s="34">
        <v>1</v>
      </c>
      <c r="E159" s="34" t="s">
        <v>995</v>
      </c>
      <c r="F159" t="s">
        <v>934</v>
      </c>
      <c r="G159" t="s">
        <v>935</v>
      </c>
      <c r="H159" t="s">
        <v>936</v>
      </c>
      <c r="I159" t="s">
        <v>937</v>
      </c>
    </row>
    <row r="160" spans="1:9">
      <c r="A160" s="34" t="s">
        <v>905</v>
      </c>
      <c r="B160" s="35">
        <v>46118</v>
      </c>
      <c r="C160" s="34" t="s">
        <v>103</v>
      </c>
      <c r="D160" s="34">
        <v>1</v>
      </c>
      <c r="E160" s="34" t="s">
        <v>995</v>
      </c>
      <c r="F160" t="s">
        <v>934</v>
      </c>
      <c r="G160" t="s">
        <v>935</v>
      </c>
      <c r="H160" t="s">
        <v>936</v>
      </c>
      <c r="I160" t="s">
        <v>937</v>
      </c>
    </row>
    <row r="161" spans="1:9">
      <c r="A161" s="34" t="s">
        <v>905</v>
      </c>
      <c r="B161" s="35">
        <v>46143</v>
      </c>
      <c r="C161" s="34" t="s">
        <v>962</v>
      </c>
      <c r="D161" s="34">
        <v>1</v>
      </c>
      <c r="E161" s="34" t="s">
        <v>995</v>
      </c>
      <c r="F161" t="s">
        <v>934</v>
      </c>
      <c r="G161" t="s">
        <v>935</v>
      </c>
      <c r="H161" t="s">
        <v>936</v>
      </c>
      <c r="I161" t="s">
        <v>937</v>
      </c>
    </row>
    <row r="162" spans="1:9">
      <c r="A162" s="34" t="s">
        <v>905</v>
      </c>
      <c r="B162" s="35">
        <v>46150</v>
      </c>
      <c r="C162" s="34" t="s">
        <v>949</v>
      </c>
      <c r="D162" s="34">
        <v>1</v>
      </c>
      <c r="E162" s="34" t="s">
        <v>995</v>
      </c>
      <c r="F162" t="s">
        <v>934</v>
      </c>
      <c r="G162" t="s">
        <v>935</v>
      </c>
      <c r="H162" t="s">
        <v>936</v>
      </c>
      <c r="I162" t="s">
        <v>937</v>
      </c>
    </row>
    <row r="163" spans="1:9">
      <c r="A163" s="34" t="s">
        <v>905</v>
      </c>
      <c r="B163" s="35">
        <v>46156</v>
      </c>
      <c r="C163" s="34" t="s">
        <v>996</v>
      </c>
      <c r="D163" s="34">
        <v>1</v>
      </c>
      <c r="E163" s="34" t="s">
        <v>995</v>
      </c>
      <c r="F163" t="s">
        <v>934</v>
      </c>
      <c r="G163" t="s">
        <v>935</v>
      </c>
      <c r="H163" t="s">
        <v>936</v>
      </c>
      <c r="I163" t="s">
        <v>937</v>
      </c>
    </row>
    <row r="164" spans="1:9">
      <c r="A164" s="34" t="s">
        <v>905</v>
      </c>
      <c r="B164" s="35">
        <v>46167</v>
      </c>
      <c r="C164" s="34" t="s">
        <v>997</v>
      </c>
      <c r="D164" s="34">
        <v>1</v>
      </c>
      <c r="E164" s="34" t="s">
        <v>995</v>
      </c>
      <c r="F164" t="s">
        <v>934</v>
      </c>
      <c r="G164" t="s">
        <v>935</v>
      </c>
      <c r="H164" t="s">
        <v>936</v>
      </c>
      <c r="I164" t="s">
        <v>937</v>
      </c>
    </row>
    <row r="165" spans="1:9">
      <c r="A165" s="34" t="s">
        <v>905</v>
      </c>
      <c r="B165" s="35">
        <v>46217</v>
      </c>
      <c r="C165" s="34" t="s">
        <v>987</v>
      </c>
      <c r="D165" s="34">
        <v>1</v>
      </c>
      <c r="E165" s="34" t="s">
        <v>995</v>
      </c>
      <c r="F165" t="s">
        <v>934</v>
      </c>
      <c r="G165" t="s">
        <v>935</v>
      </c>
      <c r="H165" t="s">
        <v>936</v>
      </c>
      <c r="I165" t="s">
        <v>937</v>
      </c>
    </row>
    <row r="166" spans="1:9">
      <c r="A166" s="34" t="s">
        <v>905</v>
      </c>
      <c r="B166" s="35">
        <v>46249</v>
      </c>
      <c r="C166" s="34" t="s">
        <v>998</v>
      </c>
      <c r="D166" s="34">
        <v>1</v>
      </c>
      <c r="E166" s="34" t="s">
        <v>995</v>
      </c>
      <c r="F166" t="s">
        <v>934</v>
      </c>
      <c r="G166" t="s">
        <v>935</v>
      </c>
      <c r="H166" t="s">
        <v>936</v>
      </c>
      <c r="I166" t="s">
        <v>937</v>
      </c>
    </row>
    <row r="167" spans="1:9">
      <c r="A167" s="34" t="s">
        <v>905</v>
      </c>
      <c r="B167" s="35">
        <v>46327</v>
      </c>
      <c r="C167" s="34" t="s">
        <v>999</v>
      </c>
      <c r="D167" s="34">
        <v>1</v>
      </c>
      <c r="E167" s="34" t="s">
        <v>995</v>
      </c>
      <c r="F167" t="s">
        <v>934</v>
      </c>
      <c r="G167" t="s">
        <v>935</v>
      </c>
      <c r="H167" t="s">
        <v>936</v>
      </c>
      <c r="I167" t="s">
        <v>937</v>
      </c>
    </row>
    <row r="168" spans="1:9">
      <c r="A168" s="34" t="s">
        <v>905</v>
      </c>
      <c r="B168" s="35">
        <v>46337</v>
      </c>
      <c r="C168" s="34" t="s">
        <v>1000</v>
      </c>
      <c r="D168" s="34">
        <v>1</v>
      </c>
      <c r="E168" s="34" t="s">
        <v>995</v>
      </c>
      <c r="F168" t="s">
        <v>934</v>
      </c>
      <c r="G168" t="s">
        <v>935</v>
      </c>
      <c r="H168" t="s">
        <v>936</v>
      </c>
      <c r="I168" t="s">
        <v>937</v>
      </c>
    </row>
    <row r="169" spans="1:9">
      <c r="A169" s="34" t="s">
        <v>905</v>
      </c>
      <c r="B169" s="35">
        <v>46381</v>
      </c>
      <c r="C169" s="34" t="s">
        <v>107</v>
      </c>
      <c r="D169" s="34">
        <v>1</v>
      </c>
      <c r="E169" s="34" t="s">
        <v>995</v>
      </c>
      <c r="F169" t="s">
        <v>934</v>
      </c>
      <c r="G169" t="s">
        <v>935</v>
      </c>
      <c r="H169" t="s">
        <v>936</v>
      </c>
      <c r="I169" t="s">
        <v>937</v>
      </c>
    </row>
    <row r="170" spans="1:9">
      <c r="A170" s="34" t="s">
        <v>905</v>
      </c>
      <c r="B170" s="35">
        <v>46388</v>
      </c>
      <c r="C170" s="34" t="s">
        <v>958</v>
      </c>
      <c r="D170" s="34">
        <v>1</v>
      </c>
      <c r="E170" s="34" t="s">
        <v>995</v>
      </c>
      <c r="F170" t="s">
        <v>934</v>
      </c>
      <c r="G170" t="s">
        <v>935</v>
      </c>
      <c r="H170" t="s">
        <v>936</v>
      </c>
      <c r="I170" t="s">
        <v>937</v>
      </c>
    </row>
    <row r="171" spans="1:9">
      <c r="A171" s="34" t="s">
        <v>905</v>
      </c>
      <c r="B171" s="35">
        <v>46475</v>
      </c>
      <c r="C171" s="34" t="s">
        <v>103</v>
      </c>
      <c r="D171" s="34">
        <v>1</v>
      </c>
      <c r="E171" s="34" t="s">
        <v>995</v>
      </c>
      <c r="F171" t="s">
        <v>934</v>
      </c>
      <c r="G171" t="s">
        <v>935</v>
      </c>
      <c r="H171" t="s">
        <v>936</v>
      </c>
      <c r="I171" t="s">
        <v>937</v>
      </c>
    </row>
    <row r="172" spans="1:9">
      <c r="A172" s="34" t="s">
        <v>905</v>
      </c>
      <c r="B172" s="35">
        <v>46508</v>
      </c>
      <c r="C172" s="34" t="s">
        <v>962</v>
      </c>
      <c r="D172" s="34">
        <v>1</v>
      </c>
      <c r="E172" s="34" t="s">
        <v>995</v>
      </c>
      <c r="F172" t="s">
        <v>934</v>
      </c>
      <c r="G172" t="s">
        <v>935</v>
      </c>
      <c r="H172" t="s">
        <v>936</v>
      </c>
      <c r="I172" t="s">
        <v>937</v>
      </c>
    </row>
    <row r="173" spans="1:9">
      <c r="A173" s="34" t="s">
        <v>905</v>
      </c>
      <c r="B173" s="35">
        <v>46513</v>
      </c>
      <c r="C173" s="34" t="s">
        <v>996</v>
      </c>
      <c r="D173" s="34">
        <v>1</v>
      </c>
      <c r="E173" s="34" t="s">
        <v>995</v>
      </c>
      <c r="F173" t="s">
        <v>934</v>
      </c>
      <c r="G173" t="s">
        <v>935</v>
      </c>
      <c r="H173" t="s">
        <v>936</v>
      </c>
      <c r="I173" t="s">
        <v>937</v>
      </c>
    </row>
    <row r="174" spans="1:9">
      <c r="A174" s="34" t="s">
        <v>905</v>
      </c>
      <c r="B174" s="35">
        <v>46515</v>
      </c>
      <c r="C174" s="34" t="s">
        <v>949</v>
      </c>
      <c r="D174" s="34">
        <v>1</v>
      </c>
      <c r="E174" s="34" t="s">
        <v>995</v>
      </c>
      <c r="F174" t="s">
        <v>934</v>
      </c>
      <c r="G174" t="s">
        <v>935</v>
      </c>
      <c r="H174" t="s">
        <v>936</v>
      </c>
      <c r="I174" t="s">
        <v>937</v>
      </c>
    </row>
    <row r="175" spans="1:9">
      <c r="A175" s="34" t="s">
        <v>905</v>
      </c>
      <c r="B175" s="35">
        <v>46524</v>
      </c>
      <c r="C175" s="34" t="s">
        <v>997</v>
      </c>
      <c r="D175" s="34">
        <v>1</v>
      </c>
      <c r="E175" s="34" t="s">
        <v>995</v>
      </c>
      <c r="F175" t="s">
        <v>934</v>
      </c>
      <c r="G175" t="s">
        <v>935</v>
      </c>
      <c r="H175" t="s">
        <v>936</v>
      </c>
      <c r="I175" t="s">
        <v>937</v>
      </c>
    </row>
    <row r="176" spans="1:9">
      <c r="A176" s="34" t="s">
        <v>905</v>
      </c>
      <c r="B176" s="35">
        <v>46582</v>
      </c>
      <c r="C176" s="34" t="s">
        <v>987</v>
      </c>
      <c r="D176" s="34">
        <v>1</v>
      </c>
      <c r="E176" s="34" t="s">
        <v>995</v>
      </c>
      <c r="F176" t="s">
        <v>934</v>
      </c>
      <c r="G176" t="s">
        <v>935</v>
      </c>
      <c r="H176" t="s">
        <v>936</v>
      </c>
      <c r="I176" t="s">
        <v>937</v>
      </c>
    </row>
    <row r="177" spans="1:9">
      <c r="A177" s="34" t="s">
        <v>905</v>
      </c>
      <c r="B177" s="35">
        <v>46614</v>
      </c>
      <c r="C177" s="34" t="s">
        <v>998</v>
      </c>
      <c r="D177" s="34">
        <v>1</v>
      </c>
      <c r="E177" s="34" t="s">
        <v>995</v>
      </c>
      <c r="F177" t="s">
        <v>934</v>
      </c>
      <c r="G177" t="s">
        <v>935</v>
      </c>
      <c r="H177" t="s">
        <v>936</v>
      </c>
      <c r="I177" t="s">
        <v>937</v>
      </c>
    </row>
    <row r="178" spans="1:9">
      <c r="A178" s="34" t="s">
        <v>905</v>
      </c>
      <c r="B178" s="35">
        <v>46692</v>
      </c>
      <c r="C178" s="34" t="s">
        <v>999</v>
      </c>
      <c r="D178" s="34">
        <v>1</v>
      </c>
      <c r="E178" s="34" t="s">
        <v>995</v>
      </c>
      <c r="F178" t="s">
        <v>934</v>
      </c>
      <c r="G178" t="s">
        <v>935</v>
      </c>
      <c r="H178" t="s">
        <v>936</v>
      </c>
      <c r="I178" t="s">
        <v>937</v>
      </c>
    </row>
    <row r="179" spans="1:9">
      <c r="A179" s="34" t="s">
        <v>905</v>
      </c>
      <c r="B179" s="35">
        <v>46702</v>
      </c>
      <c r="C179" s="34" t="s">
        <v>1000</v>
      </c>
      <c r="D179" s="34">
        <v>1</v>
      </c>
      <c r="E179" s="34" t="s">
        <v>995</v>
      </c>
      <c r="F179" t="s">
        <v>934</v>
      </c>
      <c r="G179" t="s">
        <v>935</v>
      </c>
      <c r="H179" t="s">
        <v>936</v>
      </c>
      <c r="I179" t="s">
        <v>937</v>
      </c>
    </row>
    <row r="180" spans="1:9">
      <c r="A180" s="34" t="s">
        <v>905</v>
      </c>
      <c r="B180" s="35">
        <v>46746</v>
      </c>
      <c r="C180" s="34" t="s">
        <v>107</v>
      </c>
      <c r="D180" s="34">
        <v>1</v>
      </c>
      <c r="E180" s="34" t="s">
        <v>995</v>
      </c>
      <c r="F180" t="s">
        <v>934</v>
      </c>
      <c r="G180" t="s">
        <v>935</v>
      </c>
      <c r="H180" t="s">
        <v>936</v>
      </c>
      <c r="I180" t="s">
        <v>937</v>
      </c>
    </row>
    <row r="181" spans="1:9">
      <c r="A181" s="34" t="s">
        <v>905</v>
      </c>
      <c r="B181" s="35">
        <v>46753</v>
      </c>
      <c r="C181" s="34" t="s">
        <v>958</v>
      </c>
      <c r="D181" s="34">
        <v>1</v>
      </c>
      <c r="E181" s="34" t="s">
        <v>995</v>
      </c>
      <c r="F181" t="s">
        <v>934</v>
      </c>
      <c r="G181" t="s">
        <v>935</v>
      </c>
      <c r="H181" t="s">
        <v>936</v>
      </c>
      <c r="I181" t="s">
        <v>937</v>
      </c>
    </row>
    <row r="182" spans="1:9">
      <c r="A182" s="34" t="s">
        <v>905</v>
      </c>
      <c r="B182" s="35">
        <v>46860</v>
      </c>
      <c r="C182" s="34" t="s">
        <v>103</v>
      </c>
      <c r="D182" s="34">
        <v>1</v>
      </c>
      <c r="E182" s="34" t="s">
        <v>995</v>
      </c>
      <c r="F182" t="s">
        <v>934</v>
      </c>
      <c r="G182" t="s">
        <v>935</v>
      </c>
      <c r="H182" t="s">
        <v>936</v>
      </c>
      <c r="I182" t="s">
        <v>937</v>
      </c>
    </row>
    <row r="183" spans="1:9">
      <c r="A183" s="34" t="s">
        <v>905</v>
      </c>
      <c r="B183" s="35">
        <v>46874</v>
      </c>
      <c r="C183" s="34" t="s">
        <v>962</v>
      </c>
      <c r="D183" s="34">
        <v>1</v>
      </c>
      <c r="E183" s="34" t="s">
        <v>995</v>
      </c>
      <c r="F183" t="s">
        <v>934</v>
      </c>
      <c r="G183" t="s">
        <v>935</v>
      </c>
      <c r="H183" t="s">
        <v>936</v>
      </c>
      <c r="I183" t="s">
        <v>937</v>
      </c>
    </row>
    <row r="184" spans="1:9">
      <c r="A184" s="34" t="s">
        <v>905</v>
      </c>
      <c r="B184" s="35">
        <v>46881</v>
      </c>
      <c r="C184" s="34" t="s">
        <v>949</v>
      </c>
      <c r="D184" s="34">
        <v>1</v>
      </c>
      <c r="E184" s="34" t="s">
        <v>995</v>
      </c>
      <c r="F184" t="s">
        <v>934</v>
      </c>
      <c r="G184" t="s">
        <v>935</v>
      </c>
      <c r="H184" t="s">
        <v>936</v>
      </c>
      <c r="I184" t="s">
        <v>937</v>
      </c>
    </row>
    <row r="185" spans="1:9">
      <c r="A185" s="34" t="s">
        <v>905</v>
      </c>
      <c r="B185" s="35">
        <v>46898</v>
      </c>
      <c r="C185" s="34" t="s">
        <v>996</v>
      </c>
      <c r="D185" s="34">
        <v>1</v>
      </c>
      <c r="E185" s="34" t="s">
        <v>995</v>
      </c>
      <c r="F185" t="s">
        <v>934</v>
      </c>
      <c r="G185" t="s">
        <v>935</v>
      </c>
      <c r="H185" t="s">
        <v>936</v>
      </c>
      <c r="I185" t="s">
        <v>937</v>
      </c>
    </row>
    <row r="186" spans="1:9">
      <c r="A186" s="34" t="s">
        <v>905</v>
      </c>
      <c r="B186" s="35">
        <v>46909</v>
      </c>
      <c r="C186" s="34" t="s">
        <v>997</v>
      </c>
      <c r="D186" s="34">
        <v>1</v>
      </c>
      <c r="E186" s="34" t="s">
        <v>995</v>
      </c>
      <c r="F186" t="s">
        <v>934</v>
      </c>
      <c r="G186" t="s">
        <v>935</v>
      </c>
      <c r="H186" t="s">
        <v>936</v>
      </c>
      <c r="I186" t="s">
        <v>937</v>
      </c>
    </row>
    <row r="187" spans="1:9">
      <c r="A187" s="34" t="s">
        <v>905</v>
      </c>
      <c r="B187" s="35">
        <v>46948</v>
      </c>
      <c r="C187" s="34" t="s">
        <v>987</v>
      </c>
      <c r="D187" s="34">
        <v>1</v>
      </c>
      <c r="E187" s="34" t="s">
        <v>995</v>
      </c>
      <c r="F187" t="s">
        <v>934</v>
      </c>
      <c r="G187" t="s">
        <v>935</v>
      </c>
      <c r="H187" t="s">
        <v>936</v>
      </c>
      <c r="I187" t="s">
        <v>937</v>
      </c>
    </row>
    <row r="188" spans="1:9">
      <c r="A188" s="34" t="s">
        <v>905</v>
      </c>
      <c r="B188" s="35">
        <v>46980</v>
      </c>
      <c r="C188" s="34" t="s">
        <v>998</v>
      </c>
      <c r="D188" s="34">
        <v>1</v>
      </c>
      <c r="E188" s="34" t="s">
        <v>995</v>
      </c>
      <c r="F188" t="s">
        <v>934</v>
      </c>
      <c r="G188" t="s">
        <v>935</v>
      </c>
      <c r="H188" t="s">
        <v>936</v>
      </c>
      <c r="I188" t="s">
        <v>937</v>
      </c>
    </row>
    <row r="189" spans="1:9">
      <c r="A189" s="34" t="s">
        <v>905</v>
      </c>
      <c r="B189" s="35">
        <v>47058</v>
      </c>
      <c r="C189" s="34" t="s">
        <v>999</v>
      </c>
      <c r="D189" s="34">
        <v>1</v>
      </c>
      <c r="E189" s="34" t="s">
        <v>995</v>
      </c>
      <c r="F189" t="s">
        <v>934</v>
      </c>
      <c r="G189" t="s">
        <v>935</v>
      </c>
      <c r="H189" t="s">
        <v>936</v>
      </c>
      <c r="I189" t="s">
        <v>937</v>
      </c>
    </row>
    <row r="190" spans="1:9">
      <c r="A190" s="34" t="s">
        <v>905</v>
      </c>
      <c r="B190" s="35">
        <v>47068</v>
      </c>
      <c r="C190" s="34" t="s">
        <v>1000</v>
      </c>
      <c r="D190" s="34">
        <v>1</v>
      </c>
      <c r="E190" s="34" t="s">
        <v>995</v>
      </c>
      <c r="F190" t="s">
        <v>934</v>
      </c>
      <c r="G190" t="s">
        <v>935</v>
      </c>
      <c r="H190" t="s">
        <v>936</v>
      </c>
      <c r="I190" t="s">
        <v>937</v>
      </c>
    </row>
    <row r="191" spans="1:9">
      <c r="A191" s="34" t="s">
        <v>905</v>
      </c>
      <c r="B191" s="35">
        <v>47112</v>
      </c>
      <c r="C191" s="34" t="s">
        <v>107</v>
      </c>
      <c r="D191" s="34">
        <v>1</v>
      </c>
      <c r="E191" s="34" t="s">
        <v>995</v>
      </c>
      <c r="F191" t="s">
        <v>934</v>
      </c>
      <c r="G191" t="s">
        <v>935</v>
      </c>
      <c r="H191" t="s">
        <v>936</v>
      </c>
      <c r="I191" t="s">
        <v>937</v>
      </c>
    </row>
    <row r="192" spans="1:9">
      <c r="A192" s="34" t="s">
        <v>39</v>
      </c>
      <c r="B192" s="35">
        <v>46023</v>
      </c>
      <c r="C192" s="34" t="s">
        <v>101</v>
      </c>
      <c r="D192" s="34">
        <v>1</v>
      </c>
      <c r="E192" s="34" t="s">
        <v>86</v>
      </c>
      <c r="F192" t="s">
        <v>934</v>
      </c>
      <c r="G192" t="s">
        <v>1001</v>
      </c>
      <c r="H192" t="s">
        <v>1002</v>
      </c>
      <c r="I192" t="s">
        <v>937</v>
      </c>
    </row>
    <row r="193" spans="1:9">
      <c r="A193" s="34" t="s">
        <v>39</v>
      </c>
      <c r="B193" s="35">
        <v>46115</v>
      </c>
      <c r="C193" s="34" t="s">
        <v>102</v>
      </c>
      <c r="D193" s="34">
        <v>1</v>
      </c>
      <c r="E193" s="34" t="s">
        <v>86</v>
      </c>
      <c r="F193" t="s">
        <v>934</v>
      </c>
      <c r="G193" t="s">
        <v>1001</v>
      </c>
      <c r="H193" t="s">
        <v>1002</v>
      </c>
      <c r="I193" t="s">
        <v>937</v>
      </c>
    </row>
    <row r="194" spans="1:9">
      <c r="A194" s="34" t="s">
        <v>39</v>
      </c>
      <c r="B194" s="35">
        <v>46118</v>
      </c>
      <c r="C194" s="34" t="s">
        <v>103</v>
      </c>
      <c r="D194" s="34">
        <v>1</v>
      </c>
      <c r="E194" s="34" t="s">
        <v>86</v>
      </c>
      <c r="F194" t="s">
        <v>934</v>
      </c>
      <c r="G194" t="s">
        <v>1001</v>
      </c>
      <c r="H194" t="s">
        <v>1002</v>
      </c>
      <c r="I194" t="s">
        <v>937</v>
      </c>
    </row>
    <row r="195" spans="1:9">
      <c r="A195" s="34" t="s">
        <v>39</v>
      </c>
      <c r="B195" s="35">
        <v>46146</v>
      </c>
      <c r="C195" s="34" t="s">
        <v>104</v>
      </c>
      <c r="D195" s="34">
        <v>1</v>
      </c>
      <c r="E195" s="34" t="s">
        <v>86</v>
      </c>
      <c r="F195" t="s">
        <v>934</v>
      </c>
      <c r="G195" t="s">
        <v>1001</v>
      </c>
      <c r="H195" t="s">
        <v>1002</v>
      </c>
      <c r="I195" t="s">
        <v>937</v>
      </c>
    </row>
    <row r="196" spans="1:9">
      <c r="A196" s="34" t="s">
        <v>39</v>
      </c>
      <c r="B196" s="35">
        <v>46167</v>
      </c>
      <c r="C196" s="34" t="s">
        <v>105</v>
      </c>
      <c r="D196" s="34">
        <v>1</v>
      </c>
      <c r="E196" s="34" t="s">
        <v>86</v>
      </c>
      <c r="F196" t="s">
        <v>934</v>
      </c>
      <c r="G196" t="s">
        <v>1001</v>
      </c>
      <c r="H196" t="s">
        <v>1002</v>
      </c>
      <c r="I196" t="s">
        <v>937</v>
      </c>
    </row>
    <row r="197" spans="1:9">
      <c r="A197" s="34" t="s">
        <v>39</v>
      </c>
      <c r="B197" s="35">
        <v>46265</v>
      </c>
      <c r="C197" s="34" t="s">
        <v>106</v>
      </c>
      <c r="D197" s="34">
        <v>1</v>
      </c>
      <c r="E197" s="34" t="s">
        <v>86</v>
      </c>
      <c r="F197" t="s">
        <v>934</v>
      </c>
      <c r="G197" t="s">
        <v>1001</v>
      </c>
      <c r="H197" t="s">
        <v>1002</v>
      </c>
      <c r="I197" t="s">
        <v>937</v>
      </c>
    </row>
    <row r="198" spans="1:9">
      <c r="A198" s="34" t="s">
        <v>39</v>
      </c>
      <c r="B198" s="35">
        <v>46381</v>
      </c>
      <c r="C198" s="34" t="s">
        <v>107</v>
      </c>
      <c r="D198" s="34">
        <v>1</v>
      </c>
      <c r="E198" s="34" t="s">
        <v>86</v>
      </c>
      <c r="F198" t="s">
        <v>934</v>
      </c>
      <c r="G198" t="s">
        <v>1001</v>
      </c>
      <c r="H198" t="s">
        <v>1002</v>
      </c>
      <c r="I198" t="s">
        <v>937</v>
      </c>
    </row>
    <row r="199" spans="1:9">
      <c r="A199" s="34" t="s">
        <v>39</v>
      </c>
      <c r="B199" s="35">
        <v>46384</v>
      </c>
      <c r="C199" s="34" t="s">
        <v>108</v>
      </c>
      <c r="D199" s="34">
        <v>1</v>
      </c>
      <c r="E199" s="34" t="s">
        <v>86</v>
      </c>
      <c r="F199" t="s">
        <v>934</v>
      </c>
      <c r="G199" t="s">
        <v>1001</v>
      </c>
      <c r="H199" t="s">
        <v>1002</v>
      </c>
      <c r="I199" t="s">
        <v>937</v>
      </c>
    </row>
    <row r="200" spans="1:9">
      <c r="A200" s="34" t="s">
        <v>39</v>
      </c>
      <c r="B200" s="35">
        <v>46388</v>
      </c>
      <c r="C200" s="34" t="s">
        <v>101</v>
      </c>
      <c r="D200" s="34">
        <v>1</v>
      </c>
      <c r="E200" s="34" t="s">
        <v>86</v>
      </c>
      <c r="F200" t="s">
        <v>934</v>
      </c>
      <c r="G200" t="s">
        <v>1001</v>
      </c>
      <c r="H200" t="s">
        <v>1002</v>
      </c>
      <c r="I200" t="s">
        <v>937</v>
      </c>
    </row>
    <row r="201" spans="1:9">
      <c r="A201" s="34" t="s">
        <v>39</v>
      </c>
      <c r="B201" s="35">
        <v>46472</v>
      </c>
      <c r="C201" s="34" t="s">
        <v>102</v>
      </c>
      <c r="D201" s="34">
        <v>1</v>
      </c>
      <c r="E201" s="34" t="s">
        <v>86</v>
      </c>
      <c r="F201" t="s">
        <v>934</v>
      </c>
      <c r="G201" t="s">
        <v>1001</v>
      </c>
      <c r="H201" t="s">
        <v>1002</v>
      </c>
      <c r="I201" t="s">
        <v>937</v>
      </c>
    </row>
    <row r="202" spans="1:9">
      <c r="A202" s="34" t="s">
        <v>39</v>
      </c>
      <c r="B202" s="35">
        <v>46475</v>
      </c>
      <c r="C202" s="34" t="s">
        <v>103</v>
      </c>
      <c r="D202" s="34">
        <v>1</v>
      </c>
      <c r="E202" s="34" t="s">
        <v>86</v>
      </c>
      <c r="F202" t="s">
        <v>934</v>
      </c>
      <c r="G202" t="s">
        <v>1001</v>
      </c>
      <c r="H202" t="s">
        <v>1002</v>
      </c>
      <c r="I202" t="s">
        <v>937</v>
      </c>
    </row>
    <row r="203" spans="1:9">
      <c r="A203" s="34" t="s">
        <v>39</v>
      </c>
      <c r="B203" s="35">
        <v>46510</v>
      </c>
      <c r="C203" s="34" t="s">
        <v>104</v>
      </c>
      <c r="D203" s="34">
        <v>1</v>
      </c>
      <c r="E203" s="34" t="s">
        <v>86</v>
      </c>
      <c r="F203" t="s">
        <v>934</v>
      </c>
      <c r="G203" t="s">
        <v>1001</v>
      </c>
      <c r="H203" t="s">
        <v>1002</v>
      </c>
      <c r="I203" t="s">
        <v>937</v>
      </c>
    </row>
    <row r="204" spans="1:9">
      <c r="A204" s="34" t="s">
        <v>39</v>
      </c>
      <c r="B204" s="35">
        <v>46538</v>
      </c>
      <c r="C204" s="34" t="s">
        <v>105</v>
      </c>
      <c r="D204" s="34">
        <v>1</v>
      </c>
      <c r="E204" s="34" t="s">
        <v>86</v>
      </c>
      <c r="F204" t="s">
        <v>934</v>
      </c>
      <c r="G204" t="s">
        <v>1001</v>
      </c>
      <c r="H204" t="s">
        <v>1002</v>
      </c>
      <c r="I204" t="s">
        <v>937</v>
      </c>
    </row>
    <row r="205" spans="1:9">
      <c r="A205" s="34" t="s">
        <v>39</v>
      </c>
      <c r="B205" s="35">
        <v>46629</v>
      </c>
      <c r="C205" s="34" t="s">
        <v>106</v>
      </c>
      <c r="D205" s="34">
        <v>1</v>
      </c>
      <c r="E205" s="34" t="s">
        <v>86</v>
      </c>
      <c r="F205" t="s">
        <v>934</v>
      </c>
      <c r="G205" t="s">
        <v>1001</v>
      </c>
      <c r="H205" t="s">
        <v>1002</v>
      </c>
      <c r="I205" t="s">
        <v>937</v>
      </c>
    </row>
    <row r="206" spans="1:9">
      <c r="A206" s="34" t="s">
        <v>39</v>
      </c>
      <c r="B206" s="35">
        <v>46748</v>
      </c>
      <c r="C206" s="34" t="s">
        <v>107</v>
      </c>
      <c r="D206" s="34">
        <v>1</v>
      </c>
      <c r="E206" s="34" t="s">
        <v>86</v>
      </c>
      <c r="F206" t="s">
        <v>934</v>
      </c>
      <c r="G206" t="s">
        <v>1001</v>
      </c>
      <c r="H206" t="s">
        <v>1002</v>
      </c>
      <c r="I206" t="s">
        <v>937</v>
      </c>
    </row>
    <row r="207" spans="1:9">
      <c r="A207" s="34" t="s">
        <v>39</v>
      </c>
      <c r="B207" s="35">
        <v>46749</v>
      </c>
      <c r="C207" s="34" t="s">
        <v>108</v>
      </c>
      <c r="D207" s="34">
        <v>1</v>
      </c>
      <c r="E207" s="34" t="s">
        <v>86</v>
      </c>
      <c r="F207" t="s">
        <v>934</v>
      </c>
      <c r="G207" t="s">
        <v>1001</v>
      </c>
      <c r="H207" t="s">
        <v>1002</v>
      </c>
      <c r="I207" t="s">
        <v>937</v>
      </c>
    </row>
    <row r="208" spans="1:9">
      <c r="A208" s="34" t="s">
        <v>39</v>
      </c>
      <c r="B208" s="35">
        <v>46755</v>
      </c>
      <c r="C208" s="34" t="s">
        <v>101</v>
      </c>
      <c r="D208" s="34">
        <v>1</v>
      </c>
      <c r="E208" s="34" t="s">
        <v>86</v>
      </c>
      <c r="F208" t="s">
        <v>934</v>
      </c>
      <c r="G208" t="s">
        <v>1001</v>
      </c>
      <c r="H208" t="s">
        <v>1002</v>
      </c>
      <c r="I208" t="s">
        <v>937</v>
      </c>
    </row>
    <row r="209" spans="1:9">
      <c r="A209" s="34" t="s">
        <v>39</v>
      </c>
      <c r="B209" s="35">
        <v>46857</v>
      </c>
      <c r="C209" s="34" t="s">
        <v>102</v>
      </c>
      <c r="D209" s="34">
        <v>1</v>
      </c>
      <c r="E209" s="34" t="s">
        <v>86</v>
      </c>
      <c r="F209" t="s">
        <v>934</v>
      </c>
      <c r="G209" t="s">
        <v>1001</v>
      </c>
      <c r="H209" t="s">
        <v>1002</v>
      </c>
      <c r="I209" t="s">
        <v>937</v>
      </c>
    </row>
    <row r="210" spans="1:9">
      <c r="A210" s="34" t="s">
        <v>39</v>
      </c>
      <c r="B210" s="35">
        <v>46860</v>
      </c>
      <c r="C210" s="34" t="s">
        <v>103</v>
      </c>
      <c r="D210" s="34">
        <v>1</v>
      </c>
      <c r="E210" s="34" t="s">
        <v>86</v>
      </c>
      <c r="F210" t="s">
        <v>934</v>
      </c>
      <c r="G210" t="s">
        <v>1001</v>
      </c>
      <c r="H210" t="s">
        <v>1002</v>
      </c>
      <c r="I210" t="s">
        <v>937</v>
      </c>
    </row>
    <row r="211" spans="1:9">
      <c r="A211" s="34" t="s">
        <v>39</v>
      </c>
      <c r="B211" s="35">
        <v>46874</v>
      </c>
      <c r="C211" s="34" t="s">
        <v>104</v>
      </c>
      <c r="D211" s="34">
        <v>1</v>
      </c>
      <c r="E211" s="34" t="s">
        <v>86</v>
      </c>
      <c r="F211" t="s">
        <v>934</v>
      </c>
      <c r="G211" t="s">
        <v>1001</v>
      </c>
      <c r="H211" t="s">
        <v>1002</v>
      </c>
      <c r="I211" t="s">
        <v>937</v>
      </c>
    </row>
    <row r="212" spans="1:9">
      <c r="A212" s="34" t="s">
        <v>39</v>
      </c>
      <c r="B212" s="35">
        <v>46902</v>
      </c>
      <c r="C212" s="34" t="s">
        <v>105</v>
      </c>
      <c r="D212" s="34">
        <v>1</v>
      </c>
      <c r="E212" s="34" t="s">
        <v>86</v>
      </c>
      <c r="F212" t="s">
        <v>934</v>
      </c>
      <c r="G212" t="s">
        <v>1001</v>
      </c>
      <c r="H212" t="s">
        <v>1002</v>
      </c>
      <c r="I212" t="s">
        <v>937</v>
      </c>
    </row>
    <row r="213" spans="1:9">
      <c r="A213" s="34" t="s">
        <v>39</v>
      </c>
      <c r="B213" s="35">
        <v>46993</v>
      </c>
      <c r="C213" s="34" t="s">
        <v>106</v>
      </c>
      <c r="D213" s="34">
        <v>1</v>
      </c>
      <c r="E213" s="34" t="s">
        <v>86</v>
      </c>
      <c r="F213" t="s">
        <v>934</v>
      </c>
      <c r="G213" t="s">
        <v>1001</v>
      </c>
      <c r="H213" t="s">
        <v>1002</v>
      </c>
      <c r="I213" t="s">
        <v>937</v>
      </c>
    </row>
    <row r="214" spans="1:9">
      <c r="A214" s="34" t="s">
        <v>39</v>
      </c>
      <c r="B214" s="35">
        <v>47112</v>
      </c>
      <c r="C214" s="34" t="s">
        <v>107</v>
      </c>
      <c r="D214" s="34">
        <v>1</v>
      </c>
      <c r="E214" s="34" t="s">
        <v>86</v>
      </c>
      <c r="F214" t="s">
        <v>934</v>
      </c>
      <c r="G214" t="s">
        <v>1001</v>
      </c>
      <c r="H214" t="s">
        <v>1002</v>
      </c>
      <c r="I214" t="s">
        <v>937</v>
      </c>
    </row>
    <row r="215" spans="1:9">
      <c r="A215" s="34" t="s">
        <v>39</v>
      </c>
      <c r="B215" s="35">
        <v>47113</v>
      </c>
      <c r="C215" s="34" t="s">
        <v>108</v>
      </c>
      <c r="D215" s="34">
        <v>1</v>
      </c>
      <c r="E215" s="34" t="s">
        <v>86</v>
      </c>
      <c r="F215" t="s">
        <v>934</v>
      </c>
      <c r="G215" t="s">
        <v>1001</v>
      </c>
      <c r="H215" t="s">
        <v>1002</v>
      </c>
      <c r="I215" t="s">
        <v>937</v>
      </c>
    </row>
    <row r="216" spans="1:9">
      <c r="A216" s="34" t="s">
        <v>30</v>
      </c>
      <c r="B216" s="35">
        <v>46048</v>
      </c>
      <c r="C216" s="34" t="s">
        <v>1003</v>
      </c>
      <c r="D216" s="34">
        <v>1</v>
      </c>
      <c r="E216" s="34" t="s">
        <v>1004</v>
      </c>
      <c r="F216" t="s">
        <v>934</v>
      </c>
      <c r="G216" t="s">
        <v>935</v>
      </c>
      <c r="H216" t="s">
        <v>936</v>
      </c>
      <c r="I216" t="s">
        <v>937</v>
      </c>
    </row>
    <row r="217" spans="1:9">
      <c r="A217" s="34" t="s">
        <v>30</v>
      </c>
      <c r="B217" s="35">
        <v>46085</v>
      </c>
      <c r="C217" s="34" t="s">
        <v>1005</v>
      </c>
      <c r="D217" s="34">
        <v>1</v>
      </c>
      <c r="E217" s="34" t="s">
        <v>1004</v>
      </c>
      <c r="F217" t="s">
        <v>934</v>
      </c>
      <c r="G217" t="s">
        <v>935</v>
      </c>
      <c r="H217" t="s">
        <v>936</v>
      </c>
      <c r="I217" t="s">
        <v>937</v>
      </c>
    </row>
    <row r="218" spans="1:9">
      <c r="A218" s="34" t="s">
        <v>30</v>
      </c>
      <c r="B218" s="35">
        <v>46102</v>
      </c>
      <c r="C218" s="34" t="s">
        <v>941</v>
      </c>
      <c r="D218" s="34">
        <v>1</v>
      </c>
      <c r="E218" s="34" t="s">
        <v>1004</v>
      </c>
      <c r="F218" t="s">
        <v>934</v>
      </c>
      <c r="G218" t="s">
        <v>935</v>
      </c>
      <c r="H218" t="s">
        <v>936</v>
      </c>
      <c r="I218" t="s">
        <v>937</v>
      </c>
    </row>
    <row r="219" spans="1:9">
      <c r="A219" s="34" t="s">
        <v>30</v>
      </c>
      <c r="B219" s="35">
        <v>46107</v>
      </c>
      <c r="C219" s="34" t="s">
        <v>1006</v>
      </c>
      <c r="D219" s="34">
        <v>1</v>
      </c>
      <c r="E219" s="34" t="s">
        <v>1004</v>
      </c>
      <c r="F219" t="s">
        <v>934</v>
      </c>
      <c r="G219" t="s">
        <v>935</v>
      </c>
      <c r="H219" t="s">
        <v>936</v>
      </c>
      <c r="I219" t="s">
        <v>937</v>
      </c>
    </row>
    <row r="220" spans="1:9">
      <c r="A220" s="34" t="s">
        <v>30</v>
      </c>
      <c r="B220" s="35">
        <v>46112</v>
      </c>
      <c r="C220" s="34" t="s">
        <v>1007</v>
      </c>
      <c r="D220" s="34">
        <v>1</v>
      </c>
      <c r="E220" s="34" t="s">
        <v>1004</v>
      </c>
      <c r="F220" t="s">
        <v>934</v>
      </c>
      <c r="G220" t="s">
        <v>935</v>
      </c>
      <c r="H220" t="s">
        <v>936</v>
      </c>
      <c r="I220" t="s">
        <v>937</v>
      </c>
    </row>
    <row r="221" spans="1:9">
      <c r="A221" s="34" t="s">
        <v>30</v>
      </c>
      <c r="B221" s="35">
        <v>46115</v>
      </c>
      <c r="C221" s="34" t="s">
        <v>102</v>
      </c>
      <c r="D221" s="34">
        <v>1</v>
      </c>
      <c r="E221" s="34" t="s">
        <v>1004</v>
      </c>
      <c r="F221" t="s">
        <v>934</v>
      </c>
      <c r="G221" t="s">
        <v>935</v>
      </c>
      <c r="H221" t="s">
        <v>936</v>
      </c>
      <c r="I221" t="s">
        <v>937</v>
      </c>
    </row>
    <row r="222" spans="1:9">
      <c r="A222" s="34" t="s">
        <v>30</v>
      </c>
      <c r="B222" s="35">
        <v>46126</v>
      </c>
      <c r="C222" s="34" t="s">
        <v>1008</v>
      </c>
      <c r="D222" s="34">
        <v>1</v>
      </c>
      <c r="E222" s="34" t="s">
        <v>1004</v>
      </c>
      <c r="F222" t="s">
        <v>934</v>
      </c>
      <c r="G222" t="s">
        <v>935</v>
      </c>
      <c r="H222" t="s">
        <v>936</v>
      </c>
      <c r="I222" t="s">
        <v>937</v>
      </c>
    </row>
    <row r="223" spans="1:9">
      <c r="A223" s="34" t="s">
        <v>30</v>
      </c>
      <c r="B223" s="35">
        <v>46143</v>
      </c>
      <c r="C223" s="34" t="s">
        <v>1009</v>
      </c>
      <c r="D223" s="34">
        <v>1</v>
      </c>
      <c r="E223" s="34" t="s">
        <v>1004</v>
      </c>
      <c r="F223" t="s">
        <v>934</v>
      </c>
      <c r="G223" t="s">
        <v>935</v>
      </c>
      <c r="H223" t="s">
        <v>936</v>
      </c>
      <c r="I223" t="s">
        <v>937</v>
      </c>
    </row>
    <row r="224" spans="1:9">
      <c r="A224" s="34" t="s">
        <v>30</v>
      </c>
      <c r="B224" s="35">
        <v>46169</v>
      </c>
      <c r="C224" s="34" t="s">
        <v>945</v>
      </c>
      <c r="D224" s="34">
        <v>1</v>
      </c>
      <c r="E224" s="34" t="s">
        <v>1004</v>
      </c>
      <c r="F224" t="s">
        <v>934</v>
      </c>
      <c r="G224" t="s">
        <v>935</v>
      </c>
      <c r="H224" t="s">
        <v>936</v>
      </c>
      <c r="I224" t="s">
        <v>937</v>
      </c>
    </row>
    <row r="225" spans="1:9">
      <c r="A225" s="34" t="s">
        <v>30</v>
      </c>
      <c r="B225" s="35">
        <v>46199</v>
      </c>
      <c r="C225" s="34" t="s">
        <v>946</v>
      </c>
      <c r="D225" s="34">
        <v>1</v>
      </c>
      <c r="E225" s="34" t="s">
        <v>1004</v>
      </c>
      <c r="F225" t="s">
        <v>934</v>
      </c>
      <c r="G225" t="s">
        <v>935</v>
      </c>
      <c r="H225" t="s">
        <v>936</v>
      </c>
      <c r="I225" t="s">
        <v>937</v>
      </c>
    </row>
    <row r="226" spans="1:9">
      <c r="A226" s="34" t="s">
        <v>30</v>
      </c>
      <c r="B226" s="35">
        <v>46249</v>
      </c>
      <c r="C226" s="34" t="s">
        <v>942</v>
      </c>
      <c r="D226" s="34">
        <v>1</v>
      </c>
      <c r="E226" s="34" t="s">
        <v>1004</v>
      </c>
      <c r="F226" t="s">
        <v>934</v>
      </c>
      <c r="G226" t="s">
        <v>935</v>
      </c>
      <c r="H226" t="s">
        <v>936</v>
      </c>
      <c r="I226" t="s">
        <v>937</v>
      </c>
    </row>
    <row r="227" spans="1:9">
      <c r="A227" s="34" t="s">
        <v>30</v>
      </c>
      <c r="B227" s="35">
        <v>46260</v>
      </c>
      <c r="C227" s="34" t="s">
        <v>948</v>
      </c>
      <c r="D227" s="34">
        <v>1</v>
      </c>
      <c r="E227" s="34" t="s">
        <v>1004</v>
      </c>
      <c r="F227" t="s">
        <v>934</v>
      </c>
      <c r="G227" t="s">
        <v>935</v>
      </c>
      <c r="H227" t="s">
        <v>936</v>
      </c>
      <c r="I227" t="s">
        <v>937</v>
      </c>
    </row>
    <row r="228" spans="1:9">
      <c r="A228" s="34" t="s">
        <v>30</v>
      </c>
      <c r="B228" s="35">
        <v>46269</v>
      </c>
      <c r="C228" s="34" t="s">
        <v>1010</v>
      </c>
      <c r="D228" s="34">
        <v>1</v>
      </c>
      <c r="E228" s="34" t="s">
        <v>1004</v>
      </c>
      <c r="F228" t="s">
        <v>934</v>
      </c>
      <c r="G228" t="s">
        <v>935</v>
      </c>
      <c r="H228" t="s">
        <v>936</v>
      </c>
      <c r="I228" t="s">
        <v>937</v>
      </c>
    </row>
    <row r="229" spans="1:9">
      <c r="A229" s="34" t="s">
        <v>30</v>
      </c>
      <c r="B229" s="35">
        <v>46297</v>
      </c>
      <c r="C229" s="34" t="s">
        <v>1011</v>
      </c>
      <c r="D229" s="34">
        <v>1</v>
      </c>
      <c r="E229" s="34" t="s">
        <v>1004</v>
      </c>
      <c r="F229" t="s">
        <v>934</v>
      </c>
      <c r="G229" t="s">
        <v>935</v>
      </c>
      <c r="H229" t="s">
        <v>936</v>
      </c>
      <c r="I229" t="s">
        <v>937</v>
      </c>
    </row>
    <row r="230" spans="1:9">
      <c r="A230" s="34" t="s">
        <v>30</v>
      </c>
      <c r="B230" s="35">
        <v>46315</v>
      </c>
      <c r="C230" s="34" t="s">
        <v>1012</v>
      </c>
      <c r="D230" s="34">
        <v>1</v>
      </c>
      <c r="E230" s="34" t="s">
        <v>1004</v>
      </c>
      <c r="F230" t="s">
        <v>934</v>
      </c>
      <c r="G230" t="s">
        <v>935</v>
      </c>
      <c r="H230" t="s">
        <v>936</v>
      </c>
      <c r="I230" t="s">
        <v>937</v>
      </c>
    </row>
    <row r="231" spans="1:9">
      <c r="A231" s="34" t="s">
        <v>30</v>
      </c>
      <c r="B231" s="35">
        <v>46334</v>
      </c>
      <c r="C231" s="34" t="s">
        <v>1013</v>
      </c>
      <c r="D231" s="34">
        <v>1</v>
      </c>
      <c r="E231" s="34" t="s">
        <v>1004</v>
      </c>
      <c r="F231" t="s">
        <v>934</v>
      </c>
      <c r="G231" t="s">
        <v>935</v>
      </c>
      <c r="H231" t="s">
        <v>936</v>
      </c>
      <c r="I231" t="s">
        <v>937</v>
      </c>
    </row>
    <row r="232" spans="1:9">
      <c r="A232" s="34" t="s">
        <v>30</v>
      </c>
      <c r="B232" s="35">
        <v>46350</v>
      </c>
      <c r="C232" s="34" t="s">
        <v>1014</v>
      </c>
      <c r="D232" s="34">
        <v>1</v>
      </c>
      <c r="E232" s="34" t="s">
        <v>1004</v>
      </c>
      <c r="F232" t="s">
        <v>934</v>
      </c>
      <c r="G232" t="s">
        <v>935</v>
      </c>
      <c r="H232" t="s">
        <v>936</v>
      </c>
      <c r="I232" t="s">
        <v>937</v>
      </c>
    </row>
    <row r="233" spans="1:9">
      <c r="A233" s="34" t="s">
        <v>30</v>
      </c>
      <c r="B233" s="35">
        <v>46381</v>
      </c>
      <c r="C233" s="34" t="s">
        <v>1015</v>
      </c>
      <c r="D233" s="34">
        <v>1</v>
      </c>
      <c r="E233" s="34" t="s">
        <v>1004</v>
      </c>
      <c r="F233" t="s">
        <v>934</v>
      </c>
      <c r="G233" t="s">
        <v>935</v>
      </c>
      <c r="H233" t="s">
        <v>936</v>
      </c>
      <c r="I233" t="s">
        <v>937</v>
      </c>
    </row>
    <row r="234" spans="1:9">
      <c r="A234" s="34" t="s">
        <v>30</v>
      </c>
      <c r="B234" s="35">
        <v>46413</v>
      </c>
      <c r="C234" s="34" t="s">
        <v>1003</v>
      </c>
      <c r="D234" s="34">
        <v>1</v>
      </c>
      <c r="E234" s="34" t="s">
        <v>1004</v>
      </c>
      <c r="F234" t="s">
        <v>934</v>
      </c>
      <c r="G234" t="s">
        <v>935</v>
      </c>
      <c r="H234" t="s">
        <v>936</v>
      </c>
      <c r="I234" t="s">
        <v>937</v>
      </c>
    </row>
    <row r="235" spans="1:9">
      <c r="A235" s="34" t="s">
        <v>30</v>
      </c>
      <c r="B235" s="35">
        <v>46452</v>
      </c>
      <c r="C235" s="34" t="s">
        <v>1016</v>
      </c>
      <c r="D235" s="34">
        <v>1</v>
      </c>
      <c r="E235" s="34" t="s">
        <v>1004</v>
      </c>
      <c r="F235" t="s">
        <v>934</v>
      </c>
      <c r="G235" t="s">
        <v>935</v>
      </c>
      <c r="H235" t="s">
        <v>936</v>
      </c>
      <c r="I235" t="s">
        <v>937</v>
      </c>
    </row>
    <row r="236" spans="1:9">
      <c r="A236" s="34" t="s">
        <v>30</v>
      </c>
      <c r="B236" s="35">
        <v>46456</v>
      </c>
      <c r="C236" s="34" t="s">
        <v>954</v>
      </c>
      <c r="D236" s="34">
        <v>1</v>
      </c>
      <c r="E236" s="34" t="s">
        <v>1004</v>
      </c>
      <c r="F236" t="s">
        <v>934</v>
      </c>
      <c r="G236" t="s">
        <v>951</v>
      </c>
      <c r="H236" t="s">
        <v>936</v>
      </c>
      <c r="I236" t="s">
        <v>937</v>
      </c>
    </row>
    <row r="237" spans="1:9">
      <c r="A237" s="34" t="s">
        <v>30</v>
      </c>
      <c r="B237" s="35">
        <v>46468</v>
      </c>
      <c r="C237" s="34" t="s">
        <v>1005</v>
      </c>
      <c r="D237" s="34">
        <v>1</v>
      </c>
      <c r="E237" s="34" t="s">
        <v>1004</v>
      </c>
      <c r="F237" t="s">
        <v>934</v>
      </c>
      <c r="G237" t="s">
        <v>935</v>
      </c>
      <c r="H237" t="s">
        <v>936</v>
      </c>
      <c r="I237" t="s">
        <v>937</v>
      </c>
    </row>
    <row r="238" spans="1:9">
      <c r="A238" s="34" t="s">
        <v>30</v>
      </c>
      <c r="B238" s="35">
        <v>46472</v>
      </c>
      <c r="C238" s="34" t="s">
        <v>102</v>
      </c>
      <c r="D238" s="34">
        <v>1</v>
      </c>
      <c r="E238" s="34" t="s">
        <v>1004</v>
      </c>
      <c r="F238" t="s">
        <v>934</v>
      </c>
      <c r="G238" t="s">
        <v>935</v>
      </c>
      <c r="H238" t="s">
        <v>936</v>
      </c>
      <c r="I238" t="s">
        <v>937</v>
      </c>
    </row>
    <row r="239" spans="1:9">
      <c r="A239" s="34" t="s">
        <v>30</v>
      </c>
      <c r="B239" s="35">
        <v>46491</v>
      </c>
      <c r="C239" s="34" t="s">
        <v>1008</v>
      </c>
      <c r="D239" s="34">
        <v>1</v>
      </c>
      <c r="E239" s="34" t="s">
        <v>1004</v>
      </c>
      <c r="F239" t="s">
        <v>934</v>
      </c>
      <c r="G239" t="s">
        <v>935</v>
      </c>
      <c r="H239" t="s">
        <v>936</v>
      </c>
      <c r="I239" t="s">
        <v>937</v>
      </c>
    </row>
    <row r="240" spans="1:9">
      <c r="A240" s="34" t="s">
        <v>30</v>
      </c>
      <c r="B240" s="35">
        <v>46492</v>
      </c>
      <c r="C240" s="34" t="s">
        <v>1006</v>
      </c>
      <c r="D240" s="34">
        <v>1</v>
      </c>
      <c r="E240" s="34" t="s">
        <v>1004</v>
      </c>
      <c r="F240" t="s">
        <v>934</v>
      </c>
      <c r="G240" t="s">
        <v>935</v>
      </c>
      <c r="H240" t="s">
        <v>936</v>
      </c>
      <c r="I240" t="s">
        <v>937</v>
      </c>
    </row>
    <row r="241" spans="1:9">
      <c r="A241" s="34" t="s">
        <v>30</v>
      </c>
      <c r="B241" s="35">
        <v>46495</v>
      </c>
      <c r="C241" s="34" t="s">
        <v>1007</v>
      </c>
      <c r="D241" s="34">
        <v>1</v>
      </c>
      <c r="E241" s="34" t="s">
        <v>1004</v>
      </c>
      <c r="F241" t="s">
        <v>934</v>
      </c>
      <c r="G241" t="s">
        <v>935</v>
      </c>
      <c r="H241" t="s">
        <v>936</v>
      </c>
      <c r="I241" t="s">
        <v>937</v>
      </c>
    </row>
    <row r="242" spans="1:9">
      <c r="A242" s="34" t="s">
        <v>30</v>
      </c>
      <c r="B242" s="35">
        <v>46524</v>
      </c>
      <c r="C242" s="34" t="s">
        <v>955</v>
      </c>
      <c r="D242" s="34">
        <v>1</v>
      </c>
      <c r="E242" s="34" t="s">
        <v>1004</v>
      </c>
      <c r="F242" t="s">
        <v>934</v>
      </c>
      <c r="G242" t="s">
        <v>951</v>
      </c>
      <c r="H242" t="s">
        <v>936</v>
      </c>
      <c r="I242" t="s">
        <v>937</v>
      </c>
    </row>
    <row r="243" spans="1:9">
      <c r="A243" s="34" t="s">
        <v>30</v>
      </c>
      <c r="B243" s="35">
        <v>46527</v>
      </c>
      <c r="C243" s="34" t="s">
        <v>1009</v>
      </c>
      <c r="D243" s="34">
        <v>1</v>
      </c>
      <c r="E243" s="34" t="s">
        <v>1004</v>
      </c>
      <c r="F243" t="s">
        <v>934</v>
      </c>
      <c r="G243" t="s">
        <v>935</v>
      </c>
      <c r="H243" t="s">
        <v>936</v>
      </c>
      <c r="I243" t="s">
        <v>937</v>
      </c>
    </row>
    <row r="244" spans="1:9">
      <c r="A244" s="34" t="s">
        <v>30</v>
      </c>
      <c r="B244" s="35">
        <v>46554</v>
      </c>
      <c r="C244" s="34" t="s">
        <v>956</v>
      </c>
      <c r="D244" s="34">
        <v>1</v>
      </c>
      <c r="E244" s="34" t="s">
        <v>1004</v>
      </c>
      <c r="F244" t="s">
        <v>934</v>
      </c>
      <c r="G244" t="s">
        <v>951</v>
      </c>
      <c r="H244" t="s">
        <v>936</v>
      </c>
      <c r="I244" t="s">
        <v>937</v>
      </c>
    </row>
    <row r="245" spans="1:9">
      <c r="A245" s="34" t="s">
        <v>30</v>
      </c>
      <c r="B245" s="35">
        <v>46614</v>
      </c>
      <c r="C245" s="34" t="s">
        <v>1017</v>
      </c>
      <c r="D245" s="34">
        <v>1</v>
      </c>
      <c r="E245" s="34" t="s">
        <v>1004</v>
      </c>
      <c r="F245" t="s">
        <v>934</v>
      </c>
      <c r="G245" t="s">
        <v>951</v>
      </c>
      <c r="H245" t="s">
        <v>936</v>
      </c>
      <c r="I245" t="s">
        <v>937</v>
      </c>
    </row>
    <row r="246" spans="1:9">
      <c r="A246" s="34" t="s">
        <v>30</v>
      </c>
      <c r="B246" s="35">
        <v>46624</v>
      </c>
      <c r="C246" s="34" t="s">
        <v>1010</v>
      </c>
      <c r="D246" s="34">
        <v>1</v>
      </c>
      <c r="E246" s="34" t="s">
        <v>1004</v>
      </c>
      <c r="F246" t="s">
        <v>934</v>
      </c>
      <c r="G246" t="s">
        <v>935</v>
      </c>
      <c r="H246" t="s">
        <v>936</v>
      </c>
      <c r="I246" t="s">
        <v>937</v>
      </c>
    </row>
    <row r="247" spans="1:9">
      <c r="A247" s="34" t="s">
        <v>30</v>
      </c>
      <c r="B247" s="35">
        <v>46662</v>
      </c>
      <c r="C247" s="34" t="s">
        <v>1011</v>
      </c>
      <c r="D247" s="34">
        <v>1</v>
      </c>
      <c r="E247" s="34" t="s">
        <v>1004</v>
      </c>
      <c r="F247" t="s">
        <v>934</v>
      </c>
      <c r="G247" t="s">
        <v>935</v>
      </c>
      <c r="H247" t="s">
        <v>936</v>
      </c>
      <c r="I247" t="s">
        <v>937</v>
      </c>
    </row>
    <row r="248" spans="1:9">
      <c r="A248" s="34" t="s">
        <v>30</v>
      </c>
      <c r="B248" s="35">
        <v>46669</v>
      </c>
      <c r="C248" s="34" t="s">
        <v>1012</v>
      </c>
      <c r="D248" s="34">
        <v>1</v>
      </c>
      <c r="E248" s="34" t="s">
        <v>1004</v>
      </c>
      <c r="F248" t="s">
        <v>934</v>
      </c>
      <c r="G248" t="s">
        <v>935</v>
      </c>
      <c r="H248" t="s">
        <v>936</v>
      </c>
      <c r="I248" t="s">
        <v>937</v>
      </c>
    </row>
    <row r="249" spans="1:9">
      <c r="A249" s="34" t="s">
        <v>30</v>
      </c>
      <c r="B249" s="35">
        <v>46689</v>
      </c>
      <c r="C249" s="34" t="s">
        <v>1013</v>
      </c>
      <c r="D249" s="34">
        <v>1</v>
      </c>
      <c r="E249" s="34" t="s">
        <v>1004</v>
      </c>
      <c r="F249" t="s">
        <v>934</v>
      </c>
      <c r="G249" t="s">
        <v>935</v>
      </c>
      <c r="H249" t="s">
        <v>936</v>
      </c>
      <c r="I249" t="s">
        <v>937</v>
      </c>
    </row>
    <row r="250" spans="1:9">
      <c r="A250" s="34" t="s">
        <v>30</v>
      </c>
      <c r="B250" s="35">
        <v>46705</v>
      </c>
      <c r="C250" s="34" t="s">
        <v>1014</v>
      </c>
      <c r="D250" s="34">
        <v>1</v>
      </c>
      <c r="E250" s="34" t="s">
        <v>1004</v>
      </c>
      <c r="F250" t="s">
        <v>934</v>
      </c>
      <c r="G250" t="s">
        <v>935</v>
      </c>
      <c r="H250" t="s">
        <v>936</v>
      </c>
      <c r="I250" t="s">
        <v>937</v>
      </c>
    </row>
    <row r="251" spans="1:9">
      <c r="A251" s="34" t="s">
        <v>30</v>
      </c>
      <c r="B251" s="35">
        <v>46746</v>
      </c>
      <c r="C251" s="34" t="s">
        <v>1015</v>
      </c>
      <c r="D251" s="34">
        <v>1</v>
      </c>
      <c r="E251" s="34" t="s">
        <v>1004</v>
      </c>
      <c r="F251" t="s">
        <v>934</v>
      </c>
      <c r="G251" t="s">
        <v>935</v>
      </c>
      <c r="H251" t="s">
        <v>936</v>
      </c>
      <c r="I251" t="s">
        <v>937</v>
      </c>
    </row>
    <row r="252" spans="1:9">
      <c r="A252" s="34" t="s">
        <v>30</v>
      </c>
      <c r="B252" s="35">
        <v>46778</v>
      </c>
      <c r="C252" s="34" t="s">
        <v>1003</v>
      </c>
      <c r="D252" s="34">
        <v>1</v>
      </c>
      <c r="E252" s="34" t="s">
        <v>1004</v>
      </c>
      <c r="F252" t="s">
        <v>934</v>
      </c>
      <c r="G252" t="s">
        <v>935</v>
      </c>
      <c r="H252" t="s">
        <v>936</v>
      </c>
      <c r="I252" t="s">
        <v>937</v>
      </c>
    </row>
    <row r="253" spans="1:9">
      <c r="A253" s="34" t="s">
        <v>30</v>
      </c>
      <c r="B253" s="35">
        <v>46806</v>
      </c>
      <c r="C253" s="34" t="s">
        <v>1016</v>
      </c>
      <c r="D253" s="34">
        <v>1</v>
      </c>
      <c r="E253" s="34" t="s">
        <v>1004</v>
      </c>
      <c r="F253" t="s">
        <v>934</v>
      </c>
      <c r="G253" t="s">
        <v>935</v>
      </c>
      <c r="H253" t="s">
        <v>936</v>
      </c>
      <c r="I253" t="s">
        <v>937</v>
      </c>
    </row>
    <row r="254" spans="1:9">
      <c r="A254" s="34" t="s">
        <v>30</v>
      </c>
      <c r="B254" s="35">
        <v>46810</v>
      </c>
      <c r="C254" s="34" t="s">
        <v>954</v>
      </c>
      <c r="D254" s="34">
        <v>1</v>
      </c>
      <c r="E254" s="34" t="s">
        <v>1004</v>
      </c>
      <c r="F254" t="s">
        <v>934</v>
      </c>
      <c r="G254" t="s">
        <v>951</v>
      </c>
      <c r="H254" t="s">
        <v>936</v>
      </c>
      <c r="I254" t="s">
        <v>937</v>
      </c>
    </row>
    <row r="255" spans="1:9">
      <c r="A255" s="34" t="s">
        <v>30</v>
      </c>
      <c r="B255" s="35">
        <v>46823</v>
      </c>
      <c r="C255" s="34" t="s">
        <v>1005</v>
      </c>
      <c r="D255" s="34">
        <v>1</v>
      </c>
      <c r="E255" s="34" t="s">
        <v>1004</v>
      </c>
      <c r="F255" t="s">
        <v>934</v>
      </c>
      <c r="G255" t="s">
        <v>935</v>
      </c>
      <c r="H255" t="s">
        <v>936</v>
      </c>
      <c r="I255" t="s">
        <v>937</v>
      </c>
    </row>
    <row r="256" spans="1:9">
      <c r="A256" s="34" t="s">
        <v>30</v>
      </c>
      <c r="B256" s="35">
        <v>46846</v>
      </c>
      <c r="C256" s="34" t="s">
        <v>1006</v>
      </c>
      <c r="D256" s="34">
        <v>1</v>
      </c>
      <c r="E256" s="34" t="s">
        <v>1004</v>
      </c>
      <c r="F256" t="s">
        <v>934</v>
      </c>
      <c r="G256" t="s">
        <v>935</v>
      </c>
      <c r="H256" t="s">
        <v>936</v>
      </c>
      <c r="I256" t="s">
        <v>937</v>
      </c>
    </row>
    <row r="257" spans="1:9">
      <c r="A257" s="34" t="s">
        <v>30</v>
      </c>
      <c r="B257" s="35">
        <v>46850</v>
      </c>
      <c r="C257" s="34" t="s">
        <v>1007</v>
      </c>
      <c r="D257" s="34">
        <v>1</v>
      </c>
      <c r="E257" s="34" t="s">
        <v>1004</v>
      </c>
      <c r="F257" t="s">
        <v>934</v>
      </c>
      <c r="G257" t="s">
        <v>935</v>
      </c>
      <c r="H257" t="s">
        <v>936</v>
      </c>
      <c r="I257" t="s">
        <v>937</v>
      </c>
    </row>
    <row r="258" spans="1:9">
      <c r="A258" s="34" t="s">
        <v>30</v>
      </c>
      <c r="B258" s="35">
        <v>46857</v>
      </c>
      <c r="C258" s="34" t="s">
        <v>1018</v>
      </c>
      <c r="D258" s="34">
        <v>1</v>
      </c>
      <c r="E258" s="34" t="s">
        <v>1004</v>
      </c>
      <c r="F258" t="s">
        <v>934</v>
      </c>
      <c r="G258" t="s">
        <v>935</v>
      </c>
      <c r="H258" t="s">
        <v>936</v>
      </c>
      <c r="I258" t="s">
        <v>937</v>
      </c>
    </row>
    <row r="259" spans="1:9">
      <c r="A259" s="34" t="s">
        <v>30</v>
      </c>
      <c r="B259" s="35">
        <v>46879</v>
      </c>
      <c r="C259" s="34" t="s">
        <v>955</v>
      </c>
      <c r="D259" s="34">
        <v>1</v>
      </c>
      <c r="E259" s="34" t="s">
        <v>1004</v>
      </c>
      <c r="F259" t="s">
        <v>934</v>
      </c>
      <c r="G259" t="s">
        <v>951</v>
      </c>
      <c r="H259" t="s">
        <v>936</v>
      </c>
      <c r="I259" t="s">
        <v>937</v>
      </c>
    </row>
    <row r="260" spans="1:9">
      <c r="A260" s="34" t="s">
        <v>30</v>
      </c>
      <c r="B260" s="35">
        <v>46881</v>
      </c>
      <c r="C260" s="34" t="s">
        <v>1009</v>
      </c>
      <c r="D260" s="34">
        <v>1</v>
      </c>
      <c r="E260" s="34" t="s">
        <v>1004</v>
      </c>
      <c r="F260" t="s">
        <v>934</v>
      </c>
      <c r="G260" t="s">
        <v>935</v>
      </c>
      <c r="H260" t="s">
        <v>936</v>
      </c>
      <c r="I260" t="s">
        <v>937</v>
      </c>
    </row>
    <row r="261" spans="1:9">
      <c r="A261" s="34" t="s">
        <v>30</v>
      </c>
      <c r="B261" s="35">
        <v>46908</v>
      </c>
      <c r="C261" s="34" t="s">
        <v>956</v>
      </c>
      <c r="D261" s="34">
        <v>1</v>
      </c>
      <c r="E261" s="34" t="s">
        <v>1004</v>
      </c>
      <c r="F261" t="s">
        <v>934</v>
      </c>
      <c r="G261" t="s">
        <v>951</v>
      </c>
      <c r="H261" t="s">
        <v>936</v>
      </c>
      <c r="I261" t="s">
        <v>937</v>
      </c>
    </row>
    <row r="262" spans="1:9">
      <c r="A262" s="34" t="s">
        <v>30</v>
      </c>
      <c r="B262" s="35">
        <v>46969</v>
      </c>
      <c r="C262" s="34" t="s">
        <v>957</v>
      </c>
      <c r="D262" s="34">
        <v>1</v>
      </c>
      <c r="E262" s="34" t="s">
        <v>1004</v>
      </c>
      <c r="F262" t="s">
        <v>934</v>
      </c>
      <c r="G262" t="s">
        <v>951</v>
      </c>
      <c r="H262" t="s">
        <v>936</v>
      </c>
      <c r="I262" t="s">
        <v>937</v>
      </c>
    </row>
    <row r="263" spans="1:9">
      <c r="A263" s="34" t="s">
        <v>30</v>
      </c>
      <c r="B263" s="35">
        <v>46978</v>
      </c>
      <c r="C263" s="34" t="s">
        <v>1010</v>
      </c>
      <c r="D263" s="34">
        <v>1</v>
      </c>
      <c r="E263" s="34" t="s">
        <v>1004</v>
      </c>
      <c r="F263" t="s">
        <v>934</v>
      </c>
      <c r="G263" t="s">
        <v>935</v>
      </c>
      <c r="H263" t="s">
        <v>936</v>
      </c>
      <c r="I263" t="s">
        <v>937</v>
      </c>
    </row>
    <row r="264" spans="1:9">
      <c r="A264" s="34" t="s">
        <v>30</v>
      </c>
      <c r="B264" s="35">
        <v>46980</v>
      </c>
      <c r="C264" s="34" t="s">
        <v>942</v>
      </c>
      <c r="D264" s="34">
        <v>1</v>
      </c>
      <c r="E264" s="34" t="s">
        <v>1004</v>
      </c>
      <c r="F264" t="s">
        <v>934</v>
      </c>
      <c r="G264" t="s">
        <v>935</v>
      </c>
      <c r="H264" t="s">
        <v>936</v>
      </c>
      <c r="I264" t="s">
        <v>937</v>
      </c>
    </row>
    <row r="265" spans="1:9">
      <c r="A265" s="34" t="s">
        <v>30</v>
      </c>
      <c r="B265" s="35">
        <v>47023</v>
      </c>
      <c r="C265" s="34" t="s">
        <v>1012</v>
      </c>
      <c r="D265" s="34">
        <v>1</v>
      </c>
      <c r="E265" s="34" t="s">
        <v>1004</v>
      </c>
      <c r="F265" t="s">
        <v>934</v>
      </c>
      <c r="G265" t="s">
        <v>935</v>
      </c>
      <c r="H265" t="s">
        <v>936</v>
      </c>
      <c r="I265" t="s">
        <v>937</v>
      </c>
    </row>
    <row r="266" spans="1:9">
      <c r="A266" s="34" t="s">
        <v>30</v>
      </c>
      <c r="B266" s="35">
        <v>47028</v>
      </c>
      <c r="C266" s="34" t="s">
        <v>1011</v>
      </c>
      <c r="D266" s="34">
        <v>1</v>
      </c>
      <c r="E266" s="34" t="s">
        <v>1004</v>
      </c>
      <c r="F266" t="s">
        <v>934</v>
      </c>
      <c r="G266" t="s">
        <v>935</v>
      </c>
      <c r="H266" t="s">
        <v>936</v>
      </c>
      <c r="I266" t="s">
        <v>937</v>
      </c>
    </row>
    <row r="267" spans="1:9">
      <c r="A267" s="34" t="s">
        <v>30</v>
      </c>
      <c r="B267" s="35">
        <v>47043</v>
      </c>
      <c r="C267" s="34" t="s">
        <v>1013</v>
      </c>
      <c r="D267" s="34">
        <v>1</v>
      </c>
      <c r="E267" s="34" t="s">
        <v>1004</v>
      </c>
      <c r="F267" t="s">
        <v>934</v>
      </c>
      <c r="G267" t="s">
        <v>935</v>
      </c>
      <c r="H267" t="s">
        <v>936</v>
      </c>
      <c r="I267" t="s">
        <v>937</v>
      </c>
    </row>
    <row r="268" spans="1:9">
      <c r="A268" s="34" t="s">
        <v>30</v>
      </c>
      <c r="B268" s="35">
        <v>47059</v>
      </c>
      <c r="C268" s="34" t="s">
        <v>1014</v>
      </c>
      <c r="D268" s="34">
        <v>1</v>
      </c>
      <c r="E268" s="34" t="s">
        <v>1004</v>
      </c>
      <c r="F268" t="s">
        <v>934</v>
      </c>
      <c r="G268" t="s">
        <v>935</v>
      </c>
      <c r="H268" t="s">
        <v>936</v>
      </c>
      <c r="I268" t="s">
        <v>937</v>
      </c>
    </row>
    <row r="269" spans="1:9">
      <c r="A269" s="34" t="s">
        <v>30</v>
      </c>
      <c r="B269" s="35">
        <v>47112</v>
      </c>
      <c r="C269" s="34" t="s">
        <v>1015</v>
      </c>
      <c r="D269" s="34">
        <v>1</v>
      </c>
      <c r="E269" s="34" t="s">
        <v>1004</v>
      </c>
      <c r="F269" t="s">
        <v>934</v>
      </c>
      <c r="G269" t="s">
        <v>935</v>
      </c>
      <c r="H269" t="s">
        <v>936</v>
      </c>
      <c r="I269" t="s">
        <v>937</v>
      </c>
    </row>
    <row r="270" spans="1:9">
      <c r="A270" s="34" t="s">
        <v>36</v>
      </c>
      <c r="B270" s="35">
        <v>46023</v>
      </c>
      <c r="C270" s="34" t="s">
        <v>1019</v>
      </c>
      <c r="D270" s="34">
        <v>1</v>
      </c>
      <c r="E270" s="34" t="s">
        <v>1020</v>
      </c>
      <c r="F270" t="s">
        <v>934</v>
      </c>
      <c r="G270" t="s">
        <v>935</v>
      </c>
      <c r="H270" t="s">
        <v>936</v>
      </c>
      <c r="I270" t="s">
        <v>937</v>
      </c>
    </row>
    <row r="271" spans="1:9">
      <c r="A271" s="34" t="s">
        <v>36</v>
      </c>
      <c r="B271" s="35">
        <v>46028</v>
      </c>
      <c r="C271" s="34" t="s">
        <v>1021</v>
      </c>
      <c r="D271" s="34">
        <v>1</v>
      </c>
      <c r="E271" s="34" t="s">
        <v>1020</v>
      </c>
      <c r="F271" t="s">
        <v>934</v>
      </c>
      <c r="G271" t="s">
        <v>935</v>
      </c>
      <c r="H271" t="s">
        <v>936</v>
      </c>
      <c r="I271" t="s">
        <v>937</v>
      </c>
    </row>
    <row r="272" spans="1:9">
      <c r="A272" s="34" t="s">
        <v>36</v>
      </c>
      <c r="B272" s="35">
        <v>46117</v>
      </c>
      <c r="C272" s="34" t="s">
        <v>1022</v>
      </c>
      <c r="D272" s="34">
        <v>1</v>
      </c>
      <c r="E272" s="34" t="s">
        <v>1020</v>
      </c>
      <c r="F272" t="s">
        <v>934</v>
      </c>
      <c r="G272" t="s">
        <v>935</v>
      </c>
      <c r="H272" t="s">
        <v>936</v>
      </c>
      <c r="I272" t="s">
        <v>937</v>
      </c>
    </row>
    <row r="273" spans="1:9">
      <c r="A273" s="34" t="s">
        <v>36</v>
      </c>
      <c r="B273" s="35">
        <v>46118</v>
      </c>
      <c r="C273" s="34" t="s">
        <v>1023</v>
      </c>
      <c r="D273" s="34">
        <v>1</v>
      </c>
      <c r="E273" s="34" t="s">
        <v>1020</v>
      </c>
      <c r="F273" t="s">
        <v>934</v>
      </c>
      <c r="G273" t="s">
        <v>935</v>
      </c>
      <c r="H273" t="s">
        <v>936</v>
      </c>
      <c r="I273" t="s">
        <v>937</v>
      </c>
    </row>
    <row r="274" spans="1:9">
      <c r="A274" s="34" t="s">
        <v>36</v>
      </c>
      <c r="B274" s="35">
        <v>46137</v>
      </c>
      <c r="C274" s="34" t="s">
        <v>1024</v>
      </c>
      <c r="D274" s="34">
        <v>1</v>
      </c>
      <c r="E274" s="34" t="s">
        <v>1020</v>
      </c>
      <c r="F274" t="s">
        <v>934</v>
      </c>
      <c r="G274" t="s">
        <v>935</v>
      </c>
      <c r="H274" t="s">
        <v>936</v>
      </c>
      <c r="I274" t="s">
        <v>937</v>
      </c>
    </row>
    <row r="275" spans="1:9">
      <c r="A275" s="34" t="s">
        <v>36</v>
      </c>
      <c r="B275" s="35">
        <v>46143</v>
      </c>
      <c r="C275" s="34" t="s">
        <v>1025</v>
      </c>
      <c r="D275" s="34">
        <v>1</v>
      </c>
      <c r="E275" s="34" t="s">
        <v>1020</v>
      </c>
      <c r="F275" t="s">
        <v>934</v>
      </c>
      <c r="G275" t="s">
        <v>935</v>
      </c>
      <c r="H275" t="s">
        <v>936</v>
      </c>
      <c r="I275" t="s">
        <v>937</v>
      </c>
    </row>
    <row r="276" spans="1:9">
      <c r="A276" s="34" t="s">
        <v>36</v>
      </c>
      <c r="B276" s="35">
        <v>46175</v>
      </c>
      <c r="C276" s="34" t="s">
        <v>1026</v>
      </c>
      <c r="D276" s="34">
        <v>1</v>
      </c>
      <c r="E276" s="34" t="s">
        <v>1020</v>
      </c>
      <c r="F276" t="s">
        <v>934</v>
      </c>
      <c r="G276" t="s">
        <v>935</v>
      </c>
      <c r="H276" t="s">
        <v>936</v>
      </c>
      <c r="I276" t="s">
        <v>937</v>
      </c>
    </row>
    <row r="277" spans="1:9">
      <c r="A277" s="34" t="s">
        <v>36</v>
      </c>
      <c r="B277" s="35">
        <v>46249</v>
      </c>
      <c r="C277" s="34" t="s">
        <v>1027</v>
      </c>
      <c r="D277" s="34">
        <v>1</v>
      </c>
      <c r="E277" s="34" t="s">
        <v>1020</v>
      </c>
      <c r="F277" t="s">
        <v>934</v>
      </c>
      <c r="G277" t="s">
        <v>935</v>
      </c>
      <c r="H277" t="s">
        <v>936</v>
      </c>
      <c r="I277" t="s">
        <v>937</v>
      </c>
    </row>
    <row r="278" spans="1:9">
      <c r="A278" s="34" t="s">
        <v>36</v>
      </c>
      <c r="B278" s="35">
        <v>46299</v>
      </c>
      <c r="C278" s="34" t="s">
        <v>1028</v>
      </c>
      <c r="D278" s="34">
        <v>1</v>
      </c>
      <c r="E278" s="34" t="s">
        <v>1020</v>
      </c>
      <c r="F278" t="s">
        <v>934</v>
      </c>
      <c r="G278" t="s">
        <v>935</v>
      </c>
      <c r="H278" t="s">
        <v>936</v>
      </c>
      <c r="I278" t="s">
        <v>937</v>
      </c>
    </row>
    <row r="279" spans="1:9">
      <c r="A279" s="34" t="s">
        <v>36</v>
      </c>
      <c r="B279" s="35">
        <v>46327</v>
      </c>
      <c r="C279" s="34" t="s">
        <v>1029</v>
      </c>
      <c r="D279" s="34">
        <v>1</v>
      </c>
      <c r="E279" s="34" t="s">
        <v>1020</v>
      </c>
      <c r="F279" t="s">
        <v>934</v>
      </c>
      <c r="G279" t="s">
        <v>935</v>
      </c>
      <c r="H279" t="s">
        <v>936</v>
      </c>
      <c r="I279" t="s">
        <v>937</v>
      </c>
    </row>
    <row r="280" spans="1:9">
      <c r="A280" s="34" t="s">
        <v>36</v>
      </c>
      <c r="B280" s="35">
        <v>46364</v>
      </c>
      <c r="C280" s="34" t="s">
        <v>1030</v>
      </c>
      <c r="D280" s="34">
        <v>1</v>
      </c>
      <c r="E280" s="34" t="s">
        <v>1020</v>
      </c>
      <c r="F280" t="s">
        <v>934</v>
      </c>
      <c r="G280" t="s">
        <v>935</v>
      </c>
      <c r="H280" t="s">
        <v>936</v>
      </c>
      <c r="I280" t="s">
        <v>937</v>
      </c>
    </row>
    <row r="281" spans="1:9">
      <c r="A281" s="34" t="s">
        <v>36</v>
      </c>
      <c r="B281" s="35">
        <v>46381</v>
      </c>
      <c r="C281" s="34" t="s">
        <v>1031</v>
      </c>
      <c r="D281" s="34">
        <v>1</v>
      </c>
      <c r="E281" s="34" t="s">
        <v>1020</v>
      </c>
      <c r="F281" t="s">
        <v>934</v>
      </c>
      <c r="G281" t="s">
        <v>935</v>
      </c>
      <c r="H281" t="s">
        <v>936</v>
      </c>
      <c r="I281" t="s">
        <v>937</v>
      </c>
    </row>
    <row r="282" spans="1:9">
      <c r="A282" s="34" t="s">
        <v>36</v>
      </c>
      <c r="B282" s="35">
        <v>46382</v>
      </c>
      <c r="C282" s="34" t="s">
        <v>1032</v>
      </c>
      <c r="D282" s="34">
        <v>1</v>
      </c>
      <c r="E282" s="34" t="s">
        <v>1020</v>
      </c>
      <c r="F282" t="s">
        <v>934</v>
      </c>
      <c r="G282" t="s">
        <v>935</v>
      </c>
      <c r="H282" t="s">
        <v>936</v>
      </c>
      <c r="I282" t="s">
        <v>937</v>
      </c>
    </row>
    <row r="283" spans="1:9">
      <c r="A283" s="34" t="s">
        <v>36</v>
      </c>
      <c r="B283" s="35">
        <v>46388</v>
      </c>
      <c r="C283" s="34" t="s">
        <v>1019</v>
      </c>
      <c r="D283" s="34">
        <v>1</v>
      </c>
      <c r="E283" s="34" t="s">
        <v>1020</v>
      </c>
      <c r="F283" t="s">
        <v>934</v>
      </c>
      <c r="G283" t="s">
        <v>935</v>
      </c>
      <c r="H283" t="s">
        <v>936</v>
      </c>
      <c r="I283" t="s">
        <v>937</v>
      </c>
    </row>
    <row r="284" spans="1:9">
      <c r="A284" s="34" t="s">
        <v>36</v>
      </c>
      <c r="B284" s="35">
        <v>46393</v>
      </c>
      <c r="C284" s="34" t="s">
        <v>1021</v>
      </c>
      <c r="D284" s="34">
        <v>1</v>
      </c>
      <c r="E284" s="34" t="s">
        <v>1020</v>
      </c>
      <c r="F284" t="s">
        <v>934</v>
      </c>
      <c r="G284" t="s">
        <v>935</v>
      </c>
      <c r="H284" t="s">
        <v>936</v>
      </c>
      <c r="I284" t="s">
        <v>937</v>
      </c>
    </row>
    <row r="285" spans="1:9">
      <c r="A285" s="34" t="s">
        <v>36</v>
      </c>
      <c r="B285" s="35">
        <v>46474</v>
      </c>
      <c r="C285" s="34" t="s">
        <v>1022</v>
      </c>
      <c r="D285" s="34">
        <v>1</v>
      </c>
      <c r="E285" s="34" t="s">
        <v>1020</v>
      </c>
      <c r="F285" t="s">
        <v>934</v>
      </c>
      <c r="G285" t="s">
        <v>935</v>
      </c>
      <c r="H285" t="s">
        <v>936</v>
      </c>
      <c r="I285" t="s">
        <v>937</v>
      </c>
    </row>
    <row r="286" spans="1:9">
      <c r="A286" s="34" t="s">
        <v>36</v>
      </c>
      <c r="B286" s="35">
        <v>46475</v>
      </c>
      <c r="C286" s="34" t="s">
        <v>1023</v>
      </c>
      <c r="D286" s="34">
        <v>1</v>
      </c>
      <c r="E286" s="34" t="s">
        <v>1020</v>
      </c>
      <c r="F286" t="s">
        <v>934</v>
      </c>
      <c r="G286" t="s">
        <v>935</v>
      </c>
      <c r="H286" t="s">
        <v>936</v>
      </c>
      <c r="I286" t="s">
        <v>937</v>
      </c>
    </row>
    <row r="287" spans="1:9">
      <c r="A287" s="34" t="s">
        <v>36</v>
      </c>
      <c r="B287" s="35">
        <v>46502</v>
      </c>
      <c r="C287" s="34" t="s">
        <v>1024</v>
      </c>
      <c r="D287" s="34">
        <v>1</v>
      </c>
      <c r="E287" s="34" t="s">
        <v>1020</v>
      </c>
      <c r="F287" t="s">
        <v>934</v>
      </c>
      <c r="G287" t="s">
        <v>935</v>
      </c>
      <c r="H287" t="s">
        <v>936</v>
      </c>
      <c r="I287" t="s">
        <v>937</v>
      </c>
    </row>
    <row r="288" spans="1:9">
      <c r="A288" s="34" t="s">
        <v>36</v>
      </c>
      <c r="B288" s="35">
        <v>46508</v>
      </c>
      <c r="C288" s="34" t="s">
        <v>1025</v>
      </c>
      <c r="D288" s="34">
        <v>1</v>
      </c>
      <c r="E288" s="34" t="s">
        <v>1020</v>
      </c>
      <c r="F288" t="s">
        <v>934</v>
      </c>
      <c r="G288" t="s">
        <v>935</v>
      </c>
      <c r="H288" t="s">
        <v>936</v>
      </c>
      <c r="I288" t="s">
        <v>937</v>
      </c>
    </row>
    <row r="289" spans="1:9">
      <c r="A289" s="34" t="s">
        <v>36</v>
      </c>
      <c r="B289" s="35">
        <v>46540</v>
      </c>
      <c r="C289" s="34" t="s">
        <v>1026</v>
      </c>
      <c r="D289" s="34">
        <v>1</v>
      </c>
      <c r="E289" s="34" t="s">
        <v>1020</v>
      </c>
      <c r="F289" t="s">
        <v>934</v>
      </c>
      <c r="G289" t="s">
        <v>935</v>
      </c>
      <c r="H289" t="s">
        <v>936</v>
      </c>
      <c r="I289" t="s">
        <v>937</v>
      </c>
    </row>
    <row r="290" spans="1:9">
      <c r="A290" s="34" t="s">
        <v>36</v>
      </c>
      <c r="B290" s="35">
        <v>46614</v>
      </c>
      <c r="C290" s="34" t="s">
        <v>1027</v>
      </c>
      <c r="D290" s="34">
        <v>1</v>
      </c>
      <c r="E290" s="34" t="s">
        <v>1020</v>
      </c>
      <c r="F290" t="s">
        <v>934</v>
      </c>
      <c r="G290" t="s">
        <v>935</v>
      </c>
      <c r="H290" t="s">
        <v>936</v>
      </c>
      <c r="I290" t="s">
        <v>937</v>
      </c>
    </row>
    <row r="291" spans="1:9">
      <c r="A291" s="34" t="s">
        <v>36</v>
      </c>
      <c r="B291" s="35">
        <v>46664</v>
      </c>
      <c r="C291" s="34" t="s">
        <v>1028</v>
      </c>
      <c r="D291" s="34">
        <v>1</v>
      </c>
      <c r="E291" s="34" t="s">
        <v>1020</v>
      </c>
      <c r="F291" t="s">
        <v>934</v>
      </c>
      <c r="G291" t="s">
        <v>935</v>
      </c>
      <c r="H291" t="s">
        <v>936</v>
      </c>
      <c r="I291" t="s">
        <v>937</v>
      </c>
    </row>
    <row r="292" spans="1:9">
      <c r="A292" s="34" t="s">
        <v>36</v>
      </c>
      <c r="B292" s="35">
        <v>46692</v>
      </c>
      <c r="C292" s="34" t="s">
        <v>1033</v>
      </c>
      <c r="D292" s="34">
        <v>1</v>
      </c>
      <c r="E292" s="34" t="s">
        <v>1020</v>
      </c>
      <c r="F292" t="s">
        <v>934</v>
      </c>
      <c r="G292" t="s">
        <v>935</v>
      </c>
      <c r="H292" t="s">
        <v>936</v>
      </c>
      <c r="I292" t="s">
        <v>937</v>
      </c>
    </row>
    <row r="293" spans="1:9">
      <c r="A293" s="34" t="s">
        <v>36</v>
      </c>
      <c r="B293" s="35">
        <v>46698</v>
      </c>
      <c r="C293" s="34" t="s">
        <v>1034</v>
      </c>
      <c r="D293" s="34">
        <v>1</v>
      </c>
      <c r="E293" s="34" t="s">
        <v>1020</v>
      </c>
      <c r="F293" t="s">
        <v>934</v>
      </c>
      <c r="G293" t="s">
        <v>935</v>
      </c>
      <c r="H293" t="s">
        <v>936</v>
      </c>
      <c r="I293" t="s">
        <v>937</v>
      </c>
    </row>
    <row r="294" spans="1:9">
      <c r="A294" s="34" t="s">
        <v>36</v>
      </c>
      <c r="B294" s="35">
        <v>46729</v>
      </c>
      <c r="C294" s="34" t="s">
        <v>1030</v>
      </c>
      <c r="D294" s="34">
        <v>1</v>
      </c>
      <c r="E294" s="34" t="s">
        <v>1020</v>
      </c>
      <c r="F294" t="s">
        <v>934</v>
      </c>
      <c r="G294" t="s">
        <v>935</v>
      </c>
      <c r="H294" t="s">
        <v>936</v>
      </c>
      <c r="I294" t="s">
        <v>937</v>
      </c>
    </row>
    <row r="295" spans="1:9">
      <c r="A295" s="34" t="s">
        <v>36</v>
      </c>
      <c r="B295" s="35">
        <v>46746</v>
      </c>
      <c r="C295" s="34" t="s">
        <v>1031</v>
      </c>
      <c r="D295" s="34">
        <v>1</v>
      </c>
      <c r="E295" s="34" t="s">
        <v>1020</v>
      </c>
      <c r="F295" t="s">
        <v>934</v>
      </c>
      <c r="G295" t="s">
        <v>935</v>
      </c>
      <c r="H295" t="s">
        <v>936</v>
      </c>
      <c r="I295" t="s">
        <v>937</v>
      </c>
    </row>
    <row r="296" spans="1:9">
      <c r="A296" s="34" t="s">
        <v>36</v>
      </c>
      <c r="B296" s="35">
        <v>46747</v>
      </c>
      <c r="C296" s="34" t="s">
        <v>1032</v>
      </c>
      <c r="D296" s="34">
        <v>1</v>
      </c>
      <c r="E296" s="34" t="s">
        <v>1020</v>
      </c>
      <c r="F296" t="s">
        <v>934</v>
      </c>
      <c r="G296" t="s">
        <v>935</v>
      </c>
      <c r="H296" t="s">
        <v>936</v>
      </c>
      <c r="I296" t="s">
        <v>937</v>
      </c>
    </row>
    <row r="297" spans="1:9">
      <c r="A297" s="34" t="s">
        <v>36</v>
      </c>
      <c r="B297" s="35">
        <v>46753</v>
      </c>
      <c r="C297" s="34" t="s">
        <v>1019</v>
      </c>
      <c r="D297" s="34">
        <v>1</v>
      </c>
      <c r="E297" s="34" t="s">
        <v>1020</v>
      </c>
      <c r="F297" t="s">
        <v>934</v>
      </c>
      <c r="G297" t="s">
        <v>935</v>
      </c>
      <c r="H297" t="s">
        <v>936</v>
      </c>
      <c r="I297" t="s">
        <v>937</v>
      </c>
    </row>
    <row r="298" spans="1:9">
      <c r="A298" s="34" t="s">
        <v>36</v>
      </c>
      <c r="B298" s="35">
        <v>46758</v>
      </c>
      <c r="C298" s="34" t="s">
        <v>1021</v>
      </c>
      <c r="D298" s="34">
        <v>1</v>
      </c>
      <c r="E298" s="34" t="s">
        <v>1020</v>
      </c>
      <c r="F298" t="s">
        <v>934</v>
      </c>
      <c r="G298" t="s">
        <v>935</v>
      </c>
      <c r="H298" t="s">
        <v>936</v>
      </c>
      <c r="I298" t="s">
        <v>937</v>
      </c>
    </row>
    <row r="299" spans="1:9">
      <c r="A299" s="34" t="s">
        <v>36</v>
      </c>
      <c r="B299" s="35">
        <v>46859</v>
      </c>
      <c r="C299" s="34" t="s">
        <v>1022</v>
      </c>
      <c r="D299" s="34">
        <v>1</v>
      </c>
      <c r="E299" s="34" t="s">
        <v>1020</v>
      </c>
      <c r="F299" t="s">
        <v>934</v>
      </c>
      <c r="G299" t="s">
        <v>935</v>
      </c>
      <c r="H299" t="s">
        <v>936</v>
      </c>
      <c r="I299" t="s">
        <v>937</v>
      </c>
    </row>
    <row r="300" spans="1:9">
      <c r="A300" s="34" t="s">
        <v>36</v>
      </c>
      <c r="B300" s="35">
        <v>46860</v>
      </c>
      <c r="C300" s="34" t="s">
        <v>1023</v>
      </c>
      <c r="D300" s="34">
        <v>1</v>
      </c>
      <c r="E300" s="34" t="s">
        <v>1020</v>
      </c>
      <c r="F300" t="s">
        <v>934</v>
      </c>
      <c r="G300" t="s">
        <v>935</v>
      </c>
      <c r="H300" t="s">
        <v>936</v>
      </c>
      <c r="I300" t="s">
        <v>937</v>
      </c>
    </row>
    <row r="301" spans="1:9">
      <c r="A301" s="34" t="s">
        <v>36</v>
      </c>
      <c r="B301" s="35">
        <v>46868</v>
      </c>
      <c r="C301" s="34" t="s">
        <v>1024</v>
      </c>
      <c r="D301" s="34">
        <v>1</v>
      </c>
      <c r="E301" s="34" t="s">
        <v>1020</v>
      </c>
      <c r="F301" t="s">
        <v>934</v>
      </c>
      <c r="G301" t="s">
        <v>935</v>
      </c>
      <c r="H301" t="s">
        <v>936</v>
      </c>
      <c r="I301" t="s">
        <v>937</v>
      </c>
    </row>
    <row r="302" spans="1:9">
      <c r="A302" s="34" t="s">
        <v>36</v>
      </c>
      <c r="B302" s="35">
        <v>46874</v>
      </c>
      <c r="C302" s="34" t="s">
        <v>1025</v>
      </c>
      <c r="D302" s="34">
        <v>1</v>
      </c>
      <c r="E302" s="34" t="s">
        <v>1020</v>
      </c>
      <c r="F302" t="s">
        <v>934</v>
      </c>
      <c r="G302" t="s">
        <v>935</v>
      </c>
      <c r="H302" t="s">
        <v>936</v>
      </c>
      <c r="I302" t="s">
        <v>937</v>
      </c>
    </row>
    <row r="303" spans="1:9">
      <c r="A303" s="34" t="s">
        <v>36</v>
      </c>
      <c r="B303" s="35">
        <v>46906</v>
      </c>
      <c r="C303" s="34" t="s">
        <v>1026</v>
      </c>
      <c r="D303" s="34">
        <v>1</v>
      </c>
      <c r="E303" s="34" t="s">
        <v>1020</v>
      </c>
      <c r="F303" t="s">
        <v>934</v>
      </c>
      <c r="G303" t="s">
        <v>935</v>
      </c>
      <c r="H303" t="s">
        <v>936</v>
      </c>
      <c r="I303" t="s">
        <v>937</v>
      </c>
    </row>
    <row r="304" spans="1:9">
      <c r="A304" s="34" t="s">
        <v>36</v>
      </c>
      <c r="B304" s="35">
        <v>46980</v>
      </c>
      <c r="C304" s="34" t="s">
        <v>1027</v>
      </c>
      <c r="D304" s="34">
        <v>1</v>
      </c>
      <c r="E304" s="34" t="s">
        <v>1020</v>
      </c>
      <c r="F304" t="s">
        <v>934</v>
      </c>
      <c r="G304" t="s">
        <v>935</v>
      </c>
      <c r="H304" t="s">
        <v>936</v>
      </c>
      <c r="I304" t="s">
        <v>937</v>
      </c>
    </row>
    <row r="305" spans="1:9">
      <c r="A305" s="34" t="s">
        <v>36</v>
      </c>
      <c r="B305" s="35">
        <v>47030</v>
      </c>
      <c r="C305" s="34" t="s">
        <v>1028</v>
      </c>
      <c r="D305" s="34">
        <v>1</v>
      </c>
      <c r="E305" s="34" t="s">
        <v>1020</v>
      </c>
      <c r="F305" t="s">
        <v>934</v>
      </c>
      <c r="G305" t="s">
        <v>935</v>
      </c>
      <c r="H305" t="s">
        <v>936</v>
      </c>
      <c r="I305" t="s">
        <v>937</v>
      </c>
    </row>
    <row r="306" spans="1:9">
      <c r="A306" s="34" t="s">
        <v>36</v>
      </c>
      <c r="B306" s="35">
        <v>47058</v>
      </c>
      <c r="C306" s="34" t="s">
        <v>1033</v>
      </c>
      <c r="D306" s="34">
        <v>1</v>
      </c>
      <c r="E306" s="34" t="s">
        <v>1020</v>
      </c>
      <c r="F306" t="s">
        <v>934</v>
      </c>
      <c r="G306" t="s">
        <v>935</v>
      </c>
      <c r="H306" t="s">
        <v>936</v>
      </c>
      <c r="I306" t="s">
        <v>937</v>
      </c>
    </row>
    <row r="307" spans="1:9">
      <c r="A307" s="34" t="s">
        <v>36</v>
      </c>
      <c r="B307" s="35">
        <v>47062</v>
      </c>
      <c r="C307" s="34" t="s">
        <v>1034</v>
      </c>
      <c r="D307" s="34">
        <v>1</v>
      </c>
      <c r="E307" s="34" t="s">
        <v>1020</v>
      </c>
      <c r="F307" t="s">
        <v>934</v>
      </c>
      <c r="G307" t="s">
        <v>935</v>
      </c>
      <c r="H307" t="s">
        <v>936</v>
      </c>
      <c r="I307" t="s">
        <v>937</v>
      </c>
    </row>
    <row r="308" spans="1:9">
      <c r="A308" s="34" t="s">
        <v>36</v>
      </c>
      <c r="B308" s="35">
        <v>47095</v>
      </c>
      <c r="C308" s="34" t="s">
        <v>1030</v>
      </c>
      <c r="D308" s="34">
        <v>1</v>
      </c>
      <c r="E308" s="34" t="s">
        <v>1020</v>
      </c>
      <c r="F308" t="s">
        <v>934</v>
      </c>
      <c r="G308" t="s">
        <v>935</v>
      </c>
      <c r="H308" t="s">
        <v>936</v>
      </c>
      <c r="I308" t="s">
        <v>937</v>
      </c>
    </row>
    <row r="309" spans="1:9">
      <c r="A309" s="34" t="s">
        <v>36</v>
      </c>
      <c r="B309" s="35">
        <v>47112</v>
      </c>
      <c r="C309" s="34" t="s">
        <v>1031</v>
      </c>
      <c r="D309" s="34">
        <v>1</v>
      </c>
      <c r="E309" s="34" t="s">
        <v>1020</v>
      </c>
      <c r="F309" t="s">
        <v>934</v>
      </c>
      <c r="G309" t="s">
        <v>935</v>
      </c>
      <c r="H309" t="s">
        <v>936</v>
      </c>
      <c r="I309" t="s">
        <v>937</v>
      </c>
    </row>
    <row r="310" spans="1:9">
      <c r="A310" s="34" t="s">
        <v>36</v>
      </c>
      <c r="B310" s="35">
        <v>47113</v>
      </c>
      <c r="C310" s="34" t="s">
        <v>1032</v>
      </c>
      <c r="D310" s="34">
        <v>1</v>
      </c>
      <c r="E310" s="34" t="s">
        <v>1020</v>
      </c>
      <c r="F310" t="s">
        <v>934</v>
      </c>
      <c r="G310" t="s">
        <v>935</v>
      </c>
      <c r="H310" t="s">
        <v>936</v>
      </c>
      <c r="I310" t="s">
        <v>937</v>
      </c>
    </row>
    <row r="311" spans="1:9">
      <c r="A311" s="34" t="s">
        <v>903</v>
      </c>
      <c r="B311" s="35">
        <v>46023</v>
      </c>
      <c r="C311" s="34" t="s">
        <v>958</v>
      </c>
      <c r="D311" s="34">
        <v>1</v>
      </c>
      <c r="E311" s="34" t="s">
        <v>1035</v>
      </c>
      <c r="F311" t="s">
        <v>934</v>
      </c>
      <c r="G311" t="s">
        <v>935</v>
      </c>
      <c r="H311" t="s">
        <v>936</v>
      </c>
      <c r="I311" t="s">
        <v>937</v>
      </c>
    </row>
    <row r="312" spans="1:9">
      <c r="A312" s="34" t="s">
        <v>903</v>
      </c>
      <c r="B312" s="35">
        <v>46034</v>
      </c>
      <c r="C312" s="34" t="s">
        <v>1036</v>
      </c>
      <c r="D312" s="34">
        <v>1</v>
      </c>
      <c r="E312" s="34" t="s">
        <v>1035</v>
      </c>
      <c r="F312" t="s">
        <v>934</v>
      </c>
      <c r="G312" t="s">
        <v>935</v>
      </c>
      <c r="H312" t="s">
        <v>936</v>
      </c>
      <c r="I312" t="s">
        <v>937</v>
      </c>
    </row>
    <row r="313" spans="1:9">
      <c r="A313" s="34" t="s">
        <v>903</v>
      </c>
      <c r="B313" s="35">
        <v>46064</v>
      </c>
      <c r="C313" s="34" t="s">
        <v>1037</v>
      </c>
      <c r="D313" s="34">
        <v>1</v>
      </c>
      <c r="E313" s="34" t="s">
        <v>1035</v>
      </c>
      <c r="F313" t="s">
        <v>934</v>
      </c>
      <c r="G313" t="s">
        <v>935</v>
      </c>
      <c r="H313" t="s">
        <v>936</v>
      </c>
      <c r="I313" t="s">
        <v>937</v>
      </c>
    </row>
    <row r="314" spans="1:9">
      <c r="A314" s="34" t="s">
        <v>903</v>
      </c>
      <c r="B314" s="35">
        <v>46076</v>
      </c>
      <c r="C314" s="34" t="s">
        <v>1038</v>
      </c>
      <c r="D314" s="34">
        <v>1</v>
      </c>
      <c r="E314" s="34" t="s">
        <v>1035</v>
      </c>
      <c r="F314" t="s">
        <v>934</v>
      </c>
      <c r="G314" t="s">
        <v>935</v>
      </c>
      <c r="H314" t="s">
        <v>936</v>
      </c>
      <c r="I314" t="s">
        <v>937</v>
      </c>
    </row>
    <row r="315" spans="1:9">
      <c r="A315" s="34" t="s">
        <v>903</v>
      </c>
      <c r="B315" s="35">
        <v>46101</v>
      </c>
      <c r="C315" s="34" t="s">
        <v>1039</v>
      </c>
      <c r="D315" s="34">
        <v>1</v>
      </c>
      <c r="E315" s="34" t="s">
        <v>1035</v>
      </c>
      <c r="F315" t="s">
        <v>934</v>
      </c>
      <c r="G315" t="s">
        <v>935</v>
      </c>
      <c r="H315" t="s">
        <v>936</v>
      </c>
      <c r="I315" t="s">
        <v>937</v>
      </c>
    </row>
    <row r="316" spans="1:9">
      <c r="A316" s="34" t="s">
        <v>903</v>
      </c>
      <c r="B316" s="35">
        <v>46141</v>
      </c>
      <c r="C316" s="34" t="s">
        <v>1040</v>
      </c>
      <c r="D316" s="34">
        <v>1</v>
      </c>
      <c r="E316" s="34" t="s">
        <v>1035</v>
      </c>
      <c r="F316" t="s">
        <v>934</v>
      </c>
      <c r="G316" t="s">
        <v>935</v>
      </c>
      <c r="H316" t="s">
        <v>936</v>
      </c>
      <c r="I316" t="s">
        <v>937</v>
      </c>
    </row>
    <row r="317" spans="1:9">
      <c r="A317" s="34" t="s">
        <v>903</v>
      </c>
      <c r="B317" s="35">
        <v>46145</v>
      </c>
      <c r="C317" s="34" t="s">
        <v>1041</v>
      </c>
      <c r="D317" s="34">
        <v>1</v>
      </c>
      <c r="E317" s="34" t="s">
        <v>1035</v>
      </c>
      <c r="F317" t="s">
        <v>934</v>
      </c>
      <c r="G317" t="s">
        <v>935</v>
      </c>
      <c r="H317" t="s">
        <v>936</v>
      </c>
      <c r="I317" t="s">
        <v>937</v>
      </c>
    </row>
    <row r="318" spans="1:9">
      <c r="A318" s="34" t="s">
        <v>903</v>
      </c>
      <c r="B318" s="35">
        <v>46146</v>
      </c>
      <c r="C318" s="34" t="s">
        <v>1042</v>
      </c>
      <c r="D318" s="34">
        <v>1</v>
      </c>
      <c r="E318" s="34" t="s">
        <v>1035</v>
      </c>
      <c r="F318" t="s">
        <v>934</v>
      </c>
      <c r="G318" t="s">
        <v>935</v>
      </c>
      <c r="H318" t="s">
        <v>936</v>
      </c>
      <c r="I318" t="s">
        <v>937</v>
      </c>
    </row>
    <row r="319" spans="1:9">
      <c r="A319" s="34" t="s">
        <v>903</v>
      </c>
      <c r="B319" s="35">
        <v>46147</v>
      </c>
      <c r="C319" s="34" t="s">
        <v>1043</v>
      </c>
      <c r="D319" s="34">
        <v>1</v>
      </c>
      <c r="E319" s="34" t="s">
        <v>1035</v>
      </c>
      <c r="F319" t="s">
        <v>934</v>
      </c>
      <c r="G319" t="s">
        <v>935</v>
      </c>
      <c r="H319" t="s">
        <v>936</v>
      </c>
      <c r="I319" t="s">
        <v>937</v>
      </c>
    </row>
    <row r="320" spans="1:9">
      <c r="A320" s="34" t="s">
        <v>903</v>
      </c>
      <c r="B320" s="35">
        <v>46148</v>
      </c>
      <c r="C320" s="34" t="s">
        <v>1044</v>
      </c>
      <c r="D320" s="34">
        <v>1</v>
      </c>
      <c r="E320" s="34" t="s">
        <v>1035</v>
      </c>
      <c r="F320" t="s">
        <v>934</v>
      </c>
      <c r="G320" t="s">
        <v>935</v>
      </c>
      <c r="H320" t="s">
        <v>936</v>
      </c>
      <c r="I320" t="s">
        <v>937</v>
      </c>
    </row>
    <row r="321" spans="1:9">
      <c r="A321" s="34" t="s">
        <v>903</v>
      </c>
      <c r="B321" s="35">
        <v>46223</v>
      </c>
      <c r="C321" s="34" t="s">
        <v>1045</v>
      </c>
      <c r="D321" s="34">
        <v>1</v>
      </c>
      <c r="E321" s="34" t="s">
        <v>1035</v>
      </c>
      <c r="F321" t="s">
        <v>934</v>
      </c>
      <c r="G321" t="s">
        <v>935</v>
      </c>
      <c r="H321" t="s">
        <v>936</v>
      </c>
      <c r="I321" t="s">
        <v>937</v>
      </c>
    </row>
    <row r="322" spans="1:9">
      <c r="A322" s="34" t="s">
        <v>903</v>
      </c>
      <c r="B322" s="35">
        <v>46245</v>
      </c>
      <c r="C322" s="34" t="s">
        <v>1046</v>
      </c>
      <c r="D322" s="34">
        <v>1</v>
      </c>
      <c r="E322" s="34" t="s">
        <v>1035</v>
      </c>
      <c r="F322" t="s">
        <v>934</v>
      </c>
      <c r="G322" t="s">
        <v>935</v>
      </c>
      <c r="H322" t="s">
        <v>936</v>
      </c>
      <c r="I322" t="s">
        <v>937</v>
      </c>
    </row>
    <row r="323" spans="1:9">
      <c r="A323" s="34" t="s">
        <v>903</v>
      </c>
      <c r="B323" s="35">
        <v>46286</v>
      </c>
      <c r="C323" s="34" t="s">
        <v>1047</v>
      </c>
      <c r="D323" s="34">
        <v>1</v>
      </c>
      <c r="E323" s="34" t="s">
        <v>1035</v>
      </c>
      <c r="F323" t="s">
        <v>934</v>
      </c>
      <c r="G323" t="s">
        <v>935</v>
      </c>
      <c r="H323" t="s">
        <v>936</v>
      </c>
      <c r="I323" t="s">
        <v>937</v>
      </c>
    </row>
    <row r="324" spans="1:9">
      <c r="A324" s="34" t="s">
        <v>903</v>
      </c>
      <c r="B324" s="35">
        <v>46287</v>
      </c>
      <c r="C324" s="34" t="s">
        <v>1048</v>
      </c>
      <c r="D324" s="34">
        <v>1</v>
      </c>
      <c r="E324" s="34" t="s">
        <v>1035</v>
      </c>
      <c r="F324" t="s">
        <v>934</v>
      </c>
      <c r="G324" t="s">
        <v>935</v>
      </c>
      <c r="H324" t="s">
        <v>936</v>
      </c>
      <c r="I324" t="s">
        <v>937</v>
      </c>
    </row>
    <row r="325" spans="1:9">
      <c r="A325" s="34" t="s">
        <v>903</v>
      </c>
      <c r="B325" s="35">
        <v>46288</v>
      </c>
      <c r="C325" s="34" t="s">
        <v>1049</v>
      </c>
      <c r="D325" s="34">
        <v>1</v>
      </c>
      <c r="E325" s="34" t="s">
        <v>1035</v>
      </c>
      <c r="F325" t="s">
        <v>934</v>
      </c>
      <c r="G325" t="s">
        <v>935</v>
      </c>
      <c r="H325" t="s">
        <v>936</v>
      </c>
      <c r="I325" t="s">
        <v>937</v>
      </c>
    </row>
    <row r="326" spans="1:9">
      <c r="A326" s="34" t="s">
        <v>903</v>
      </c>
      <c r="B326" s="35">
        <v>46307</v>
      </c>
      <c r="C326" s="34" t="s">
        <v>1050</v>
      </c>
      <c r="D326" s="34">
        <v>1</v>
      </c>
      <c r="E326" s="34" t="s">
        <v>1035</v>
      </c>
      <c r="F326" t="s">
        <v>934</v>
      </c>
      <c r="G326" t="s">
        <v>935</v>
      </c>
      <c r="H326" t="s">
        <v>936</v>
      </c>
      <c r="I326" t="s">
        <v>937</v>
      </c>
    </row>
    <row r="327" spans="1:9">
      <c r="A327" s="34" t="s">
        <v>903</v>
      </c>
      <c r="B327" s="35">
        <v>46329</v>
      </c>
      <c r="C327" s="34" t="s">
        <v>1051</v>
      </c>
      <c r="D327" s="34">
        <v>1</v>
      </c>
      <c r="E327" s="34" t="s">
        <v>1035</v>
      </c>
      <c r="F327" t="s">
        <v>934</v>
      </c>
      <c r="G327" t="s">
        <v>935</v>
      </c>
      <c r="H327" t="s">
        <v>936</v>
      </c>
      <c r="I327" t="s">
        <v>937</v>
      </c>
    </row>
    <row r="328" spans="1:9">
      <c r="A328" s="34" t="s">
        <v>903</v>
      </c>
      <c r="B328" s="35">
        <v>46349</v>
      </c>
      <c r="C328" s="34" t="s">
        <v>1052</v>
      </c>
      <c r="D328" s="34">
        <v>1</v>
      </c>
      <c r="E328" s="34" t="s">
        <v>1035</v>
      </c>
      <c r="F328" t="s">
        <v>934</v>
      </c>
      <c r="G328" t="s">
        <v>935</v>
      </c>
      <c r="H328" t="s">
        <v>936</v>
      </c>
      <c r="I328" t="s">
        <v>937</v>
      </c>
    </row>
    <row r="329" spans="1:9">
      <c r="A329" s="34" t="s">
        <v>903</v>
      </c>
      <c r="B329" s="35">
        <v>46388</v>
      </c>
      <c r="C329" s="34" t="s">
        <v>958</v>
      </c>
      <c r="D329" s="34">
        <v>1</v>
      </c>
      <c r="E329" s="34" t="s">
        <v>1035</v>
      </c>
      <c r="F329" t="s">
        <v>934</v>
      </c>
      <c r="G329" t="s">
        <v>935</v>
      </c>
      <c r="H329" t="s">
        <v>936</v>
      </c>
      <c r="I329" t="s">
        <v>937</v>
      </c>
    </row>
    <row r="330" spans="1:9">
      <c r="A330" s="34" t="s">
        <v>903</v>
      </c>
      <c r="B330" s="35">
        <v>46398</v>
      </c>
      <c r="C330" s="34" t="s">
        <v>1036</v>
      </c>
      <c r="D330" s="34">
        <v>1</v>
      </c>
      <c r="E330" s="34" t="s">
        <v>1035</v>
      </c>
      <c r="F330" t="s">
        <v>934</v>
      </c>
      <c r="G330" t="s">
        <v>935</v>
      </c>
      <c r="H330" t="s">
        <v>936</v>
      </c>
      <c r="I330" t="s">
        <v>937</v>
      </c>
    </row>
    <row r="331" spans="1:9">
      <c r="A331" s="34" t="s">
        <v>903</v>
      </c>
      <c r="B331" s="35">
        <v>46429</v>
      </c>
      <c r="C331" s="34" t="s">
        <v>1037</v>
      </c>
      <c r="D331" s="34">
        <v>1</v>
      </c>
      <c r="E331" s="34" t="s">
        <v>1035</v>
      </c>
      <c r="F331" t="s">
        <v>934</v>
      </c>
      <c r="G331" t="s">
        <v>935</v>
      </c>
      <c r="H331" t="s">
        <v>936</v>
      </c>
      <c r="I331" t="s">
        <v>937</v>
      </c>
    </row>
    <row r="332" spans="1:9">
      <c r="A332" s="34" t="s">
        <v>903</v>
      </c>
      <c r="B332" s="35">
        <v>46441</v>
      </c>
      <c r="C332" s="34" t="s">
        <v>1038</v>
      </c>
      <c r="D332" s="34">
        <v>1</v>
      </c>
      <c r="E332" s="34" t="s">
        <v>1035</v>
      </c>
      <c r="F332" t="s">
        <v>934</v>
      </c>
      <c r="G332" t="s">
        <v>935</v>
      </c>
      <c r="H332" t="s">
        <v>936</v>
      </c>
      <c r="I332" t="s">
        <v>937</v>
      </c>
    </row>
    <row r="333" spans="1:9">
      <c r="A333" s="34" t="s">
        <v>903</v>
      </c>
      <c r="B333" s="35">
        <v>46467</v>
      </c>
      <c r="C333" s="34" t="s">
        <v>1039</v>
      </c>
      <c r="D333" s="34">
        <v>1</v>
      </c>
      <c r="E333" s="34" t="s">
        <v>1035</v>
      </c>
      <c r="F333" t="s">
        <v>934</v>
      </c>
      <c r="G333" t="s">
        <v>935</v>
      </c>
      <c r="H333" t="s">
        <v>936</v>
      </c>
      <c r="I333" t="s">
        <v>937</v>
      </c>
    </row>
    <row r="334" spans="1:9">
      <c r="A334" s="34" t="s">
        <v>903</v>
      </c>
      <c r="B334" s="35">
        <v>46468</v>
      </c>
      <c r="C334" s="34" t="s">
        <v>1044</v>
      </c>
      <c r="D334" s="34">
        <v>1</v>
      </c>
      <c r="E334" s="34" t="s">
        <v>1035</v>
      </c>
      <c r="F334" t="s">
        <v>934</v>
      </c>
      <c r="G334" t="s">
        <v>935</v>
      </c>
      <c r="H334" t="s">
        <v>936</v>
      </c>
      <c r="I334" t="s">
        <v>937</v>
      </c>
    </row>
    <row r="335" spans="1:9">
      <c r="A335" s="34" t="s">
        <v>903</v>
      </c>
      <c r="B335" s="35">
        <v>46506</v>
      </c>
      <c r="C335" s="34" t="s">
        <v>1040</v>
      </c>
      <c r="D335" s="34">
        <v>1</v>
      </c>
      <c r="E335" s="34" t="s">
        <v>1035</v>
      </c>
      <c r="F335" t="s">
        <v>934</v>
      </c>
      <c r="G335" t="s">
        <v>935</v>
      </c>
      <c r="H335" t="s">
        <v>936</v>
      </c>
      <c r="I335" t="s">
        <v>937</v>
      </c>
    </row>
    <row r="336" spans="1:9">
      <c r="A336" s="34" t="s">
        <v>903</v>
      </c>
      <c r="B336" s="35">
        <v>46510</v>
      </c>
      <c r="C336" s="34" t="s">
        <v>1041</v>
      </c>
      <c r="D336" s="34">
        <v>1</v>
      </c>
      <c r="E336" s="34" t="s">
        <v>1035</v>
      </c>
      <c r="F336" t="s">
        <v>934</v>
      </c>
      <c r="G336" t="s">
        <v>935</v>
      </c>
      <c r="H336" t="s">
        <v>936</v>
      </c>
      <c r="I336" t="s">
        <v>937</v>
      </c>
    </row>
    <row r="337" spans="1:9">
      <c r="A337" s="34" t="s">
        <v>903</v>
      </c>
      <c r="B337" s="35">
        <v>46511</v>
      </c>
      <c r="C337" s="34" t="s">
        <v>1042</v>
      </c>
      <c r="D337" s="34">
        <v>1</v>
      </c>
      <c r="E337" s="34" t="s">
        <v>1035</v>
      </c>
      <c r="F337" t="s">
        <v>934</v>
      </c>
      <c r="G337" t="s">
        <v>935</v>
      </c>
      <c r="H337" t="s">
        <v>936</v>
      </c>
      <c r="I337" t="s">
        <v>937</v>
      </c>
    </row>
    <row r="338" spans="1:9">
      <c r="A338" s="34" t="s">
        <v>903</v>
      </c>
      <c r="B338" s="35">
        <v>46512</v>
      </c>
      <c r="C338" s="34" t="s">
        <v>1043</v>
      </c>
      <c r="D338" s="34">
        <v>1</v>
      </c>
      <c r="E338" s="34" t="s">
        <v>1035</v>
      </c>
      <c r="F338" t="s">
        <v>934</v>
      </c>
      <c r="G338" t="s">
        <v>935</v>
      </c>
      <c r="H338" t="s">
        <v>936</v>
      </c>
      <c r="I338" t="s">
        <v>937</v>
      </c>
    </row>
    <row r="339" spans="1:9">
      <c r="A339" s="34" t="s">
        <v>903</v>
      </c>
      <c r="B339" s="35">
        <v>46587</v>
      </c>
      <c r="C339" s="34" t="s">
        <v>1045</v>
      </c>
      <c r="D339" s="34">
        <v>1</v>
      </c>
      <c r="E339" s="34" t="s">
        <v>1035</v>
      </c>
      <c r="F339" t="s">
        <v>934</v>
      </c>
      <c r="G339" t="s">
        <v>935</v>
      </c>
      <c r="H339" t="s">
        <v>936</v>
      </c>
      <c r="I339" t="s">
        <v>937</v>
      </c>
    </row>
    <row r="340" spans="1:9">
      <c r="A340" s="34" t="s">
        <v>903</v>
      </c>
      <c r="B340" s="35">
        <v>46610</v>
      </c>
      <c r="C340" s="34" t="s">
        <v>1046</v>
      </c>
      <c r="D340" s="34">
        <v>1</v>
      </c>
      <c r="E340" s="34" t="s">
        <v>1035</v>
      </c>
      <c r="F340" t="s">
        <v>934</v>
      </c>
      <c r="G340" t="s">
        <v>935</v>
      </c>
      <c r="H340" t="s">
        <v>936</v>
      </c>
      <c r="I340" t="s">
        <v>937</v>
      </c>
    </row>
    <row r="341" spans="1:9">
      <c r="A341" s="34" t="s">
        <v>903</v>
      </c>
      <c r="B341" s="35">
        <v>46650</v>
      </c>
      <c r="C341" s="34" t="s">
        <v>1047</v>
      </c>
      <c r="D341" s="34">
        <v>1</v>
      </c>
      <c r="E341" s="34" t="s">
        <v>1035</v>
      </c>
      <c r="F341" t="s">
        <v>934</v>
      </c>
      <c r="G341" t="s">
        <v>935</v>
      </c>
      <c r="H341" t="s">
        <v>936</v>
      </c>
      <c r="I341" t="s">
        <v>937</v>
      </c>
    </row>
    <row r="342" spans="1:9">
      <c r="A342" s="34" t="s">
        <v>903</v>
      </c>
      <c r="B342" s="35">
        <v>46653</v>
      </c>
      <c r="C342" s="34" t="s">
        <v>1049</v>
      </c>
      <c r="D342" s="34">
        <v>1</v>
      </c>
      <c r="E342" s="34" t="s">
        <v>1035</v>
      </c>
      <c r="F342" t="s">
        <v>934</v>
      </c>
      <c r="G342" t="s">
        <v>935</v>
      </c>
      <c r="H342" t="s">
        <v>936</v>
      </c>
      <c r="I342" t="s">
        <v>937</v>
      </c>
    </row>
    <row r="343" spans="1:9">
      <c r="A343" s="34" t="s">
        <v>903</v>
      </c>
      <c r="B343" s="35">
        <v>46671</v>
      </c>
      <c r="C343" s="34" t="s">
        <v>1050</v>
      </c>
      <c r="D343" s="34">
        <v>1</v>
      </c>
      <c r="E343" s="34" t="s">
        <v>1035</v>
      </c>
      <c r="F343" t="s">
        <v>934</v>
      </c>
      <c r="G343" t="s">
        <v>935</v>
      </c>
      <c r="H343" t="s">
        <v>936</v>
      </c>
      <c r="I343" t="s">
        <v>937</v>
      </c>
    </row>
    <row r="344" spans="1:9">
      <c r="A344" s="34" t="s">
        <v>903</v>
      </c>
      <c r="B344" s="35">
        <v>46694</v>
      </c>
      <c r="C344" s="34" t="s">
        <v>1051</v>
      </c>
      <c r="D344" s="34">
        <v>1</v>
      </c>
      <c r="E344" s="34" t="s">
        <v>1035</v>
      </c>
      <c r="F344" t="s">
        <v>934</v>
      </c>
      <c r="G344" t="s">
        <v>935</v>
      </c>
      <c r="H344" t="s">
        <v>936</v>
      </c>
      <c r="I344" t="s">
        <v>937</v>
      </c>
    </row>
    <row r="345" spans="1:9">
      <c r="A345" s="34" t="s">
        <v>903</v>
      </c>
      <c r="B345" s="35">
        <v>46714</v>
      </c>
      <c r="C345" s="34" t="s">
        <v>1052</v>
      </c>
      <c r="D345" s="34">
        <v>1</v>
      </c>
      <c r="E345" s="34" t="s">
        <v>1035</v>
      </c>
      <c r="F345" t="s">
        <v>934</v>
      </c>
      <c r="G345" t="s">
        <v>935</v>
      </c>
      <c r="H345" t="s">
        <v>936</v>
      </c>
      <c r="I345" t="s">
        <v>937</v>
      </c>
    </row>
    <row r="346" spans="1:9">
      <c r="A346" s="34" t="s">
        <v>903</v>
      </c>
      <c r="B346" s="35">
        <v>46753</v>
      </c>
      <c r="C346" s="34" t="s">
        <v>958</v>
      </c>
      <c r="D346" s="34">
        <v>1</v>
      </c>
      <c r="E346" s="34" t="s">
        <v>1035</v>
      </c>
      <c r="F346" t="s">
        <v>934</v>
      </c>
      <c r="G346" t="s">
        <v>935</v>
      </c>
      <c r="H346" t="s">
        <v>936</v>
      </c>
      <c r="I346" t="s">
        <v>937</v>
      </c>
    </row>
    <row r="347" spans="1:9">
      <c r="A347" s="34" t="s">
        <v>903</v>
      </c>
      <c r="B347" s="35">
        <v>46762</v>
      </c>
      <c r="C347" s="34" t="s">
        <v>1036</v>
      </c>
      <c r="D347" s="34">
        <v>1</v>
      </c>
      <c r="E347" s="34" t="s">
        <v>1035</v>
      </c>
      <c r="F347" t="s">
        <v>934</v>
      </c>
      <c r="G347" t="s">
        <v>935</v>
      </c>
      <c r="H347" t="s">
        <v>936</v>
      </c>
      <c r="I347" t="s">
        <v>937</v>
      </c>
    </row>
    <row r="348" spans="1:9">
      <c r="A348" s="34" t="s">
        <v>903</v>
      </c>
      <c r="B348" s="35">
        <v>46794</v>
      </c>
      <c r="C348" s="34" t="s">
        <v>1037</v>
      </c>
      <c r="D348" s="34">
        <v>1</v>
      </c>
      <c r="E348" s="34" t="s">
        <v>1035</v>
      </c>
      <c r="F348" t="s">
        <v>934</v>
      </c>
      <c r="G348" t="s">
        <v>935</v>
      </c>
      <c r="H348" t="s">
        <v>936</v>
      </c>
      <c r="I348" t="s">
        <v>937</v>
      </c>
    </row>
    <row r="349" spans="1:9">
      <c r="A349" s="34" t="s">
        <v>903</v>
      </c>
      <c r="B349" s="35">
        <v>46806</v>
      </c>
      <c r="C349" s="34" t="s">
        <v>1038</v>
      </c>
      <c r="D349" s="34">
        <v>1</v>
      </c>
      <c r="E349" s="34" t="s">
        <v>1035</v>
      </c>
      <c r="F349" t="s">
        <v>934</v>
      </c>
      <c r="G349" t="s">
        <v>935</v>
      </c>
      <c r="H349" t="s">
        <v>936</v>
      </c>
      <c r="I349" t="s">
        <v>937</v>
      </c>
    </row>
    <row r="350" spans="1:9">
      <c r="A350" s="34" t="s">
        <v>903</v>
      </c>
      <c r="B350" s="35">
        <v>46832</v>
      </c>
      <c r="C350" s="34" t="s">
        <v>1039</v>
      </c>
      <c r="D350" s="34">
        <v>1</v>
      </c>
      <c r="E350" s="34" t="s">
        <v>1035</v>
      </c>
      <c r="F350" t="s">
        <v>934</v>
      </c>
      <c r="G350" t="s">
        <v>935</v>
      </c>
      <c r="H350" t="s">
        <v>936</v>
      </c>
      <c r="I350" t="s">
        <v>937</v>
      </c>
    </row>
    <row r="351" spans="1:9">
      <c r="A351" s="34" t="s">
        <v>903</v>
      </c>
      <c r="B351" s="35">
        <v>46872</v>
      </c>
      <c r="C351" s="34" t="s">
        <v>1040</v>
      </c>
      <c r="D351" s="34">
        <v>1</v>
      </c>
      <c r="E351" s="34" t="s">
        <v>1035</v>
      </c>
      <c r="F351" t="s">
        <v>934</v>
      </c>
      <c r="G351" t="s">
        <v>935</v>
      </c>
      <c r="H351" t="s">
        <v>936</v>
      </c>
      <c r="I351" t="s">
        <v>937</v>
      </c>
    </row>
    <row r="352" spans="1:9">
      <c r="A352" s="34" t="s">
        <v>903</v>
      </c>
      <c r="B352" s="35">
        <v>46876</v>
      </c>
      <c r="C352" s="34" t="s">
        <v>1041</v>
      </c>
      <c r="D352" s="34">
        <v>1</v>
      </c>
      <c r="E352" s="34" t="s">
        <v>1035</v>
      </c>
      <c r="F352" t="s">
        <v>934</v>
      </c>
      <c r="G352" t="s">
        <v>935</v>
      </c>
      <c r="H352" t="s">
        <v>936</v>
      </c>
      <c r="I352" t="s">
        <v>937</v>
      </c>
    </row>
    <row r="353" spans="1:9">
      <c r="A353" s="34" t="s">
        <v>903</v>
      </c>
      <c r="B353" s="35">
        <v>46877</v>
      </c>
      <c r="C353" s="34" t="s">
        <v>1042</v>
      </c>
      <c r="D353" s="34">
        <v>1</v>
      </c>
      <c r="E353" s="34" t="s">
        <v>1035</v>
      </c>
      <c r="F353" t="s">
        <v>934</v>
      </c>
      <c r="G353" t="s">
        <v>935</v>
      </c>
      <c r="H353" t="s">
        <v>936</v>
      </c>
      <c r="I353" t="s">
        <v>937</v>
      </c>
    </row>
    <row r="354" spans="1:9">
      <c r="A354" s="34" t="s">
        <v>903</v>
      </c>
      <c r="B354" s="35">
        <v>46878</v>
      </c>
      <c r="C354" s="34" t="s">
        <v>1043</v>
      </c>
      <c r="D354" s="34">
        <v>1</v>
      </c>
      <c r="E354" s="34" t="s">
        <v>1035</v>
      </c>
      <c r="F354" t="s">
        <v>934</v>
      </c>
      <c r="G354" t="s">
        <v>935</v>
      </c>
      <c r="H354" t="s">
        <v>936</v>
      </c>
      <c r="I354" t="s">
        <v>937</v>
      </c>
    </row>
    <row r="355" spans="1:9">
      <c r="A355" s="34" t="s">
        <v>903</v>
      </c>
      <c r="B355" s="35">
        <v>46951</v>
      </c>
      <c r="C355" s="34" t="s">
        <v>1045</v>
      </c>
      <c r="D355" s="34">
        <v>1</v>
      </c>
      <c r="E355" s="34" t="s">
        <v>1035</v>
      </c>
      <c r="F355" t="s">
        <v>934</v>
      </c>
      <c r="G355" t="s">
        <v>935</v>
      </c>
      <c r="H355" t="s">
        <v>936</v>
      </c>
      <c r="I355" t="s">
        <v>937</v>
      </c>
    </row>
    <row r="356" spans="1:9">
      <c r="A356" s="34" t="s">
        <v>903</v>
      </c>
      <c r="B356" s="35">
        <v>46976</v>
      </c>
      <c r="C356" s="34" t="s">
        <v>1046</v>
      </c>
      <c r="D356" s="34">
        <v>1</v>
      </c>
      <c r="E356" s="34" t="s">
        <v>1035</v>
      </c>
      <c r="F356" t="s">
        <v>934</v>
      </c>
      <c r="G356" t="s">
        <v>935</v>
      </c>
      <c r="H356" t="s">
        <v>936</v>
      </c>
      <c r="I356" t="s">
        <v>937</v>
      </c>
    </row>
    <row r="357" spans="1:9">
      <c r="A357" s="34" t="s">
        <v>903</v>
      </c>
      <c r="B357" s="35">
        <v>47014</v>
      </c>
      <c r="C357" s="34" t="s">
        <v>1047</v>
      </c>
      <c r="D357" s="34">
        <v>1</v>
      </c>
      <c r="E357" s="34" t="s">
        <v>1035</v>
      </c>
      <c r="F357" t="s">
        <v>934</v>
      </c>
      <c r="G357" t="s">
        <v>935</v>
      </c>
      <c r="H357" t="s">
        <v>936</v>
      </c>
      <c r="I357" t="s">
        <v>937</v>
      </c>
    </row>
    <row r="358" spans="1:9">
      <c r="A358" s="34" t="s">
        <v>903</v>
      </c>
      <c r="B358" s="35">
        <v>47018</v>
      </c>
      <c r="C358" s="34" t="s">
        <v>1049</v>
      </c>
      <c r="D358" s="34">
        <v>1</v>
      </c>
      <c r="E358" s="34" t="s">
        <v>1035</v>
      </c>
      <c r="F358" t="s">
        <v>934</v>
      </c>
      <c r="G358" t="s">
        <v>935</v>
      </c>
      <c r="H358" t="s">
        <v>936</v>
      </c>
      <c r="I358" t="s">
        <v>937</v>
      </c>
    </row>
    <row r="359" spans="1:9">
      <c r="A359" s="34" t="s">
        <v>903</v>
      </c>
      <c r="B359" s="35">
        <v>47035</v>
      </c>
      <c r="C359" s="34" t="s">
        <v>1050</v>
      </c>
      <c r="D359" s="34">
        <v>1</v>
      </c>
      <c r="E359" s="34" t="s">
        <v>1035</v>
      </c>
      <c r="F359" t="s">
        <v>934</v>
      </c>
      <c r="G359" t="s">
        <v>935</v>
      </c>
      <c r="H359" t="s">
        <v>936</v>
      </c>
      <c r="I359" t="s">
        <v>937</v>
      </c>
    </row>
    <row r="360" spans="1:9">
      <c r="A360" s="34" t="s">
        <v>903</v>
      </c>
      <c r="B360" s="35">
        <v>47060</v>
      </c>
      <c r="C360" s="34" t="s">
        <v>1051</v>
      </c>
      <c r="D360" s="34">
        <v>1</v>
      </c>
      <c r="E360" s="34" t="s">
        <v>1035</v>
      </c>
      <c r="F360" t="s">
        <v>934</v>
      </c>
      <c r="G360" t="s">
        <v>935</v>
      </c>
      <c r="H360" t="s">
        <v>936</v>
      </c>
      <c r="I360" t="s">
        <v>937</v>
      </c>
    </row>
    <row r="361" spans="1:9">
      <c r="A361" s="34" t="s">
        <v>903</v>
      </c>
      <c r="B361" s="35">
        <v>47080</v>
      </c>
      <c r="C361" s="34" t="s">
        <v>1052</v>
      </c>
      <c r="D361" s="34">
        <v>1</v>
      </c>
      <c r="E361" s="34" t="s">
        <v>1035</v>
      </c>
      <c r="F361" t="s">
        <v>934</v>
      </c>
      <c r="G361" t="s">
        <v>935</v>
      </c>
      <c r="H361" t="s">
        <v>936</v>
      </c>
      <c r="I361" t="s">
        <v>937</v>
      </c>
    </row>
    <row r="362" spans="1:9">
      <c r="A362" s="34" t="s">
        <v>901</v>
      </c>
      <c r="B362" s="35">
        <v>46023</v>
      </c>
      <c r="C362" s="34" t="s">
        <v>958</v>
      </c>
      <c r="D362" s="34">
        <v>1</v>
      </c>
      <c r="E362" s="34" t="s">
        <v>1053</v>
      </c>
      <c r="F362" t="s">
        <v>934</v>
      </c>
      <c r="G362" t="s">
        <v>935</v>
      </c>
      <c r="H362" t="s">
        <v>936</v>
      </c>
      <c r="I362" t="s">
        <v>937</v>
      </c>
    </row>
    <row r="363" spans="1:9">
      <c r="A363" s="34" t="s">
        <v>901</v>
      </c>
      <c r="B363" s="35">
        <v>46069</v>
      </c>
      <c r="C363" s="34" t="s">
        <v>1054</v>
      </c>
      <c r="D363" s="34">
        <v>1</v>
      </c>
      <c r="E363" s="34" t="s">
        <v>1053</v>
      </c>
      <c r="F363" t="s">
        <v>934</v>
      </c>
      <c r="G363" t="s">
        <v>935</v>
      </c>
      <c r="H363" t="s">
        <v>936</v>
      </c>
      <c r="I363" t="s">
        <v>937</v>
      </c>
    </row>
    <row r="364" spans="1:9">
      <c r="A364" s="34" t="s">
        <v>901</v>
      </c>
      <c r="B364" s="35">
        <v>46070</v>
      </c>
      <c r="C364" s="34" t="s">
        <v>1055</v>
      </c>
      <c r="D364" s="34">
        <v>1</v>
      </c>
      <c r="E364" s="34" t="s">
        <v>1053</v>
      </c>
      <c r="F364" t="s">
        <v>934</v>
      </c>
      <c r="G364" t="s">
        <v>935</v>
      </c>
      <c r="H364" t="s">
        <v>936</v>
      </c>
      <c r="I364" t="s">
        <v>937</v>
      </c>
    </row>
    <row r="365" spans="1:9">
      <c r="A365" s="34" t="s">
        <v>901</v>
      </c>
      <c r="B365" s="35">
        <v>46071</v>
      </c>
      <c r="C365" s="34" t="s">
        <v>1056</v>
      </c>
      <c r="D365" s="34">
        <v>1</v>
      </c>
      <c r="E365" s="34" t="s">
        <v>1053</v>
      </c>
      <c r="F365" t="s">
        <v>934</v>
      </c>
      <c r="G365" t="s">
        <v>935</v>
      </c>
      <c r="H365" t="s">
        <v>936</v>
      </c>
      <c r="I365" t="s">
        <v>937</v>
      </c>
    </row>
    <row r="366" spans="1:9">
      <c r="A366" s="34" t="s">
        <v>901</v>
      </c>
      <c r="B366" s="35">
        <v>46082</v>
      </c>
      <c r="C366" s="34" t="s">
        <v>1057</v>
      </c>
      <c r="D366" s="34">
        <v>1</v>
      </c>
      <c r="E366" s="34" t="s">
        <v>1053</v>
      </c>
      <c r="F366" t="s">
        <v>934</v>
      </c>
      <c r="G366" t="s">
        <v>935</v>
      </c>
      <c r="H366" t="s">
        <v>936</v>
      </c>
      <c r="I366" t="s">
        <v>937</v>
      </c>
    </row>
    <row r="367" spans="1:9">
      <c r="A367" s="34" t="s">
        <v>901</v>
      </c>
      <c r="B367" s="35">
        <v>46083</v>
      </c>
      <c r="C367" s="34" t="s">
        <v>1058</v>
      </c>
      <c r="D367" s="34">
        <v>1</v>
      </c>
      <c r="E367" s="34" t="s">
        <v>1053</v>
      </c>
      <c r="F367" t="s">
        <v>934</v>
      </c>
      <c r="G367" t="s">
        <v>935</v>
      </c>
      <c r="H367" t="s">
        <v>936</v>
      </c>
      <c r="I367" t="s">
        <v>937</v>
      </c>
    </row>
    <row r="368" spans="1:9">
      <c r="A368" s="34" t="s">
        <v>901</v>
      </c>
      <c r="B368" s="35">
        <v>46143</v>
      </c>
      <c r="C368" s="34" t="s">
        <v>962</v>
      </c>
      <c r="D368" s="34">
        <v>1</v>
      </c>
      <c r="E368" s="34" t="s">
        <v>1053</v>
      </c>
      <c r="F368" t="s">
        <v>934</v>
      </c>
      <c r="G368" t="s">
        <v>935</v>
      </c>
      <c r="H368" t="s">
        <v>936</v>
      </c>
      <c r="I368" t="s">
        <v>937</v>
      </c>
    </row>
    <row r="369" spans="1:9">
      <c r="A369" s="34" t="s">
        <v>901</v>
      </c>
      <c r="B369" s="35">
        <v>46147</v>
      </c>
      <c r="C369" s="34" t="s">
        <v>1043</v>
      </c>
      <c r="D369" s="34">
        <v>1</v>
      </c>
      <c r="E369" s="34" t="s">
        <v>1053</v>
      </c>
      <c r="F369" t="s">
        <v>934</v>
      </c>
      <c r="G369" t="s">
        <v>935</v>
      </c>
      <c r="H369" t="s">
        <v>936</v>
      </c>
      <c r="I369" t="s">
        <v>937</v>
      </c>
    </row>
    <row r="370" spans="1:9">
      <c r="A370" s="34" t="s">
        <v>901</v>
      </c>
      <c r="B370" s="35">
        <v>46166</v>
      </c>
      <c r="C370" s="34" t="s">
        <v>1059</v>
      </c>
      <c r="D370" s="34">
        <v>1</v>
      </c>
      <c r="E370" s="34" t="s">
        <v>1053</v>
      </c>
      <c r="F370" t="s">
        <v>934</v>
      </c>
      <c r="G370" t="s">
        <v>935</v>
      </c>
      <c r="H370" t="s">
        <v>936</v>
      </c>
      <c r="I370" t="s">
        <v>937</v>
      </c>
    </row>
    <row r="371" spans="1:9">
      <c r="A371" s="34" t="s">
        <v>901</v>
      </c>
      <c r="B371" s="35">
        <v>46167</v>
      </c>
      <c r="C371" s="34" t="s">
        <v>1060</v>
      </c>
      <c r="D371" s="34">
        <v>1</v>
      </c>
      <c r="E371" s="34" t="s">
        <v>1053</v>
      </c>
      <c r="F371" t="s">
        <v>934</v>
      </c>
      <c r="G371" t="s">
        <v>935</v>
      </c>
      <c r="H371" t="s">
        <v>936</v>
      </c>
      <c r="I371" t="s">
        <v>937</v>
      </c>
    </row>
    <row r="372" spans="1:9">
      <c r="A372" s="34" t="s">
        <v>901</v>
      </c>
      <c r="B372" s="35">
        <v>46176</v>
      </c>
      <c r="C372" s="34" t="s">
        <v>1061</v>
      </c>
      <c r="D372" s="34">
        <v>1</v>
      </c>
      <c r="E372" s="34" t="s">
        <v>1053</v>
      </c>
      <c r="F372" t="s">
        <v>934</v>
      </c>
      <c r="G372" t="s">
        <v>935</v>
      </c>
      <c r="H372" t="s">
        <v>936</v>
      </c>
      <c r="I372" t="s">
        <v>937</v>
      </c>
    </row>
    <row r="373" spans="1:9">
      <c r="A373" s="34" t="s">
        <v>901</v>
      </c>
      <c r="B373" s="35">
        <v>46179</v>
      </c>
      <c r="C373" s="34" t="s">
        <v>1062</v>
      </c>
      <c r="D373" s="34">
        <v>1</v>
      </c>
      <c r="E373" s="34" t="s">
        <v>1053</v>
      </c>
      <c r="F373" t="s">
        <v>934</v>
      </c>
      <c r="G373" t="s">
        <v>935</v>
      </c>
      <c r="H373" t="s">
        <v>936</v>
      </c>
      <c r="I373" t="s">
        <v>937</v>
      </c>
    </row>
    <row r="374" spans="1:9">
      <c r="A374" s="34" t="s">
        <v>901</v>
      </c>
      <c r="B374" s="35">
        <v>46220</v>
      </c>
      <c r="C374" s="34" t="s">
        <v>1041</v>
      </c>
      <c r="D374" s="34">
        <v>1</v>
      </c>
      <c r="E374" s="34" t="s">
        <v>1053</v>
      </c>
      <c r="F374" t="s">
        <v>934</v>
      </c>
      <c r="G374" t="s">
        <v>935</v>
      </c>
      <c r="H374" t="s">
        <v>936</v>
      </c>
      <c r="I374" t="s">
        <v>937</v>
      </c>
    </row>
    <row r="375" spans="1:9">
      <c r="A375" s="34" t="s">
        <v>901</v>
      </c>
      <c r="B375" s="35">
        <v>46249</v>
      </c>
      <c r="C375" s="34" t="s">
        <v>1063</v>
      </c>
      <c r="D375" s="34">
        <v>1</v>
      </c>
      <c r="E375" s="34" t="s">
        <v>1053</v>
      </c>
      <c r="F375" t="s">
        <v>934</v>
      </c>
      <c r="G375" t="s">
        <v>935</v>
      </c>
      <c r="H375" t="s">
        <v>936</v>
      </c>
      <c r="I375" t="s">
        <v>937</v>
      </c>
    </row>
    <row r="376" spans="1:9">
      <c r="A376" s="34" t="s">
        <v>901</v>
      </c>
      <c r="B376" s="35">
        <v>46251</v>
      </c>
      <c r="C376" s="34" t="s">
        <v>1064</v>
      </c>
      <c r="D376" s="34">
        <v>1</v>
      </c>
      <c r="E376" s="34" t="s">
        <v>1053</v>
      </c>
      <c r="F376" t="s">
        <v>934</v>
      </c>
      <c r="G376" t="s">
        <v>935</v>
      </c>
      <c r="H376" t="s">
        <v>936</v>
      </c>
      <c r="I376" t="s">
        <v>937</v>
      </c>
    </row>
    <row r="377" spans="1:9">
      <c r="A377" s="34" t="s">
        <v>901</v>
      </c>
      <c r="B377" s="35">
        <v>46289</v>
      </c>
      <c r="C377" s="34" t="s">
        <v>1065</v>
      </c>
      <c r="D377" s="34">
        <v>1</v>
      </c>
      <c r="E377" s="34" t="s">
        <v>1053</v>
      </c>
      <c r="F377" t="s">
        <v>934</v>
      </c>
      <c r="G377" t="s">
        <v>935</v>
      </c>
      <c r="H377" t="s">
        <v>936</v>
      </c>
      <c r="I377" t="s">
        <v>937</v>
      </c>
    </row>
    <row r="378" spans="1:9">
      <c r="A378" s="34" t="s">
        <v>901</v>
      </c>
      <c r="B378" s="35">
        <v>46290</v>
      </c>
      <c r="C378" s="34" t="s">
        <v>1066</v>
      </c>
      <c r="D378" s="34">
        <v>1</v>
      </c>
      <c r="E378" s="34" t="s">
        <v>1053</v>
      </c>
      <c r="F378" t="s">
        <v>934</v>
      </c>
      <c r="G378" t="s">
        <v>935</v>
      </c>
      <c r="H378" t="s">
        <v>936</v>
      </c>
      <c r="I378" t="s">
        <v>937</v>
      </c>
    </row>
    <row r="379" spans="1:9">
      <c r="A379" s="34" t="s">
        <v>901</v>
      </c>
      <c r="B379" s="35">
        <v>46291</v>
      </c>
      <c r="C379" s="34" t="s">
        <v>1067</v>
      </c>
      <c r="D379" s="34">
        <v>1</v>
      </c>
      <c r="E379" s="34" t="s">
        <v>1053</v>
      </c>
      <c r="F379" t="s">
        <v>934</v>
      </c>
      <c r="G379" t="s">
        <v>935</v>
      </c>
      <c r="H379" t="s">
        <v>936</v>
      </c>
      <c r="I379" t="s">
        <v>937</v>
      </c>
    </row>
    <row r="380" spans="1:9">
      <c r="A380" s="34" t="s">
        <v>901</v>
      </c>
      <c r="B380" s="35">
        <v>46298</v>
      </c>
      <c r="C380" s="34" t="s">
        <v>1068</v>
      </c>
      <c r="D380" s="34">
        <v>1</v>
      </c>
      <c r="E380" s="34" t="s">
        <v>1053</v>
      </c>
      <c r="F380" t="s">
        <v>934</v>
      </c>
      <c r="G380" t="s">
        <v>935</v>
      </c>
      <c r="H380" t="s">
        <v>936</v>
      </c>
      <c r="I380" t="s">
        <v>937</v>
      </c>
    </row>
    <row r="381" spans="1:9">
      <c r="A381" s="34" t="s">
        <v>901</v>
      </c>
      <c r="B381" s="35">
        <v>46300</v>
      </c>
      <c r="C381" s="34" t="s">
        <v>1069</v>
      </c>
      <c r="D381" s="34">
        <v>1</v>
      </c>
      <c r="E381" s="34" t="s">
        <v>1053</v>
      </c>
      <c r="F381" t="s">
        <v>934</v>
      </c>
      <c r="G381" t="s">
        <v>935</v>
      </c>
      <c r="H381" t="s">
        <v>936</v>
      </c>
      <c r="I381" t="s">
        <v>937</v>
      </c>
    </row>
    <row r="382" spans="1:9">
      <c r="A382" s="34" t="s">
        <v>901</v>
      </c>
      <c r="B382" s="35">
        <v>46304</v>
      </c>
      <c r="C382" s="34" t="s">
        <v>1070</v>
      </c>
      <c r="D382" s="34">
        <v>1</v>
      </c>
      <c r="E382" s="34" t="s">
        <v>1053</v>
      </c>
      <c r="F382" t="s">
        <v>934</v>
      </c>
      <c r="G382" t="s">
        <v>935</v>
      </c>
      <c r="H382" t="s">
        <v>936</v>
      </c>
      <c r="I382" t="s">
        <v>937</v>
      </c>
    </row>
    <row r="383" spans="1:9">
      <c r="A383" s="34" t="s">
        <v>901</v>
      </c>
      <c r="B383" s="35">
        <v>46381</v>
      </c>
      <c r="C383" s="34" t="s">
        <v>107</v>
      </c>
      <c r="D383" s="34">
        <v>1</v>
      </c>
      <c r="E383" s="34" t="s">
        <v>1053</v>
      </c>
      <c r="F383" t="s">
        <v>934</v>
      </c>
      <c r="G383" t="s">
        <v>935</v>
      </c>
      <c r="H383" t="s">
        <v>936</v>
      </c>
      <c r="I383" t="s">
        <v>937</v>
      </c>
    </row>
    <row r="384" spans="1:9">
      <c r="A384" s="34" t="s">
        <v>901</v>
      </c>
      <c r="B384" s="35">
        <v>46388</v>
      </c>
      <c r="C384" s="34" t="s">
        <v>958</v>
      </c>
      <c r="D384" s="34">
        <v>1</v>
      </c>
      <c r="E384" s="34" t="s">
        <v>1053</v>
      </c>
      <c r="F384" t="s">
        <v>934</v>
      </c>
      <c r="G384" t="s">
        <v>935</v>
      </c>
      <c r="H384" t="s">
        <v>936</v>
      </c>
      <c r="I384" t="s">
        <v>937</v>
      </c>
    </row>
    <row r="385" spans="1:9">
      <c r="A385" s="34" t="s">
        <v>901</v>
      </c>
      <c r="B385" s="35">
        <v>46424</v>
      </c>
      <c r="C385" s="34" t="s">
        <v>1054</v>
      </c>
      <c r="D385" s="34">
        <v>1</v>
      </c>
      <c r="E385" s="34" t="s">
        <v>1053</v>
      </c>
      <c r="F385" t="s">
        <v>934</v>
      </c>
      <c r="G385" t="s">
        <v>935</v>
      </c>
      <c r="H385" t="s">
        <v>936</v>
      </c>
      <c r="I385" t="s">
        <v>937</v>
      </c>
    </row>
    <row r="386" spans="1:9">
      <c r="A386" s="34" t="s">
        <v>901</v>
      </c>
      <c r="B386" s="35">
        <v>46425</v>
      </c>
      <c r="C386" s="34" t="s">
        <v>1055</v>
      </c>
      <c r="D386" s="34">
        <v>1</v>
      </c>
      <c r="E386" s="34" t="s">
        <v>1053</v>
      </c>
      <c r="F386" t="s">
        <v>934</v>
      </c>
      <c r="G386" t="s">
        <v>935</v>
      </c>
      <c r="H386" t="s">
        <v>936</v>
      </c>
      <c r="I386" t="s">
        <v>937</v>
      </c>
    </row>
    <row r="387" spans="1:9">
      <c r="A387" s="34" t="s">
        <v>901</v>
      </c>
      <c r="B387" s="35">
        <v>46426</v>
      </c>
      <c r="C387" s="34" t="s">
        <v>1056</v>
      </c>
      <c r="D387" s="34">
        <v>1</v>
      </c>
      <c r="E387" s="34" t="s">
        <v>1053</v>
      </c>
      <c r="F387" t="s">
        <v>934</v>
      </c>
      <c r="G387" t="s">
        <v>935</v>
      </c>
      <c r="H387" t="s">
        <v>936</v>
      </c>
      <c r="I387" t="s">
        <v>937</v>
      </c>
    </row>
    <row r="388" spans="1:9">
      <c r="A388" s="34" t="s">
        <v>901</v>
      </c>
      <c r="B388" s="35">
        <v>46427</v>
      </c>
      <c r="C388" s="34" t="s">
        <v>1071</v>
      </c>
      <c r="D388" s="34">
        <v>1</v>
      </c>
      <c r="E388" s="34" t="s">
        <v>1053</v>
      </c>
      <c r="F388" t="s">
        <v>934</v>
      </c>
      <c r="G388" t="s">
        <v>935</v>
      </c>
      <c r="H388" t="s">
        <v>936</v>
      </c>
      <c r="I388" t="s">
        <v>937</v>
      </c>
    </row>
    <row r="389" spans="1:9">
      <c r="A389" s="34" t="s">
        <v>901</v>
      </c>
      <c r="B389" s="35">
        <v>46447</v>
      </c>
      <c r="C389" s="34" t="s">
        <v>1057</v>
      </c>
      <c r="D389" s="34">
        <v>1</v>
      </c>
      <c r="E389" s="34" t="s">
        <v>1053</v>
      </c>
      <c r="F389" t="s">
        <v>934</v>
      </c>
      <c r="G389" t="s">
        <v>935</v>
      </c>
      <c r="H389" t="s">
        <v>936</v>
      </c>
      <c r="I389" t="s">
        <v>937</v>
      </c>
    </row>
    <row r="390" spans="1:9">
      <c r="A390" s="34" t="s">
        <v>901</v>
      </c>
      <c r="B390" s="35">
        <v>46508</v>
      </c>
      <c r="C390" s="34" t="s">
        <v>962</v>
      </c>
      <c r="D390" s="34">
        <v>1</v>
      </c>
      <c r="E390" s="34" t="s">
        <v>1053</v>
      </c>
      <c r="F390" t="s">
        <v>934</v>
      </c>
      <c r="G390" t="s">
        <v>935</v>
      </c>
      <c r="H390" t="s">
        <v>936</v>
      </c>
      <c r="I390" t="s">
        <v>937</v>
      </c>
    </row>
    <row r="391" spans="1:9">
      <c r="A391" s="34" t="s">
        <v>901</v>
      </c>
      <c r="B391" s="35">
        <v>46510</v>
      </c>
      <c r="C391" s="34" t="s">
        <v>1072</v>
      </c>
      <c r="D391" s="34">
        <v>1</v>
      </c>
      <c r="E391" s="34" t="s">
        <v>1053</v>
      </c>
      <c r="F391" t="s">
        <v>934</v>
      </c>
      <c r="G391" t="s">
        <v>935</v>
      </c>
      <c r="H391" t="s">
        <v>936</v>
      </c>
      <c r="I391" t="s">
        <v>937</v>
      </c>
    </row>
    <row r="392" spans="1:9">
      <c r="A392" s="34" t="s">
        <v>901</v>
      </c>
      <c r="B392" s="35">
        <v>46512</v>
      </c>
      <c r="C392" s="34" t="s">
        <v>1043</v>
      </c>
      <c r="D392" s="34">
        <v>1</v>
      </c>
      <c r="E392" s="34" t="s">
        <v>1053</v>
      </c>
      <c r="F392" t="s">
        <v>934</v>
      </c>
      <c r="G392" t="s">
        <v>935</v>
      </c>
      <c r="H392" t="s">
        <v>936</v>
      </c>
      <c r="I392" t="s">
        <v>937</v>
      </c>
    </row>
    <row r="393" spans="1:9">
      <c r="A393" s="34" t="s">
        <v>901</v>
      </c>
      <c r="B393" s="35">
        <v>46520</v>
      </c>
      <c r="C393" s="34" t="s">
        <v>1059</v>
      </c>
      <c r="D393" s="34">
        <v>1</v>
      </c>
      <c r="E393" s="34" t="s">
        <v>1053</v>
      </c>
      <c r="F393" t="s">
        <v>934</v>
      </c>
      <c r="G393" t="s">
        <v>935</v>
      </c>
      <c r="H393" t="s">
        <v>936</v>
      </c>
      <c r="I393" t="s">
        <v>937</v>
      </c>
    </row>
    <row r="394" spans="1:9">
      <c r="A394" s="34" t="s">
        <v>901</v>
      </c>
      <c r="B394" s="35">
        <v>46544</v>
      </c>
      <c r="C394" s="34" t="s">
        <v>1062</v>
      </c>
      <c r="D394" s="34">
        <v>1</v>
      </c>
      <c r="E394" s="34" t="s">
        <v>1053</v>
      </c>
      <c r="F394" t="s">
        <v>934</v>
      </c>
      <c r="G394" t="s">
        <v>935</v>
      </c>
      <c r="H394" t="s">
        <v>936</v>
      </c>
      <c r="I394" t="s">
        <v>937</v>
      </c>
    </row>
    <row r="395" spans="1:9">
      <c r="A395" s="34" t="s">
        <v>901</v>
      </c>
      <c r="B395" s="35">
        <v>46585</v>
      </c>
      <c r="C395" s="34" t="s">
        <v>1041</v>
      </c>
      <c r="D395" s="34">
        <v>1</v>
      </c>
      <c r="E395" s="34" t="s">
        <v>1053</v>
      </c>
      <c r="F395" t="s">
        <v>934</v>
      </c>
      <c r="G395" t="s">
        <v>935</v>
      </c>
      <c r="H395" t="s">
        <v>936</v>
      </c>
      <c r="I395" t="s">
        <v>937</v>
      </c>
    </row>
    <row r="396" spans="1:9">
      <c r="A396" s="34" t="s">
        <v>901</v>
      </c>
      <c r="B396" s="35">
        <v>46587</v>
      </c>
      <c r="C396" s="34" t="s">
        <v>1073</v>
      </c>
      <c r="D396" s="34">
        <v>1</v>
      </c>
      <c r="E396" s="34" t="s">
        <v>1053</v>
      </c>
      <c r="F396" t="s">
        <v>934</v>
      </c>
      <c r="G396" t="s">
        <v>935</v>
      </c>
      <c r="H396" t="s">
        <v>936</v>
      </c>
      <c r="I396" t="s">
        <v>937</v>
      </c>
    </row>
    <row r="397" spans="1:9">
      <c r="A397" s="34" t="s">
        <v>901</v>
      </c>
      <c r="B397" s="35">
        <v>46614</v>
      </c>
      <c r="C397" s="34" t="s">
        <v>1063</v>
      </c>
      <c r="D397" s="34">
        <v>1</v>
      </c>
      <c r="E397" s="34" t="s">
        <v>1053</v>
      </c>
      <c r="F397" t="s">
        <v>934</v>
      </c>
      <c r="G397" t="s">
        <v>935</v>
      </c>
      <c r="H397" t="s">
        <v>936</v>
      </c>
      <c r="I397" t="s">
        <v>937</v>
      </c>
    </row>
    <row r="398" spans="1:9">
      <c r="A398" s="34" t="s">
        <v>901</v>
      </c>
      <c r="B398" s="35">
        <v>46615</v>
      </c>
      <c r="C398" s="34" t="s">
        <v>1064</v>
      </c>
      <c r="D398" s="34">
        <v>1</v>
      </c>
      <c r="E398" s="34" t="s">
        <v>1053</v>
      </c>
      <c r="F398" t="s">
        <v>934</v>
      </c>
      <c r="G398" t="s">
        <v>935</v>
      </c>
      <c r="H398" t="s">
        <v>936</v>
      </c>
      <c r="I398" t="s">
        <v>937</v>
      </c>
    </row>
    <row r="399" spans="1:9">
      <c r="A399" s="34" t="s">
        <v>901</v>
      </c>
      <c r="B399" s="35">
        <v>46644</v>
      </c>
      <c r="C399" s="34" t="s">
        <v>1065</v>
      </c>
      <c r="D399" s="34">
        <v>1</v>
      </c>
      <c r="E399" s="34" t="s">
        <v>1053</v>
      </c>
      <c r="F399" t="s">
        <v>934</v>
      </c>
      <c r="G399" t="s">
        <v>935</v>
      </c>
      <c r="H399" t="s">
        <v>936</v>
      </c>
      <c r="I399" t="s">
        <v>937</v>
      </c>
    </row>
    <row r="400" spans="1:9">
      <c r="A400" s="34" t="s">
        <v>901</v>
      </c>
      <c r="B400" s="35">
        <v>46645</v>
      </c>
      <c r="C400" s="34" t="s">
        <v>1066</v>
      </c>
      <c r="D400" s="34">
        <v>1</v>
      </c>
      <c r="E400" s="34" t="s">
        <v>1053</v>
      </c>
      <c r="F400" t="s">
        <v>934</v>
      </c>
      <c r="G400" t="s">
        <v>935</v>
      </c>
      <c r="H400" t="s">
        <v>936</v>
      </c>
      <c r="I400" t="s">
        <v>937</v>
      </c>
    </row>
    <row r="401" spans="1:9">
      <c r="A401" s="34" t="s">
        <v>901</v>
      </c>
      <c r="B401" s="35">
        <v>46646</v>
      </c>
      <c r="C401" s="34" t="s">
        <v>1067</v>
      </c>
      <c r="D401" s="34">
        <v>1</v>
      </c>
      <c r="E401" s="34" t="s">
        <v>1053</v>
      </c>
      <c r="F401" t="s">
        <v>934</v>
      </c>
      <c r="G401" t="s">
        <v>935</v>
      </c>
      <c r="H401" t="s">
        <v>936</v>
      </c>
      <c r="I401" t="s">
        <v>937</v>
      </c>
    </row>
    <row r="402" spans="1:9">
      <c r="A402" s="34" t="s">
        <v>901</v>
      </c>
      <c r="B402" s="35">
        <v>46663</v>
      </c>
      <c r="C402" s="34" t="s">
        <v>1068</v>
      </c>
      <c r="D402" s="34">
        <v>1</v>
      </c>
      <c r="E402" s="34" t="s">
        <v>1053</v>
      </c>
      <c r="F402" t="s">
        <v>934</v>
      </c>
      <c r="G402" t="s">
        <v>935</v>
      </c>
      <c r="H402" t="s">
        <v>936</v>
      </c>
      <c r="I402" t="s">
        <v>937</v>
      </c>
    </row>
    <row r="403" spans="1:9">
      <c r="A403" s="34" t="s">
        <v>901</v>
      </c>
      <c r="B403" s="35">
        <v>46664</v>
      </c>
      <c r="C403" s="34" t="s">
        <v>1069</v>
      </c>
      <c r="D403" s="34">
        <v>1</v>
      </c>
      <c r="E403" s="34" t="s">
        <v>1053</v>
      </c>
      <c r="F403" t="s">
        <v>934</v>
      </c>
      <c r="G403" t="s">
        <v>935</v>
      </c>
      <c r="H403" t="s">
        <v>936</v>
      </c>
      <c r="I403" t="s">
        <v>937</v>
      </c>
    </row>
    <row r="404" spans="1:9">
      <c r="A404" s="34" t="s">
        <v>901</v>
      </c>
      <c r="B404" s="35">
        <v>46669</v>
      </c>
      <c r="C404" s="34" t="s">
        <v>1070</v>
      </c>
      <c r="D404" s="34">
        <v>1</v>
      </c>
      <c r="E404" s="34" t="s">
        <v>1053</v>
      </c>
      <c r="F404" t="s">
        <v>934</v>
      </c>
      <c r="G404" t="s">
        <v>935</v>
      </c>
      <c r="H404" t="s">
        <v>936</v>
      </c>
      <c r="I404" t="s">
        <v>937</v>
      </c>
    </row>
    <row r="405" spans="1:9">
      <c r="A405" s="34" t="s">
        <v>901</v>
      </c>
      <c r="B405" s="35">
        <v>46671</v>
      </c>
      <c r="C405" s="34" t="s">
        <v>1074</v>
      </c>
      <c r="D405" s="34">
        <v>1</v>
      </c>
      <c r="E405" s="34" t="s">
        <v>1053</v>
      </c>
      <c r="F405" t="s">
        <v>934</v>
      </c>
      <c r="G405" t="s">
        <v>935</v>
      </c>
      <c r="H405" t="s">
        <v>936</v>
      </c>
      <c r="I405" t="s">
        <v>937</v>
      </c>
    </row>
    <row r="406" spans="1:9">
      <c r="A406" s="34" t="s">
        <v>901</v>
      </c>
      <c r="B406" s="35">
        <v>46746</v>
      </c>
      <c r="C406" s="34" t="s">
        <v>107</v>
      </c>
      <c r="D406" s="34">
        <v>1</v>
      </c>
      <c r="E406" s="34" t="s">
        <v>1053</v>
      </c>
      <c r="F406" t="s">
        <v>934</v>
      </c>
      <c r="G406" t="s">
        <v>935</v>
      </c>
      <c r="H406" t="s">
        <v>936</v>
      </c>
      <c r="I406" t="s">
        <v>937</v>
      </c>
    </row>
    <row r="407" spans="1:9">
      <c r="A407" s="34" t="s">
        <v>901</v>
      </c>
      <c r="B407" s="35">
        <v>46748</v>
      </c>
      <c r="C407" s="34" t="s">
        <v>1075</v>
      </c>
      <c r="D407" s="34">
        <v>1</v>
      </c>
      <c r="E407" s="34" t="s">
        <v>1053</v>
      </c>
      <c r="F407" t="s">
        <v>934</v>
      </c>
      <c r="G407" t="s">
        <v>935</v>
      </c>
      <c r="H407" t="s">
        <v>936</v>
      </c>
      <c r="I407" t="s">
        <v>937</v>
      </c>
    </row>
    <row r="408" spans="1:9">
      <c r="A408" s="34" t="s">
        <v>901</v>
      </c>
      <c r="B408" s="35">
        <v>46753</v>
      </c>
      <c r="C408" s="34" t="s">
        <v>958</v>
      </c>
      <c r="D408" s="34">
        <v>1</v>
      </c>
      <c r="E408" s="34" t="s">
        <v>1053</v>
      </c>
      <c r="F408" t="s">
        <v>934</v>
      </c>
      <c r="G408" t="s">
        <v>935</v>
      </c>
      <c r="H408" t="s">
        <v>936</v>
      </c>
      <c r="I408" t="s">
        <v>937</v>
      </c>
    </row>
    <row r="409" spans="1:9">
      <c r="A409" s="34" t="s">
        <v>901</v>
      </c>
      <c r="B409" s="35">
        <v>46778</v>
      </c>
      <c r="C409" s="34" t="s">
        <v>1054</v>
      </c>
      <c r="D409" s="34">
        <v>1</v>
      </c>
      <c r="E409" s="34" t="s">
        <v>1053</v>
      </c>
      <c r="F409" t="s">
        <v>934</v>
      </c>
      <c r="G409" t="s">
        <v>935</v>
      </c>
      <c r="H409" t="s">
        <v>936</v>
      </c>
      <c r="I409" t="s">
        <v>937</v>
      </c>
    </row>
    <row r="410" spans="1:9">
      <c r="A410" s="34" t="s">
        <v>901</v>
      </c>
      <c r="B410" s="35">
        <v>46779</v>
      </c>
      <c r="C410" s="34" t="s">
        <v>1055</v>
      </c>
      <c r="D410" s="34">
        <v>1</v>
      </c>
      <c r="E410" s="34" t="s">
        <v>1053</v>
      </c>
      <c r="F410" t="s">
        <v>934</v>
      </c>
      <c r="G410" t="s">
        <v>935</v>
      </c>
      <c r="H410" t="s">
        <v>936</v>
      </c>
      <c r="I410" t="s">
        <v>937</v>
      </c>
    </row>
    <row r="411" spans="1:9">
      <c r="A411" s="34" t="s">
        <v>901</v>
      </c>
      <c r="B411" s="35">
        <v>46780</v>
      </c>
      <c r="C411" s="34" t="s">
        <v>1056</v>
      </c>
      <c r="D411" s="34">
        <v>1</v>
      </c>
      <c r="E411" s="34" t="s">
        <v>1053</v>
      </c>
      <c r="F411" t="s">
        <v>934</v>
      </c>
      <c r="G411" t="s">
        <v>935</v>
      </c>
      <c r="H411" t="s">
        <v>936</v>
      </c>
      <c r="I411" t="s">
        <v>937</v>
      </c>
    </row>
    <row r="412" spans="1:9">
      <c r="A412" s="34" t="s">
        <v>901</v>
      </c>
      <c r="B412" s="35">
        <v>46813</v>
      </c>
      <c r="C412" s="34" t="s">
        <v>1057</v>
      </c>
      <c r="D412" s="34">
        <v>1</v>
      </c>
      <c r="E412" s="34" t="s">
        <v>1053</v>
      </c>
      <c r="F412" t="s">
        <v>934</v>
      </c>
      <c r="G412" t="s">
        <v>935</v>
      </c>
      <c r="H412" t="s">
        <v>936</v>
      </c>
      <c r="I412" t="s">
        <v>937</v>
      </c>
    </row>
    <row r="413" spans="1:9">
      <c r="A413" s="34" t="s">
        <v>901</v>
      </c>
      <c r="B413" s="35">
        <v>46855</v>
      </c>
      <c r="C413" s="34" t="s">
        <v>1076</v>
      </c>
      <c r="D413" s="34">
        <v>1</v>
      </c>
      <c r="E413" s="34" t="s">
        <v>1053</v>
      </c>
      <c r="F413" t="s">
        <v>934</v>
      </c>
      <c r="G413" t="s">
        <v>935</v>
      </c>
      <c r="H413" t="s">
        <v>936</v>
      </c>
      <c r="I413" t="s">
        <v>937</v>
      </c>
    </row>
    <row r="414" spans="1:9">
      <c r="A414" s="34" t="s">
        <v>901</v>
      </c>
      <c r="B414" s="35">
        <v>46874</v>
      </c>
      <c r="C414" s="34" t="s">
        <v>962</v>
      </c>
      <c r="D414" s="34">
        <v>1</v>
      </c>
      <c r="E414" s="34" t="s">
        <v>1053</v>
      </c>
      <c r="F414" t="s">
        <v>934</v>
      </c>
      <c r="G414" t="s">
        <v>935</v>
      </c>
      <c r="H414" t="s">
        <v>936</v>
      </c>
      <c r="I414" t="s">
        <v>937</v>
      </c>
    </row>
    <row r="415" spans="1:9">
      <c r="A415" s="34" t="s">
        <v>901</v>
      </c>
      <c r="B415" s="35">
        <v>46875</v>
      </c>
      <c r="C415" s="34" t="s">
        <v>1059</v>
      </c>
      <c r="D415" s="34">
        <v>1</v>
      </c>
      <c r="E415" s="34" t="s">
        <v>1053</v>
      </c>
      <c r="F415" t="s">
        <v>934</v>
      </c>
      <c r="G415" t="s">
        <v>935</v>
      </c>
      <c r="H415" t="s">
        <v>936</v>
      </c>
      <c r="I415" t="s">
        <v>937</v>
      </c>
    </row>
    <row r="416" spans="1:9">
      <c r="A416" s="34" t="s">
        <v>901</v>
      </c>
      <c r="B416" s="35">
        <v>46878</v>
      </c>
      <c r="C416" s="34" t="s">
        <v>1043</v>
      </c>
      <c r="D416" s="34">
        <v>1</v>
      </c>
      <c r="E416" s="34" t="s">
        <v>1053</v>
      </c>
      <c r="F416" t="s">
        <v>934</v>
      </c>
      <c r="G416" t="s">
        <v>935</v>
      </c>
      <c r="H416" t="s">
        <v>936</v>
      </c>
      <c r="I416" t="s">
        <v>937</v>
      </c>
    </row>
    <row r="417" spans="1:9">
      <c r="A417" s="34" t="s">
        <v>901</v>
      </c>
      <c r="B417" s="35">
        <v>46910</v>
      </c>
      <c r="C417" s="34" t="s">
        <v>1062</v>
      </c>
      <c r="D417" s="34">
        <v>1</v>
      </c>
      <c r="E417" s="34" t="s">
        <v>1053</v>
      </c>
      <c r="F417" t="s">
        <v>934</v>
      </c>
      <c r="G417" t="s">
        <v>935</v>
      </c>
      <c r="H417" t="s">
        <v>936</v>
      </c>
      <c r="I417" t="s">
        <v>937</v>
      </c>
    </row>
    <row r="418" spans="1:9">
      <c r="A418" s="34" t="s">
        <v>901</v>
      </c>
      <c r="B418" s="35">
        <v>46951</v>
      </c>
      <c r="C418" s="34" t="s">
        <v>1041</v>
      </c>
      <c r="D418" s="34">
        <v>1</v>
      </c>
      <c r="E418" s="34" t="s">
        <v>1053</v>
      </c>
      <c r="F418" t="s">
        <v>934</v>
      </c>
      <c r="G418" t="s">
        <v>935</v>
      </c>
      <c r="H418" t="s">
        <v>936</v>
      </c>
      <c r="I418" t="s">
        <v>937</v>
      </c>
    </row>
    <row r="419" spans="1:9">
      <c r="A419" s="34" t="s">
        <v>901</v>
      </c>
      <c r="B419" s="35">
        <v>46980</v>
      </c>
      <c r="C419" s="34" t="s">
        <v>1063</v>
      </c>
      <c r="D419" s="34">
        <v>1</v>
      </c>
      <c r="E419" s="34" t="s">
        <v>1053</v>
      </c>
      <c r="F419" t="s">
        <v>934</v>
      </c>
      <c r="G419" t="s">
        <v>935</v>
      </c>
      <c r="H419" t="s">
        <v>936</v>
      </c>
      <c r="I419" t="s">
        <v>937</v>
      </c>
    </row>
    <row r="420" spans="1:9">
      <c r="A420" s="34" t="s">
        <v>901</v>
      </c>
      <c r="B420" s="35">
        <v>47028</v>
      </c>
      <c r="C420" s="34" t="s">
        <v>1065</v>
      </c>
      <c r="D420" s="34">
        <v>1</v>
      </c>
      <c r="E420" s="34" t="s">
        <v>1053</v>
      </c>
      <c r="F420" t="s">
        <v>934</v>
      </c>
      <c r="G420" t="s">
        <v>935</v>
      </c>
      <c r="H420" t="s">
        <v>936</v>
      </c>
      <c r="I420" t="s">
        <v>937</v>
      </c>
    </row>
    <row r="421" spans="1:9">
      <c r="A421" s="34" t="s">
        <v>901</v>
      </c>
      <c r="B421" s="35">
        <v>47029</v>
      </c>
      <c r="C421" s="34" t="s">
        <v>1077</v>
      </c>
      <c r="D421" s="34">
        <v>1</v>
      </c>
      <c r="E421" s="34" t="s">
        <v>1053</v>
      </c>
      <c r="F421" t="s">
        <v>934</v>
      </c>
      <c r="G421" t="s">
        <v>935</v>
      </c>
      <c r="H421" t="s">
        <v>936</v>
      </c>
      <c r="I421" t="s">
        <v>937</v>
      </c>
    </row>
    <row r="422" spans="1:9">
      <c r="A422" s="34" t="s">
        <v>901</v>
      </c>
      <c r="B422" s="35">
        <v>47030</v>
      </c>
      <c r="C422" s="34" t="s">
        <v>1067</v>
      </c>
      <c r="D422" s="34">
        <v>1</v>
      </c>
      <c r="E422" s="34" t="s">
        <v>1053</v>
      </c>
      <c r="F422" t="s">
        <v>934</v>
      </c>
      <c r="G422" t="s">
        <v>935</v>
      </c>
      <c r="H422" t="s">
        <v>936</v>
      </c>
      <c r="I422" t="s">
        <v>937</v>
      </c>
    </row>
    <row r="423" spans="1:9">
      <c r="A423" s="34" t="s">
        <v>901</v>
      </c>
      <c r="B423" s="35">
        <v>47031</v>
      </c>
      <c r="C423" s="34" t="s">
        <v>1078</v>
      </c>
      <c r="D423" s="34">
        <v>1</v>
      </c>
      <c r="E423" s="34" t="s">
        <v>1053</v>
      </c>
      <c r="F423" t="s">
        <v>934</v>
      </c>
      <c r="G423" t="s">
        <v>935</v>
      </c>
      <c r="H423" t="s">
        <v>936</v>
      </c>
      <c r="I423" t="s">
        <v>937</v>
      </c>
    </row>
    <row r="424" spans="1:9">
      <c r="A424" s="34" t="s">
        <v>901</v>
      </c>
      <c r="B424" s="35">
        <v>47035</v>
      </c>
      <c r="C424" s="34" t="s">
        <v>1070</v>
      </c>
      <c r="D424" s="34">
        <v>1</v>
      </c>
      <c r="E424" s="34" t="s">
        <v>1053</v>
      </c>
      <c r="F424" t="s">
        <v>934</v>
      </c>
      <c r="G424" t="s">
        <v>935</v>
      </c>
      <c r="H424" t="s">
        <v>936</v>
      </c>
      <c r="I424" t="s">
        <v>937</v>
      </c>
    </row>
    <row r="425" spans="1:9">
      <c r="A425" s="34" t="s">
        <v>901</v>
      </c>
      <c r="B425" s="35">
        <v>47112</v>
      </c>
      <c r="C425" s="34" t="s">
        <v>107</v>
      </c>
      <c r="D425" s="34">
        <v>1</v>
      </c>
      <c r="E425" s="34" t="s">
        <v>1053</v>
      </c>
      <c r="F425" t="s">
        <v>934</v>
      </c>
      <c r="G425" t="s">
        <v>935</v>
      </c>
      <c r="H425" t="s">
        <v>936</v>
      </c>
      <c r="I425" t="s">
        <v>937</v>
      </c>
    </row>
    <row r="426" spans="1:9">
      <c r="A426" s="34" t="s">
        <v>907</v>
      </c>
      <c r="B426" s="35">
        <v>46023</v>
      </c>
      <c r="C426" s="34" t="s">
        <v>958</v>
      </c>
      <c r="D426" s="34">
        <v>1</v>
      </c>
      <c r="E426" s="34" t="s">
        <v>1079</v>
      </c>
      <c r="F426" t="s">
        <v>934</v>
      </c>
      <c r="G426" t="s">
        <v>935</v>
      </c>
      <c r="H426" t="s">
        <v>936</v>
      </c>
      <c r="I426" t="s">
        <v>937</v>
      </c>
    </row>
    <row r="427" spans="1:9">
      <c r="A427" s="34" t="s">
        <v>907</v>
      </c>
      <c r="B427" s="35">
        <v>46114</v>
      </c>
      <c r="C427" s="34" t="s">
        <v>1080</v>
      </c>
      <c r="D427" s="34">
        <v>1</v>
      </c>
      <c r="E427" s="34" t="s">
        <v>1079</v>
      </c>
      <c r="F427" t="s">
        <v>934</v>
      </c>
      <c r="G427" t="s">
        <v>935</v>
      </c>
      <c r="H427" t="s">
        <v>936</v>
      </c>
      <c r="I427" t="s">
        <v>937</v>
      </c>
    </row>
    <row r="428" spans="1:9">
      <c r="A428" s="34" t="s">
        <v>907</v>
      </c>
      <c r="B428" s="35">
        <v>46115</v>
      </c>
      <c r="C428" s="34" t="s">
        <v>102</v>
      </c>
      <c r="D428" s="34">
        <v>1</v>
      </c>
      <c r="E428" s="34" t="s">
        <v>1079</v>
      </c>
      <c r="F428" t="s">
        <v>934</v>
      </c>
      <c r="G428" t="s">
        <v>935</v>
      </c>
      <c r="H428" t="s">
        <v>936</v>
      </c>
      <c r="I428" t="s">
        <v>937</v>
      </c>
    </row>
    <row r="429" spans="1:9">
      <c r="A429" s="34" t="s">
        <v>907</v>
      </c>
      <c r="B429" s="35">
        <v>46117</v>
      </c>
      <c r="C429" s="34" t="s">
        <v>1081</v>
      </c>
      <c r="D429" s="34">
        <v>1</v>
      </c>
      <c r="E429" s="34" t="s">
        <v>1079</v>
      </c>
      <c r="F429" t="s">
        <v>934</v>
      </c>
      <c r="G429" t="s">
        <v>935</v>
      </c>
      <c r="H429" t="s">
        <v>936</v>
      </c>
      <c r="I429" t="s">
        <v>937</v>
      </c>
    </row>
    <row r="430" spans="1:9">
      <c r="A430" s="34" t="s">
        <v>907</v>
      </c>
      <c r="B430" s="35">
        <v>46118</v>
      </c>
      <c r="C430" s="34" t="s">
        <v>103</v>
      </c>
      <c r="D430" s="34">
        <v>1</v>
      </c>
      <c r="E430" s="34" t="s">
        <v>1079</v>
      </c>
      <c r="F430" t="s">
        <v>934</v>
      </c>
      <c r="G430" t="s">
        <v>935</v>
      </c>
      <c r="H430" t="s">
        <v>936</v>
      </c>
      <c r="I430" t="s">
        <v>937</v>
      </c>
    </row>
    <row r="431" spans="1:9">
      <c r="A431" s="34" t="s">
        <v>907</v>
      </c>
      <c r="B431" s="35">
        <v>46143</v>
      </c>
      <c r="C431" s="34" t="s">
        <v>962</v>
      </c>
      <c r="D431" s="34">
        <v>1</v>
      </c>
      <c r="E431" s="34" t="s">
        <v>1079</v>
      </c>
      <c r="F431" t="s">
        <v>934</v>
      </c>
      <c r="G431" t="s">
        <v>935</v>
      </c>
      <c r="H431" t="s">
        <v>936</v>
      </c>
      <c r="I431" t="s">
        <v>937</v>
      </c>
    </row>
    <row r="432" spans="1:9">
      <c r="A432" s="34" t="s">
        <v>907</v>
      </c>
      <c r="B432" s="35">
        <v>46156</v>
      </c>
      <c r="C432" s="34" t="s">
        <v>996</v>
      </c>
      <c r="D432" s="34">
        <v>1</v>
      </c>
      <c r="E432" s="34" t="s">
        <v>1079</v>
      </c>
      <c r="F432" t="s">
        <v>934</v>
      </c>
      <c r="G432" t="s">
        <v>935</v>
      </c>
      <c r="H432" t="s">
        <v>936</v>
      </c>
      <c r="I432" t="s">
        <v>937</v>
      </c>
    </row>
    <row r="433" spans="1:9">
      <c r="A433" s="34" t="s">
        <v>907</v>
      </c>
      <c r="B433" s="35">
        <v>46159</v>
      </c>
      <c r="C433" s="34" t="s">
        <v>1041</v>
      </c>
      <c r="D433" s="34">
        <v>1</v>
      </c>
      <c r="E433" s="34" t="s">
        <v>1079</v>
      </c>
      <c r="F433" t="s">
        <v>934</v>
      </c>
      <c r="G433" t="s">
        <v>935</v>
      </c>
      <c r="H433" t="s">
        <v>936</v>
      </c>
      <c r="I433" t="s">
        <v>937</v>
      </c>
    </row>
    <row r="434" spans="1:9">
      <c r="A434" s="34" t="s">
        <v>907</v>
      </c>
      <c r="B434" s="35">
        <v>46166</v>
      </c>
      <c r="C434" s="34" t="s">
        <v>1082</v>
      </c>
      <c r="D434" s="34">
        <v>1</v>
      </c>
      <c r="E434" s="34" t="s">
        <v>1079</v>
      </c>
      <c r="F434" t="s">
        <v>934</v>
      </c>
      <c r="G434" t="s">
        <v>935</v>
      </c>
      <c r="H434" t="s">
        <v>936</v>
      </c>
      <c r="I434" t="s">
        <v>937</v>
      </c>
    </row>
    <row r="435" spans="1:9">
      <c r="A435" s="34" t="s">
        <v>907</v>
      </c>
      <c r="B435" s="35">
        <v>46167</v>
      </c>
      <c r="C435" s="34" t="s">
        <v>997</v>
      </c>
      <c r="D435" s="34">
        <v>1</v>
      </c>
      <c r="E435" s="34" t="s">
        <v>1079</v>
      </c>
      <c r="F435" t="s">
        <v>934</v>
      </c>
      <c r="G435" t="s">
        <v>935</v>
      </c>
      <c r="H435" t="s">
        <v>936</v>
      </c>
      <c r="I435" t="s">
        <v>937</v>
      </c>
    </row>
    <row r="436" spans="1:9">
      <c r="A436" s="34" t="s">
        <v>907</v>
      </c>
      <c r="B436" s="35">
        <v>46381</v>
      </c>
      <c r="C436" s="34" t="s">
        <v>107</v>
      </c>
      <c r="D436" s="34">
        <v>1</v>
      </c>
      <c r="E436" s="34" t="s">
        <v>1079</v>
      </c>
      <c r="F436" t="s">
        <v>934</v>
      </c>
      <c r="G436" t="s">
        <v>935</v>
      </c>
      <c r="H436" t="s">
        <v>936</v>
      </c>
      <c r="I436" t="s">
        <v>937</v>
      </c>
    </row>
    <row r="437" spans="1:9">
      <c r="A437" s="34" t="s">
        <v>907</v>
      </c>
      <c r="B437" s="35">
        <v>46382</v>
      </c>
      <c r="C437" s="34" t="s">
        <v>1083</v>
      </c>
      <c r="D437" s="34">
        <v>1</v>
      </c>
      <c r="E437" s="34" t="s">
        <v>1079</v>
      </c>
      <c r="F437" t="s">
        <v>934</v>
      </c>
      <c r="G437" t="s">
        <v>935</v>
      </c>
      <c r="H437" t="s">
        <v>936</v>
      </c>
      <c r="I437" t="s">
        <v>937</v>
      </c>
    </row>
    <row r="438" spans="1:9">
      <c r="A438" s="34" t="s">
        <v>907</v>
      </c>
      <c r="B438" s="35">
        <v>46388</v>
      </c>
      <c r="C438" s="34" t="s">
        <v>958</v>
      </c>
      <c r="D438" s="34">
        <v>1</v>
      </c>
      <c r="E438" s="34" t="s">
        <v>1079</v>
      </c>
      <c r="F438" t="s">
        <v>934</v>
      </c>
      <c r="G438" t="s">
        <v>935</v>
      </c>
      <c r="H438" t="s">
        <v>936</v>
      </c>
      <c r="I438" t="s">
        <v>937</v>
      </c>
    </row>
    <row r="439" spans="1:9">
      <c r="A439" s="34" t="s">
        <v>907</v>
      </c>
      <c r="B439" s="35">
        <v>46471</v>
      </c>
      <c r="C439" s="34" t="s">
        <v>1080</v>
      </c>
      <c r="D439" s="34">
        <v>1</v>
      </c>
      <c r="E439" s="34" t="s">
        <v>1079</v>
      </c>
      <c r="F439" t="s">
        <v>934</v>
      </c>
      <c r="G439" t="s">
        <v>935</v>
      </c>
      <c r="H439" t="s">
        <v>936</v>
      </c>
      <c r="I439" t="s">
        <v>937</v>
      </c>
    </row>
    <row r="440" spans="1:9">
      <c r="A440" s="34" t="s">
        <v>907</v>
      </c>
      <c r="B440" s="35">
        <v>46472</v>
      </c>
      <c r="C440" s="34" t="s">
        <v>102</v>
      </c>
      <c r="D440" s="34">
        <v>1</v>
      </c>
      <c r="E440" s="34" t="s">
        <v>1079</v>
      </c>
      <c r="F440" t="s">
        <v>934</v>
      </c>
      <c r="G440" t="s">
        <v>935</v>
      </c>
      <c r="H440" t="s">
        <v>936</v>
      </c>
      <c r="I440" t="s">
        <v>937</v>
      </c>
    </row>
    <row r="441" spans="1:9">
      <c r="A441" s="34" t="s">
        <v>907</v>
      </c>
      <c r="B441" s="35">
        <v>46474</v>
      </c>
      <c r="C441" s="34" t="s">
        <v>1081</v>
      </c>
      <c r="D441" s="34">
        <v>1</v>
      </c>
      <c r="E441" s="34" t="s">
        <v>1079</v>
      </c>
      <c r="F441" t="s">
        <v>934</v>
      </c>
      <c r="G441" t="s">
        <v>935</v>
      </c>
      <c r="H441" t="s">
        <v>936</v>
      </c>
      <c r="I441" t="s">
        <v>937</v>
      </c>
    </row>
    <row r="442" spans="1:9">
      <c r="A442" s="34" t="s">
        <v>907</v>
      </c>
      <c r="B442" s="35">
        <v>46475</v>
      </c>
      <c r="C442" s="34" t="s">
        <v>103</v>
      </c>
      <c r="D442" s="34">
        <v>1</v>
      </c>
      <c r="E442" s="34" t="s">
        <v>1079</v>
      </c>
      <c r="F442" t="s">
        <v>934</v>
      </c>
      <c r="G442" t="s">
        <v>935</v>
      </c>
      <c r="H442" t="s">
        <v>936</v>
      </c>
      <c r="I442" t="s">
        <v>937</v>
      </c>
    </row>
    <row r="443" spans="1:9">
      <c r="A443" s="34" t="s">
        <v>907</v>
      </c>
      <c r="B443" s="35">
        <v>46508</v>
      </c>
      <c r="C443" s="34" t="s">
        <v>962</v>
      </c>
      <c r="D443" s="34">
        <v>1</v>
      </c>
      <c r="E443" s="34" t="s">
        <v>1079</v>
      </c>
      <c r="F443" t="s">
        <v>934</v>
      </c>
      <c r="G443" t="s">
        <v>935</v>
      </c>
      <c r="H443" t="s">
        <v>936</v>
      </c>
      <c r="I443" t="s">
        <v>937</v>
      </c>
    </row>
    <row r="444" spans="1:9">
      <c r="A444" s="34" t="s">
        <v>907</v>
      </c>
      <c r="B444" s="35">
        <v>46513</v>
      </c>
      <c r="C444" s="34" t="s">
        <v>996</v>
      </c>
      <c r="D444" s="34">
        <v>1</v>
      </c>
      <c r="E444" s="34" t="s">
        <v>1079</v>
      </c>
      <c r="F444" t="s">
        <v>934</v>
      </c>
      <c r="G444" t="s">
        <v>935</v>
      </c>
      <c r="H444" t="s">
        <v>936</v>
      </c>
      <c r="I444" t="s">
        <v>937</v>
      </c>
    </row>
    <row r="445" spans="1:9">
      <c r="A445" s="34" t="s">
        <v>907</v>
      </c>
      <c r="B445" s="35">
        <v>46523</v>
      </c>
      <c r="C445" s="34" t="s">
        <v>1082</v>
      </c>
      <c r="D445" s="34">
        <v>1</v>
      </c>
      <c r="E445" s="34" t="s">
        <v>1079</v>
      </c>
      <c r="F445" t="s">
        <v>934</v>
      </c>
      <c r="G445" t="s">
        <v>935</v>
      </c>
      <c r="H445" t="s">
        <v>936</v>
      </c>
      <c r="I445" t="s">
        <v>937</v>
      </c>
    </row>
    <row r="446" spans="1:9">
      <c r="A446" s="34" t="s">
        <v>907</v>
      </c>
      <c r="B446" s="35">
        <v>46524</v>
      </c>
      <c r="C446" s="34" t="s">
        <v>1084</v>
      </c>
      <c r="D446" s="34">
        <v>1</v>
      </c>
      <c r="E446" s="34" t="s">
        <v>1079</v>
      </c>
      <c r="F446" t="s">
        <v>934</v>
      </c>
      <c r="G446" t="s">
        <v>935</v>
      </c>
      <c r="H446" t="s">
        <v>936</v>
      </c>
      <c r="I446" t="s">
        <v>937</v>
      </c>
    </row>
    <row r="447" spans="1:9">
      <c r="A447" s="34" t="s">
        <v>907</v>
      </c>
      <c r="B447" s="35">
        <v>46746</v>
      </c>
      <c r="C447" s="34" t="s">
        <v>107</v>
      </c>
      <c r="D447" s="34">
        <v>1</v>
      </c>
      <c r="E447" s="34" t="s">
        <v>1079</v>
      </c>
      <c r="F447" t="s">
        <v>934</v>
      </c>
      <c r="G447" t="s">
        <v>935</v>
      </c>
      <c r="H447" t="s">
        <v>936</v>
      </c>
      <c r="I447" t="s">
        <v>937</v>
      </c>
    </row>
    <row r="448" spans="1:9">
      <c r="A448" s="34" t="s">
        <v>907</v>
      </c>
      <c r="B448" s="35">
        <v>46747</v>
      </c>
      <c r="C448" s="34" t="s">
        <v>1083</v>
      </c>
      <c r="D448" s="34">
        <v>1</v>
      </c>
      <c r="E448" s="34" t="s">
        <v>1079</v>
      </c>
      <c r="F448" t="s">
        <v>934</v>
      </c>
      <c r="G448" t="s">
        <v>935</v>
      </c>
      <c r="H448" t="s">
        <v>936</v>
      </c>
      <c r="I448" t="s">
        <v>937</v>
      </c>
    </row>
    <row r="449" spans="1:9">
      <c r="A449" s="34" t="s">
        <v>907</v>
      </c>
      <c r="B449" s="35">
        <v>46753</v>
      </c>
      <c r="C449" s="34" t="s">
        <v>958</v>
      </c>
      <c r="D449" s="34">
        <v>1</v>
      </c>
      <c r="E449" s="34" t="s">
        <v>1079</v>
      </c>
      <c r="F449" t="s">
        <v>934</v>
      </c>
      <c r="G449" t="s">
        <v>935</v>
      </c>
      <c r="H449" t="s">
        <v>936</v>
      </c>
      <c r="I449" t="s">
        <v>937</v>
      </c>
    </row>
    <row r="450" spans="1:9">
      <c r="A450" s="34" t="s">
        <v>907</v>
      </c>
      <c r="B450" s="35">
        <v>46856</v>
      </c>
      <c r="C450" s="34" t="s">
        <v>1080</v>
      </c>
      <c r="D450" s="34">
        <v>1</v>
      </c>
      <c r="E450" s="34" t="s">
        <v>1079</v>
      </c>
      <c r="F450" t="s">
        <v>934</v>
      </c>
      <c r="G450" t="s">
        <v>935</v>
      </c>
      <c r="H450" t="s">
        <v>936</v>
      </c>
      <c r="I450" t="s">
        <v>937</v>
      </c>
    </row>
    <row r="451" spans="1:9">
      <c r="A451" s="34" t="s">
        <v>907</v>
      </c>
      <c r="B451" s="35">
        <v>46857</v>
      </c>
      <c r="C451" s="34" t="s">
        <v>102</v>
      </c>
      <c r="D451" s="34">
        <v>1</v>
      </c>
      <c r="E451" s="34" t="s">
        <v>1079</v>
      </c>
      <c r="F451" t="s">
        <v>934</v>
      </c>
      <c r="G451" t="s">
        <v>935</v>
      </c>
      <c r="H451" t="s">
        <v>936</v>
      </c>
      <c r="I451" t="s">
        <v>937</v>
      </c>
    </row>
    <row r="452" spans="1:9">
      <c r="A452" s="34" t="s">
        <v>907</v>
      </c>
      <c r="B452" s="35">
        <v>46859</v>
      </c>
      <c r="C452" s="34" t="s">
        <v>1081</v>
      </c>
      <c r="D452" s="34">
        <v>1</v>
      </c>
      <c r="E452" s="34" t="s">
        <v>1079</v>
      </c>
      <c r="F452" t="s">
        <v>934</v>
      </c>
      <c r="G452" t="s">
        <v>935</v>
      </c>
      <c r="H452" t="s">
        <v>936</v>
      </c>
      <c r="I452" t="s">
        <v>937</v>
      </c>
    </row>
    <row r="453" spans="1:9">
      <c r="A453" s="34" t="s">
        <v>907</v>
      </c>
      <c r="B453" s="35">
        <v>46860</v>
      </c>
      <c r="C453" s="34" t="s">
        <v>103</v>
      </c>
      <c r="D453" s="34">
        <v>1</v>
      </c>
      <c r="E453" s="34" t="s">
        <v>1079</v>
      </c>
      <c r="F453" t="s">
        <v>934</v>
      </c>
      <c r="G453" t="s">
        <v>935</v>
      </c>
      <c r="H453" t="s">
        <v>936</v>
      </c>
      <c r="I453" t="s">
        <v>937</v>
      </c>
    </row>
    <row r="454" spans="1:9">
      <c r="A454" s="34" t="s">
        <v>907</v>
      </c>
      <c r="B454" s="35">
        <v>46874</v>
      </c>
      <c r="C454" s="34" t="s">
        <v>962</v>
      </c>
      <c r="D454" s="34">
        <v>1</v>
      </c>
      <c r="E454" s="34" t="s">
        <v>1079</v>
      </c>
      <c r="F454" t="s">
        <v>934</v>
      </c>
      <c r="G454" t="s">
        <v>935</v>
      </c>
      <c r="H454" t="s">
        <v>936</v>
      </c>
      <c r="I454" t="s">
        <v>937</v>
      </c>
    </row>
    <row r="455" spans="1:9">
      <c r="A455" s="34" t="s">
        <v>907</v>
      </c>
      <c r="B455" s="35">
        <v>46890</v>
      </c>
      <c r="C455" s="34" t="s">
        <v>1041</v>
      </c>
      <c r="D455" s="34">
        <v>1</v>
      </c>
      <c r="E455" s="34" t="s">
        <v>1079</v>
      </c>
      <c r="F455" t="s">
        <v>934</v>
      </c>
      <c r="G455" t="s">
        <v>935</v>
      </c>
      <c r="H455" t="s">
        <v>936</v>
      </c>
      <c r="I455" t="s">
        <v>937</v>
      </c>
    </row>
    <row r="456" spans="1:9">
      <c r="A456" s="34" t="s">
        <v>907</v>
      </c>
      <c r="B456" s="35">
        <v>46898</v>
      </c>
      <c r="C456" s="34" t="s">
        <v>996</v>
      </c>
      <c r="D456" s="34">
        <v>1</v>
      </c>
      <c r="E456" s="34" t="s">
        <v>1079</v>
      </c>
      <c r="F456" t="s">
        <v>934</v>
      </c>
      <c r="G456" t="s">
        <v>935</v>
      </c>
      <c r="H456" t="s">
        <v>936</v>
      </c>
      <c r="I456" t="s">
        <v>937</v>
      </c>
    </row>
    <row r="457" spans="1:9">
      <c r="A457" s="34" t="s">
        <v>907</v>
      </c>
      <c r="B457" s="35">
        <v>46908</v>
      </c>
      <c r="C457" s="34" t="s">
        <v>1082</v>
      </c>
      <c r="D457" s="34">
        <v>1</v>
      </c>
      <c r="E457" s="34" t="s">
        <v>1079</v>
      </c>
      <c r="F457" t="s">
        <v>934</v>
      </c>
      <c r="G457" t="s">
        <v>935</v>
      </c>
      <c r="H457" t="s">
        <v>936</v>
      </c>
      <c r="I457" t="s">
        <v>937</v>
      </c>
    </row>
    <row r="458" spans="1:9">
      <c r="A458" s="34" t="s">
        <v>907</v>
      </c>
      <c r="B458" s="35">
        <v>46909</v>
      </c>
      <c r="C458" s="34" t="s">
        <v>997</v>
      </c>
      <c r="D458" s="34">
        <v>1</v>
      </c>
      <c r="E458" s="34" t="s">
        <v>1079</v>
      </c>
      <c r="F458" t="s">
        <v>934</v>
      </c>
      <c r="G458" t="s">
        <v>935</v>
      </c>
      <c r="H458" t="s">
        <v>936</v>
      </c>
      <c r="I458" t="s">
        <v>937</v>
      </c>
    </row>
    <row r="459" spans="1:9">
      <c r="A459" s="34" t="s">
        <v>907</v>
      </c>
      <c r="B459" s="35">
        <v>47112</v>
      </c>
      <c r="C459" s="34" t="s">
        <v>107</v>
      </c>
      <c r="D459" s="34">
        <v>1</v>
      </c>
      <c r="E459" s="34" t="s">
        <v>1079</v>
      </c>
      <c r="F459" t="s">
        <v>934</v>
      </c>
      <c r="G459" t="s">
        <v>935</v>
      </c>
      <c r="H459" t="s">
        <v>936</v>
      </c>
      <c r="I459" t="s">
        <v>937</v>
      </c>
    </row>
    <row r="460" spans="1:9">
      <c r="A460" s="34" t="s">
        <v>907</v>
      </c>
      <c r="B460" s="35">
        <v>47113</v>
      </c>
      <c r="C460" s="34" t="s">
        <v>1083</v>
      </c>
      <c r="D460" s="34">
        <v>1</v>
      </c>
      <c r="E460" s="34" t="s">
        <v>1079</v>
      </c>
      <c r="F460" t="s">
        <v>934</v>
      </c>
      <c r="G460" t="s">
        <v>935</v>
      </c>
      <c r="H460" t="s">
        <v>936</v>
      </c>
      <c r="I460" t="s">
        <v>937</v>
      </c>
    </row>
    <row r="461" spans="1:9">
      <c r="A461" s="34" t="s">
        <v>909</v>
      </c>
      <c r="B461" s="35">
        <v>46023</v>
      </c>
      <c r="C461" s="34" t="s">
        <v>958</v>
      </c>
      <c r="D461" s="34">
        <v>1</v>
      </c>
      <c r="E461" s="34" t="s">
        <v>1085</v>
      </c>
      <c r="F461" t="s">
        <v>934</v>
      </c>
      <c r="G461" t="s">
        <v>935</v>
      </c>
      <c r="H461" t="s">
        <v>936</v>
      </c>
      <c r="I461" t="s">
        <v>937</v>
      </c>
    </row>
    <row r="462" spans="1:9">
      <c r="A462" s="34" t="s">
        <v>909</v>
      </c>
      <c r="B462" s="35">
        <v>46028</v>
      </c>
      <c r="C462" s="34" t="s">
        <v>1086</v>
      </c>
      <c r="D462" s="34">
        <v>1</v>
      </c>
      <c r="E462" s="34" t="s">
        <v>1085</v>
      </c>
      <c r="F462" t="s">
        <v>934</v>
      </c>
      <c r="G462" t="s">
        <v>935</v>
      </c>
      <c r="H462" t="s">
        <v>936</v>
      </c>
      <c r="I462" t="s">
        <v>937</v>
      </c>
    </row>
    <row r="463" spans="1:9">
      <c r="A463" s="34" t="s">
        <v>909</v>
      </c>
      <c r="B463" s="35">
        <v>46115</v>
      </c>
      <c r="C463" s="34" t="s">
        <v>102</v>
      </c>
      <c r="D463" s="34">
        <v>1</v>
      </c>
      <c r="E463" s="34" t="s">
        <v>1085</v>
      </c>
      <c r="F463" t="s">
        <v>934</v>
      </c>
      <c r="G463" t="s">
        <v>935</v>
      </c>
      <c r="H463" t="s">
        <v>936</v>
      </c>
      <c r="I463" t="s">
        <v>937</v>
      </c>
    </row>
    <row r="464" spans="1:9">
      <c r="A464" s="34" t="s">
        <v>909</v>
      </c>
      <c r="B464" s="35">
        <v>46117</v>
      </c>
      <c r="C464" s="34" t="s">
        <v>1081</v>
      </c>
      <c r="D464" s="34">
        <v>1</v>
      </c>
      <c r="E464" s="34" t="s">
        <v>1085</v>
      </c>
      <c r="F464" t="s">
        <v>934</v>
      </c>
      <c r="G464" t="s">
        <v>935</v>
      </c>
      <c r="H464" t="s">
        <v>936</v>
      </c>
      <c r="I464" t="s">
        <v>937</v>
      </c>
    </row>
    <row r="465" spans="1:9">
      <c r="A465" s="34" t="s">
        <v>909</v>
      </c>
      <c r="B465" s="35">
        <v>46118</v>
      </c>
      <c r="C465" s="34" t="s">
        <v>103</v>
      </c>
      <c r="D465" s="34">
        <v>1</v>
      </c>
      <c r="E465" s="34" t="s">
        <v>1085</v>
      </c>
      <c r="F465" t="s">
        <v>934</v>
      </c>
      <c r="G465" t="s">
        <v>935</v>
      </c>
      <c r="H465" t="s">
        <v>936</v>
      </c>
      <c r="I465" t="s">
        <v>937</v>
      </c>
    </row>
    <row r="466" spans="1:9">
      <c r="A466" s="34" t="s">
        <v>909</v>
      </c>
      <c r="B466" s="35">
        <v>46143</v>
      </c>
      <c r="C466" s="34" t="s">
        <v>944</v>
      </c>
      <c r="D466" s="34">
        <v>1</v>
      </c>
      <c r="E466" s="34" t="s">
        <v>1085</v>
      </c>
      <c r="F466" t="s">
        <v>934</v>
      </c>
      <c r="G466" t="s">
        <v>935</v>
      </c>
      <c r="H466" t="s">
        <v>936</v>
      </c>
      <c r="I466" t="s">
        <v>937</v>
      </c>
    </row>
    <row r="467" spans="1:9">
      <c r="A467" s="34" t="s">
        <v>909</v>
      </c>
      <c r="B467" s="35">
        <v>46156</v>
      </c>
      <c r="C467" s="34" t="s">
        <v>996</v>
      </c>
      <c r="D467" s="34">
        <v>1</v>
      </c>
      <c r="E467" s="34" t="s">
        <v>1085</v>
      </c>
      <c r="F467" t="s">
        <v>934</v>
      </c>
      <c r="G467" t="s">
        <v>935</v>
      </c>
      <c r="H467" t="s">
        <v>936</v>
      </c>
      <c r="I467" t="s">
        <v>937</v>
      </c>
    </row>
    <row r="468" spans="1:9">
      <c r="A468" s="34" t="s">
        <v>909</v>
      </c>
      <c r="B468" s="35">
        <v>46166</v>
      </c>
      <c r="C468" s="34" t="s">
        <v>1082</v>
      </c>
      <c r="D468" s="34">
        <v>1</v>
      </c>
      <c r="E468" s="34" t="s">
        <v>1085</v>
      </c>
      <c r="F468" t="s">
        <v>934</v>
      </c>
      <c r="G468" t="s">
        <v>935</v>
      </c>
      <c r="H468" t="s">
        <v>936</v>
      </c>
      <c r="I468" t="s">
        <v>937</v>
      </c>
    </row>
    <row r="469" spans="1:9">
      <c r="A469" s="34" t="s">
        <v>909</v>
      </c>
      <c r="B469" s="35">
        <v>46179</v>
      </c>
      <c r="C469" s="34" t="s">
        <v>987</v>
      </c>
      <c r="D469" s="34">
        <v>1</v>
      </c>
      <c r="E469" s="34" t="s">
        <v>1085</v>
      </c>
      <c r="F469" t="s">
        <v>934</v>
      </c>
      <c r="G469" t="s">
        <v>935</v>
      </c>
      <c r="H469" t="s">
        <v>936</v>
      </c>
      <c r="I469" t="s">
        <v>937</v>
      </c>
    </row>
    <row r="470" spans="1:9">
      <c r="A470" s="34" t="s">
        <v>909</v>
      </c>
      <c r="B470" s="35">
        <v>46192</v>
      </c>
      <c r="C470" s="34" t="s">
        <v>1087</v>
      </c>
      <c r="D470" s="34">
        <v>1</v>
      </c>
      <c r="E470" s="34" t="s">
        <v>1085</v>
      </c>
      <c r="F470" t="s">
        <v>934</v>
      </c>
      <c r="G470" t="s">
        <v>935</v>
      </c>
      <c r="H470" t="s">
        <v>936</v>
      </c>
      <c r="I470" t="s">
        <v>937</v>
      </c>
    </row>
    <row r="471" spans="1:9">
      <c r="A471" s="34" t="s">
        <v>909</v>
      </c>
      <c r="B471" s="35">
        <v>46193</v>
      </c>
      <c r="C471" s="34" t="s">
        <v>1088</v>
      </c>
      <c r="D471" s="34">
        <v>1</v>
      </c>
      <c r="E471" s="34" t="s">
        <v>1085</v>
      </c>
      <c r="F471" t="s">
        <v>934</v>
      </c>
      <c r="G471" t="s">
        <v>935</v>
      </c>
      <c r="H471" t="s">
        <v>936</v>
      </c>
      <c r="I471" t="s">
        <v>937</v>
      </c>
    </row>
    <row r="472" spans="1:9">
      <c r="A472" s="34" t="s">
        <v>909</v>
      </c>
      <c r="B472" s="35">
        <v>46326</v>
      </c>
      <c r="C472" s="34" t="s">
        <v>999</v>
      </c>
      <c r="D472" s="34">
        <v>1</v>
      </c>
      <c r="E472" s="34" t="s">
        <v>1085</v>
      </c>
      <c r="F472" t="s">
        <v>934</v>
      </c>
      <c r="G472" t="s">
        <v>935</v>
      </c>
      <c r="H472" t="s">
        <v>936</v>
      </c>
      <c r="I472" t="s">
        <v>937</v>
      </c>
    </row>
    <row r="473" spans="1:9">
      <c r="A473" s="34" t="s">
        <v>909</v>
      </c>
      <c r="B473" s="35">
        <v>46380</v>
      </c>
      <c r="C473" s="34" t="s">
        <v>1089</v>
      </c>
      <c r="D473" s="34">
        <v>1</v>
      </c>
      <c r="E473" s="34" t="s">
        <v>1085</v>
      </c>
      <c r="F473" t="s">
        <v>934</v>
      </c>
      <c r="G473" t="s">
        <v>935</v>
      </c>
      <c r="H473" t="s">
        <v>936</v>
      </c>
      <c r="I473" t="s">
        <v>937</v>
      </c>
    </row>
    <row r="474" spans="1:9">
      <c r="A474" s="34" t="s">
        <v>909</v>
      </c>
      <c r="B474" s="35">
        <v>46381</v>
      </c>
      <c r="C474" s="34" t="s">
        <v>107</v>
      </c>
      <c r="D474" s="34">
        <v>1</v>
      </c>
      <c r="E474" s="34" t="s">
        <v>1085</v>
      </c>
      <c r="F474" t="s">
        <v>934</v>
      </c>
      <c r="G474" t="s">
        <v>935</v>
      </c>
      <c r="H474" t="s">
        <v>936</v>
      </c>
      <c r="I474" t="s">
        <v>937</v>
      </c>
    </row>
    <row r="475" spans="1:9">
      <c r="A475" s="34" t="s">
        <v>909</v>
      </c>
      <c r="B475" s="35">
        <v>46382</v>
      </c>
      <c r="C475" s="34" t="s">
        <v>1083</v>
      </c>
      <c r="D475" s="34">
        <v>1</v>
      </c>
      <c r="E475" s="34" t="s">
        <v>1085</v>
      </c>
      <c r="F475" t="s">
        <v>934</v>
      </c>
      <c r="G475" t="s">
        <v>935</v>
      </c>
      <c r="H475" t="s">
        <v>936</v>
      </c>
      <c r="I475" t="s">
        <v>937</v>
      </c>
    </row>
    <row r="476" spans="1:9">
      <c r="A476" s="34" t="s">
        <v>909</v>
      </c>
      <c r="B476" s="35">
        <v>46387</v>
      </c>
      <c r="C476" s="34" t="s">
        <v>1090</v>
      </c>
      <c r="D476" s="34">
        <v>1</v>
      </c>
      <c r="E476" s="34" t="s">
        <v>1085</v>
      </c>
      <c r="F476" t="s">
        <v>934</v>
      </c>
      <c r="G476" t="s">
        <v>935</v>
      </c>
      <c r="H476" t="s">
        <v>936</v>
      </c>
      <c r="I476" t="s">
        <v>937</v>
      </c>
    </row>
    <row r="477" spans="1:9">
      <c r="A477" s="34" t="s">
        <v>909</v>
      </c>
      <c r="B477" s="35">
        <v>46388</v>
      </c>
      <c r="C477" s="34" t="s">
        <v>958</v>
      </c>
      <c r="D477" s="34">
        <v>1</v>
      </c>
      <c r="E477" s="34" t="s">
        <v>1085</v>
      </c>
      <c r="F477" t="s">
        <v>934</v>
      </c>
      <c r="G477" t="s">
        <v>935</v>
      </c>
      <c r="H477" t="s">
        <v>936</v>
      </c>
      <c r="I477" t="s">
        <v>937</v>
      </c>
    </row>
    <row r="478" spans="1:9">
      <c r="A478" s="34" t="s">
        <v>909</v>
      </c>
      <c r="B478" s="35">
        <v>46393</v>
      </c>
      <c r="C478" s="34" t="s">
        <v>1086</v>
      </c>
      <c r="D478" s="34">
        <v>1</v>
      </c>
      <c r="E478" s="34" t="s">
        <v>1085</v>
      </c>
      <c r="F478" t="s">
        <v>934</v>
      </c>
      <c r="G478" t="s">
        <v>935</v>
      </c>
      <c r="H478" t="s">
        <v>936</v>
      </c>
      <c r="I478" t="s">
        <v>937</v>
      </c>
    </row>
    <row r="479" spans="1:9">
      <c r="A479" s="34" t="s">
        <v>909</v>
      </c>
      <c r="B479" s="35">
        <v>46472</v>
      </c>
      <c r="C479" s="34" t="s">
        <v>102</v>
      </c>
      <c r="D479" s="34">
        <v>1</v>
      </c>
      <c r="E479" s="34" t="s">
        <v>1085</v>
      </c>
      <c r="F479" t="s">
        <v>934</v>
      </c>
      <c r="G479" t="s">
        <v>935</v>
      </c>
      <c r="H479" t="s">
        <v>936</v>
      </c>
      <c r="I479" t="s">
        <v>937</v>
      </c>
    </row>
    <row r="480" spans="1:9">
      <c r="A480" s="34" t="s">
        <v>909</v>
      </c>
      <c r="B480" s="35">
        <v>46474</v>
      </c>
      <c r="C480" s="34" t="s">
        <v>1081</v>
      </c>
      <c r="D480" s="34">
        <v>1</v>
      </c>
      <c r="E480" s="34" t="s">
        <v>1085</v>
      </c>
      <c r="F480" t="s">
        <v>934</v>
      </c>
      <c r="G480" t="s">
        <v>935</v>
      </c>
      <c r="H480" t="s">
        <v>936</v>
      </c>
      <c r="I480" t="s">
        <v>937</v>
      </c>
    </row>
    <row r="481" spans="1:9">
      <c r="A481" s="34" t="s">
        <v>909</v>
      </c>
      <c r="B481" s="35">
        <v>46475</v>
      </c>
      <c r="C481" s="34" t="s">
        <v>103</v>
      </c>
      <c r="D481" s="34">
        <v>1</v>
      </c>
      <c r="E481" s="34" t="s">
        <v>1085</v>
      </c>
      <c r="F481" t="s">
        <v>934</v>
      </c>
      <c r="G481" t="s">
        <v>935</v>
      </c>
      <c r="H481" t="s">
        <v>936</v>
      </c>
      <c r="I481" t="s">
        <v>937</v>
      </c>
    </row>
    <row r="482" spans="1:9">
      <c r="A482" s="34" t="s">
        <v>909</v>
      </c>
      <c r="B482" s="35">
        <v>46508</v>
      </c>
      <c r="C482" s="34" t="s">
        <v>944</v>
      </c>
      <c r="D482" s="34">
        <v>1</v>
      </c>
      <c r="E482" s="34" t="s">
        <v>1085</v>
      </c>
      <c r="F482" t="s">
        <v>934</v>
      </c>
      <c r="G482" t="s">
        <v>935</v>
      </c>
      <c r="H482" t="s">
        <v>936</v>
      </c>
      <c r="I482" t="s">
        <v>937</v>
      </c>
    </row>
    <row r="483" spans="1:9">
      <c r="A483" s="34" t="s">
        <v>909</v>
      </c>
      <c r="B483" s="35">
        <v>46513</v>
      </c>
      <c r="C483" s="34" t="s">
        <v>996</v>
      </c>
      <c r="D483" s="34">
        <v>1</v>
      </c>
      <c r="E483" s="34" t="s">
        <v>1085</v>
      </c>
      <c r="F483" t="s">
        <v>934</v>
      </c>
      <c r="G483" t="s">
        <v>935</v>
      </c>
      <c r="H483" t="s">
        <v>936</v>
      </c>
      <c r="I483" t="s">
        <v>937</v>
      </c>
    </row>
    <row r="484" spans="1:9">
      <c r="A484" s="34" t="s">
        <v>909</v>
      </c>
      <c r="B484" s="35">
        <v>46523</v>
      </c>
      <c r="C484" s="34" t="s">
        <v>1082</v>
      </c>
      <c r="D484" s="34">
        <v>1</v>
      </c>
      <c r="E484" s="34" t="s">
        <v>1085</v>
      </c>
      <c r="F484" t="s">
        <v>934</v>
      </c>
      <c r="G484" t="s">
        <v>935</v>
      </c>
      <c r="H484" t="s">
        <v>936</v>
      </c>
      <c r="I484" t="s">
        <v>937</v>
      </c>
    </row>
    <row r="485" spans="1:9">
      <c r="A485" s="34" t="s">
        <v>909</v>
      </c>
      <c r="B485" s="35">
        <v>46544</v>
      </c>
      <c r="C485" s="34" t="s">
        <v>987</v>
      </c>
      <c r="D485" s="34">
        <v>1</v>
      </c>
      <c r="E485" s="34" t="s">
        <v>1085</v>
      </c>
      <c r="F485" t="s">
        <v>934</v>
      </c>
      <c r="G485" t="s">
        <v>935</v>
      </c>
      <c r="H485" t="s">
        <v>936</v>
      </c>
      <c r="I485" t="s">
        <v>937</v>
      </c>
    </row>
    <row r="486" spans="1:9">
      <c r="A486" s="34" t="s">
        <v>909</v>
      </c>
      <c r="B486" s="35">
        <v>46563</v>
      </c>
      <c r="C486" s="34" t="s">
        <v>1087</v>
      </c>
      <c r="D486" s="34">
        <v>1</v>
      </c>
      <c r="E486" s="34" t="s">
        <v>1085</v>
      </c>
      <c r="F486" t="s">
        <v>934</v>
      </c>
      <c r="G486" t="s">
        <v>935</v>
      </c>
      <c r="H486" t="s">
        <v>936</v>
      </c>
      <c r="I486" t="s">
        <v>937</v>
      </c>
    </row>
    <row r="487" spans="1:9">
      <c r="A487" s="34" t="s">
        <v>909</v>
      </c>
      <c r="B487" s="35">
        <v>46564</v>
      </c>
      <c r="C487" s="34" t="s">
        <v>1088</v>
      </c>
      <c r="D487" s="34">
        <v>1</v>
      </c>
      <c r="E487" s="34" t="s">
        <v>1085</v>
      </c>
      <c r="F487" t="s">
        <v>934</v>
      </c>
      <c r="G487" t="s">
        <v>935</v>
      </c>
      <c r="H487" t="s">
        <v>936</v>
      </c>
      <c r="I487" t="s">
        <v>937</v>
      </c>
    </row>
    <row r="488" spans="1:9">
      <c r="A488" s="34" t="s">
        <v>909</v>
      </c>
      <c r="B488" s="35">
        <v>46697</v>
      </c>
      <c r="C488" s="34" t="s">
        <v>999</v>
      </c>
      <c r="D488" s="34">
        <v>1</v>
      </c>
      <c r="E488" s="34" t="s">
        <v>1085</v>
      </c>
      <c r="F488" t="s">
        <v>934</v>
      </c>
      <c r="G488" t="s">
        <v>935</v>
      </c>
      <c r="H488" t="s">
        <v>936</v>
      </c>
      <c r="I488" t="s">
        <v>937</v>
      </c>
    </row>
    <row r="489" spans="1:9">
      <c r="A489" s="34" t="s">
        <v>909</v>
      </c>
      <c r="B489" s="35">
        <v>46745</v>
      </c>
      <c r="C489" s="34" t="s">
        <v>1089</v>
      </c>
      <c r="D489" s="34">
        <v>1</v>
      </c>
      <c r="E489" s="34" t="s">
        <v>1085</v>
      </c>
      <c r="F489" t="s">
        <v>934</v>
      </c>
      <c r="G489" t="s">
        <v>935</v>
      </c>
      <c r="H489" t="s">
        <v>936</v>
      </c>
      <c r="I489" t="s">
        <v>937</v>
      </c>
    </row>
    <row r="490" spans="1:9">
      <c r="A490" s="34" t="s">
        <v>909</v>
      </c>
      <c r="B490" s="35">
        <v>46746</v>
      </c>
      <c r="C490" s="34" t="s">
        <v>107</v>
      </c>
      <c r="D490" s="34">
        <v>1</v>
      </c>
      <c r="E490" s="34" t="s">
        <v>1085</v>
      </c>
      <c r="F490" t="s">
        <v>934</v>
      </c>
      <c r="G490" t="s">
        <v>935</v>
      </c>
      <c r="H490" t="s">
        <v>936</v>
      </c>
      <c r="I490" t="s">
        <v>937</v>
      </c>
    </row>
    <row r="491" spans="1:9">
      <c r="A491" s="34" t="s">
        <v>909</v>
      </c>
      <c r="B491" s="35">
        <v>46747</v>
      </c>
      <c r="C491" s="34" t="s">
        <v>1083</v>
      </c>
      <c r="D491" s="34">
        <v>1</v>
      </c>
      <c r="E491" s="34" t="s">
        <v>1085</v>
      </c>
      <c r="F491" t="s">
        <v>934</v>
      </c>
      <c r="G491" t="s">
        <v>935</v>
      </c>
      <c r="H491" t="s">
        <v>936</v>
      </c>
      <c r="I491" t="s">
        <v>937</v>
      </c>
    </row>
    <row r="492" spans="1:9">
      <c r="A492" s="34" t="s">
        <v>909</v>
      </c>
      <c r="B492" s="35">
        <v>46752</v>
      </c>
      <c r="C492" s="34" t="s">
        <v>1090</v>
      </c>
      <c r="D492" s="34">
        <v>1</v>
      </c>
      <c r="E492" s="34" t="s">
        <v>1085</v>
      </c>
      <c r="F492" t="s">
        <v>934</v>
      </c>
      <c r="G492" t="s">
        <v>935</v>
      </c>
      <c r="H492" t="s">
        <v>936</v>
      </c>
      <c r="I492" t="s">
        <v>937</v>
      </c>
    </row>
    <row r="493" spans="1:9">
      <c r="A493" s="34" t="s">
        <v>909</v>
      </c>
      <c r="B493" s="35">
        <v>46753</v>
      </c>
      <c r="C493" s="34" t="s">
        <v>958</v>
      </c>
      <c r="D493" s="34">
        <v>1</v>
      </c>
      <c r="E493" s="34" t="s">
        <v>1085</v>
      </c>
      <c r="F493" t="s">
        <v>934</v>
      </c>
      <c r="G493" t="s">
        <v>935</v>
      </c>
      <c r="H493" t="s">
        <v>936</v>
      </c>
      <c r="I493" t="s">
        <v>937</v>
      </c>
    </row>
    <row r="494" spans="1:9">
      <c r="A494" s="34" t="s">
        <v>909</v>
      </c>
      <c r="B494" s="35">
        <v>46758</v>
      </c>
      <c r="C494" s="34" t="s">
        <v>1086</v>
      </c>
      <c r="D494" s="34">
        <v>1</v>
      </c>
      <c r="E494" s="34" t="s">
        <v>1085</v>
      </c>
      <c r="F494" t="s">
        <v>934</v>
      </c>
      <c r="G494" t="s">
        <v>935</v>
      </c>
      <c r="H494" t="s">
        <v>936</v>
      </c>
      <c r="I494" t="s">
        <v>937</v>
      </c>
    </row>
    <row r="495" spans="1:9">
      <c r="A495" s="34" t="s">
        <v>909</v>
      </c>
      <c r="B495" s="35">
        <v>46857</v>
      </c>
      <c r="C495" s="34" t="s">
        <v>102</v>
      </c>
      <c r="D495" s="34">
        <v>1</v>
      </c>
      <c r="E495" s="34" t="s">
        <v>1085</v>
      </c>
      <c r="F495" t="s">
        <v>934</v>
      </c>
      <c r="G495" t="s">
        <v>935</v>
      </c>
      <c r="H495" t="s">
        <v>936</v>
      </c>
      <c r="I495" t="s">
        <v>937</v>
      </c>
    </row>
    <row r="496" spans="1:9">
      <c r="A496" s="34" t="s">
        <v>909</v>
      </c>
      <c r="B496" s="35">
        <v>46859</v>
      </c>
      <c r="C496" s="34" t="s">
        <v>1081</v>
      </c>
      <c r="D496" s="34">
        <v>1</v>
      </c>
      <c r="E496" s="34" t="s">
        <v>1085</v>
      </c>
      <c r="F496" t="s">
        <v>934</v>
      </c>
      <c r="G496" t="s">
        <v>935</v>
      </c>
      <c r="H496" t="s">
        <v>936</v>
      </c>
      <c r="I496" t="s">
        <v>937</v>
      </c>
    </row>
    <row r="497" spans="1:9">
      <c r="A497" s="34" t="s">
        <v>909</v>
      </c>
      <c r="B497" s="35">
        <v>46860</v>
      </c>
      <c r="C497" s="34" t="s">
        <v>103</v>
      </c>
      <c r="D497" s="34">
        <v>1</v>
      </c>
      <c r="E497" s="34" t="s">
        <v>1085</v>
      </c>
      <c r="F497" t="s">
        <v>934</v>
      </c>
      <c r="G497" t="s">
        <v>935</v>
      </c>
      <c r="H497" t="s">
        <v>936</v>
      </c>
      <c r="I497" t="s">
        <v>937</v>
      </c>
    </row>
    <row r="498" spans="1:9">
      <c r="A498" s="34" t="s">
        <v>909</v>
      </c>
      <c r="B498" s="35">
        <v>46874</v>
      </c>
      <c r="C498" s="34" t="s">
        <v>944</v>
      </c>
      <c r="D498" s="34">
        <v>1</v>
      </c>
      <c r="E498" s="34" t="s">
        <v>1085</v>
      </c>
      <c r="F498" t="s">
        <v>934</v>
      </c>
      <c r="G498" t="s">
        <v>935</v>
      </c>
      <c r="H498" t="s">
        <v>936</v>
      </c>
      <c r="I498" t="s">
        <v>937</v>
      </c>
    </row>
    <row r="499" spans="1:9">
      <c r="A499" s="34" t="s">
        <v>909</v>
      </c>
      <c r="B499" s="35">
        <v>46898</v>
      </c>
      <c r="C499" s="34" t="s">
        <v>996</v>
      </c>
      <c r="D499" s="34">
        <v>1</v>
      </c>
      <c r="E499" s="34" t="s">
        <v>1085</v>
      </c>
      <c r="F499" t="s">
        <v>934</v>
      </c>
      <c r="G499" t="s">
        <v>935</v>
      </c>
      <c r="H499" t="s">
        <v>936</v>
      </c>
      <c r="I499" t="s">
        <v>937</v>
      </c>
    </row>
    <row r="500" spans="1:9">
      <c r="A500" s="34" t="s">
        <v>909</v>
      </c>
      <c r="B500" s="35">
        <v>46908</v>
      </c>
      <c r="C500" s="34" t="s">
        <v>1082</v>
      </c>
      <c r="D500" s="34">
        <v>1</v>
      </c>
      <c r="E500" s="34" t="s">
        <v>1085</v>
      </c>
      <c r="F500" t="s">
        <v>934</v>
      </c>
      <c r="G500" t="s">
        <v>935</v>
      </c>
      <c r="H500" t="s">
        <v>936</v>
      </c>
      <c r="I500" t="s">
        <v>937</v>
      </c>
    </row>
    <row r="501" spans="1:9">
      <c r="A501" s="34" t="s">
        <v>909</v>
      </c>
      <c r="B501" s="35">
        <v>46910</v>
      </c>
      <c r="C501" s="34" t="s">
        <v>987</v>
      </c>
      <c r="D501" s="34">
        <v>1</v>
      </c>
      <c r="E501" s="34" t="s">
        <v>1085</v>
      </c>
      <c r="F501" t="s">
        <v>934</v>
      </c>
      <c r="G501" t="s">
        <v>935</v>
      </c>
      <c r="H501" t="s">
        <v>936</v>
      </c>
      <c r="I501" t="s">
        <v>937</v>
      </c>
    </row>
    <row r="502" spans="1:9">
      <c r="A502" s="34" t="s">
        <v>909</v>
      </c>
      <c r="B502" s="35">
        <v>46927</v>
      </c>
      <c r="C502" s="34" t="s">
        <v>1087</v>
      </c>
      <c r="D502" s="34">
        <v>1</v>
      </c>
      <c r="E502" s="34" t="s">
        <v>1085</v>
      </c>
      <c r="F502" t="s">
        <v>934</v>
      </c>
      <c r="G502" t="s">
        <v>935</v>
      </c>
      <c r="H502" t="s">
        <v>936</v>
      </c>
      <c r="I502" t="s">
        <v>937</v>
      </c>
    </row>
    <row r="503" spans="1:9">
      <c r="A503" s="34" t="s">
        <v>909</v>
      </c>
      <c r="B503" s="35">
        <v>46928</v>
      </c>
      <c r="C503" s="34" t="s">
        <v>1088</v>
      </c>
      <c r="D503" s="34">
        <v>1</v>
      </c>
      <c r="E503" s="34" t="s">
        <v>1085</v>
      </c>
      <c r="F503" t="s">
        <v>934</v>
      </c>
      <c r="G503" t="s">
        <v>935</v>
      </c>
      <c r="H503" t="s">
        <v>936</v>
      </c>
      <c r="I503" t="s">
        <v>937</v>
      </c>
    </row>
    <row r="504" spans="1:9">
      <c r="A504" s="34" t="s">
        <v>909</v>
      </c>
      <c r="B504" s="35">
        <v>47061</v>
      </c>
      <c r="C504" s="34" t="s">
        <v>999</v>
      </c>
      <c r="D504" s="34">
        <v>1</v>
      </c>
      <c r="E504" s="34" t="s">
        <v>1085</v>
      </c>
      <c r="F504" t="s">
        <v>934</v>
      </c>
      <c r="G504" t="s">
        <v>935</v>
      </c>
      <c r="H504" t="s">
        <v>936</v>
      </c>
      <c r="I504" t="s">
        <v>937</v>
      </c>
    </row>
    <row r="505" spans="1:9">
      <c r="A505" s="34" t="s">
        <v>909</v>
      </c>
      <c r="B505" s="35">
        <v>47111</v>
      </c>
      <c r="C505" s="34" t="s">
        <v>1089</v>
      </c>
      <c r="D505" s="34">
        <v>1</v>
      </c>
      <c r="E505" s="34" t="s">
        <v>1085</v>
      </c>
      <c r="F505" t="s">
        <v>934</v>
      </c>
      <c r="G505" t="s">
        <v>935</v>
      </c>
      <c r="H505" t="s">
        <v>936</v>
      </c>
      <c r="I505" t="s">
        <v>937</v>
      </c>
    </row>
    <row r="506" spans="1:9">
      <c r="A506" s="34" t="s">
        <v>909</v>
      </c>
      <c r="B506" s="35">
        <v>47112</v>
      </c>
      <c r="C506" s="34" t="s">
        <v>107</v>
      </c>
      <c r="D506" s="34">
        <v>1</v>
      </c>
      <c r="E506" s="34" t="s">
        <v>1085</v>
      </c>
      <c r="F506" t="s">
        <v>934</v>
      </c>
      <c r="G506" t="s">
        <v>935</v>
      </c>
      <c r="H506" t="s">
        <v>936</v>
      </c>
      <c r="I506" t="s">
        <v>937</v>
      </c>
    </row>
    <row r="507" spans="1:9">
      <c r="A507" s="34" t="s">
        <v>909</v>
      </c>
      <c r="B507" s="35">
        <v>47113</v>
      </c>
      <c r="C507" s="34" t="s">
        <v>1083</v>
      </c>
      <c r="D507" s="34">
        <v>1</v>
      </c>
      <c r="E507" s="34" t="s">
        <v>1085</v>
      </c>
      <c r="F507" t="s">
        <v>934</v>
      </c>
      <c r="G507" t="s">
        <v>935</v>
      </c>
      <c r="H507" t="s">
        <v>936</v>
      </c>
      <c r="I507" t="s">
        <v>937</v>
      </c>
    </row>
    <row r="508" spans="1:9">
      <c r="A508" s="34" t="s">
        <v>909</v>
      </c>
      <c r="B508" s="35">
        <v>47118</v>
      </c>
      <c r="C508" s="34" t="s">
        <v>1090</v>
      </c>
      <c r="D508" s="34">
        <v>1</v>
      </c>
      <c r="E508" s="34" t="s">
        <v>1085</v>
      </c>
      <c r="F508" t="s">
        <v>934</v>
      </c>
      <c r="G508" t="s">
        <v>935</v>
      </c>
      <c r="H508" t="s">
        <v>936</v>
      </c>
      <c r="I508" t="s">
        <v>937</v>
      </c>
    </row>
    <row r="509" spans="1:9">
      <c r="A509" s="34" t="s">
        <v>42</v>
      </c>
      <c r="B509" s="35">
        <v>46023</v>
      </c>
      <c r="C509" s="34" t="s">
        <v>958</v>
      </c>
      <c r="D509" s="34">
        <v>1</v>
      </c>
      <c r="E509" s="34" t="s">
        <v>1091</v>
      </c>
      <c r="F509" t="s">
        <v>934</v>
      </c>
      <c r="G509" t="s">
        <v>935</v>
      </c>
      <c r="H509" t="s">
        <v>936</v>
      </c>
      <c r="I509" t="s">
        <v>937</v>
      </c>
    </row>
    <row r="510" spans="1:9">
      <c r="A510" s="34" t="s">
        <v>42</v>
      </c>
      <c r="B510" s="35">
        <v>46041</v>
      </c>
      <c r="C510" s="34" t="s">
        <v>1092</v>
      </c>
      <c r="D510" s="34">
        <v>1</v>
      </c>
      <c r="E510" s="34" t="s">
        <v>1091</v>
      </c>
      <c r="F510" t="s">
        <v>934</v>
      </c>
      <c r="G510" t="s">
        <v>935</v>
      </c>
      <c r="H510" t="s">
        <v>936</v>
      </c>
      <c r="I510" t="s">
        <v>937</v>
      </c>
    </row>
    <row r="511" spans="1:9">
      <c r="A511" s="34" t="s">
        <v>42</v>
      </c>
      <c r="B511" s="35">
        <v>46069</v>
      </c>
      <c r="C511" s="34" t="s">
        <v>1093</v>
      </c>
      <c r="D511" s="34">
        <v>1</v>
      </c>
      <c r="E511" s="34" t="s">
        <v>1091</v>
      </c>
      <c r="F511" t="s">
        <v>934</v>
      </c>
      <c r="G511" t="s">
        <v>935</v>
      </c>
      <c r="H511" t="s">
        <v>936</v>
      </c>
      <c r="I511" t="s">
        <v>937</v>
      </c>
    </row>
    <row r="512" spans="1:9">
      <c r="A512" s="34" t="s">
        <v>42</v>
      </c>
      <c r="B512" s="35">
        <v>46167</v>
      </c>
      <c r="C512" s="34" t="s">
        <v>1062</v>
      </c>
      <c r="D512" s="34">
        <v>1</v>
      </c>
      <c r="E512" s="34" t="s">
        <v>1091</v>
      </c>
      <c r="F512" t="s">
        <v>934</v>
      </c>
      <c r="G512" t="s">
        <v>935</v>
      </c>
      <c r="H512" t="s">
        <v>936</v>
      </c>
      <c r="I512" t="s">
        <v>937</v>
      </c>
    </row>
    <row r="513" spans="1:9">
      <c r="A513" s="34" t="s">
        <v>42</v>
      </c>
      <c r="B513" s="35">
        <v>46192</v>
      </c>
      <c r="C513" s="34" t="s">
        <v>1094</v>
      </c>
      <c r="D513" s="34">
        <v>1</v>
      </c>
      <c r="E513" s="34" t="s">
        <v>1091</v>
      </c>
      <c r="F513" t="s">
        <v>934</v>
      </c>
      <c r="G513" t="s">
        <v>935</v>
      </c>
      <c r="H513" t="s">
        <v>936</v>
      </c>
      <c r="I513" t="s">
        <v>937</v>
      </c>
    </row>
    <row r="514" spans="1:9">
      <c r="A514" s="34" t="s">
        <v>42</v>
      </c>
      <c r="B514" s="35">
        <v>46206</v>
      </c>
      <c r="C514" s="34" t="s">
        <v>1095</v>
      </c>
      <c r="D514" s="34">
        <v>1</v>
      </c>
      <c r="E514" s="34" t="s">
        <v>1091</v>
      </c>
      <c r="F514" t="s">
        <v>934</v>
      </c>
      <c r="G514" t="s">
        <v>935</v>
      </c>
      <c r="H514" t="s">
        <v>936</v>
      </c>
      <c r="I514" t="s">
        <v>937</v>
      </c>
    </row>
    <row r="515" spans="1:9">
      <c r="A515" s="34" t="s">
        <v>42</v>
      </c>
      <c r="B515" s="35">
        <v>46207</v>
      </c>
      <c r="C515" s="34" t="s">
        <v>942</v>
      </c>
      <c r="D515" s="34">
        <v>1</v>
      </c>
      <c r="E515" s="34" t="s">
        <v>1091</v>
      </c>
      <c r="F515" t="s">
        <v>934</v>
      </c>
      <c r="G515" t="s">
        <v>935</v>
      </c>
      <c r="H515" t="s">
        <v>936</v>
      </c>
      <c r="I515" t="s">
        <v>937</v>
      </c>
    </row>
    <row r="516" spans="1:9">
      <c r="A516" s="34" t="s">
        <v>42</v>
      </c>
      <c r="B516" s="35">
        <v>46272</v>
      </c>
      <c r="C516" s="34" t="s">
        <v>962</v>
      </c>
      <c r="D516" s="34">
        <v>1</v>
      </c>
      <c r="E516" s="34" t="s">
        <v>1091</v>
      </c>
      <c r="F516" t="s">
        <v>934</v>
      </c>
      <c r="G516" t="s">
        <v>935</v>
      </c>
      <c r="H516" t="s">
        <v>936</v>
      </c>
      <c r="I516" t="s">
        <v>937</v>
      </c>
    </row>
    <row r="517" spans="1:9">
      <c r="A517" s="34" t="s">
        <v>42</v>
      </c>
      <c r="B517" s="35">
        <v>46307</v>
      </c>
      <c r="C517" s="34" t="s">
        <v>1096</v>
      </c>
      <c r="D517" s="34">
        <v>1</v>
      </c>
      <c r="E517" s="34" t="s">
        <v>1091</v>
      </c>
      <c r="F517" t="s">
        <v>934</v>
      </c>
      <c r="G517" t="s">
        <v>935</v>
      </c>
      <c r="H517" t="s">
        <v>936</v>
      </c>
      <c r="I517" t="s">
        <v>937</v>
      </c>
    </row>
    <row r="518" spans="1:9">
      <c r="A518" s="34" t="s">
        <v>42</v>
      </c>
      <c r="B518" s="35">
        <v>46337</v>
      </c>
      <c r="C518" s="34" t="s">
        <v>1097</v>
      </c>
      <c r="D518" s="34">
        <v>1</v>
      </c>
      <c r="E518" s="34" t="s">
        <v>1091</v>
      </c>
      <c r="F518" t="s">
        <v>934</v>
      </c>
      <c r="G518" t="s">
        <v>935</v>
      </c>
      <c r="H518" t="s">
        <v>936</v>
      </c>
      <c r="I518" t="s">
        <v>937</v>
      </c>
    </row>
    <row r="519" spans="1:9">
      <c r="A519" s="34" t="s">
        <v>42</v>
      </c>
      <c r="B519" s="35">
        <v>46352</v>
      </c>
      <c r="C519" s="34" t="s">
        <v>964</v>
      </c>
      <c r="D519" s="34">
        <v>1</v>
      </c>
      <c r="E519" s="34" t="s">
        <v>1091</v>
      </c>
      <c r="F519" t="s">
        <v>934</v>
      </c>
      <c r="G519" t="s">
        <v>935</v>
      </c>
      <c r="H519" t="s">
        <v>936</v>
      </c>
      <c r="I519" t="s">
        <v>937</v>
      </c>
    </row>
    <row r="520" spans="1:9">
      <c r="A520" s="34" t="s">
        <v>42</v>
      </c>
      <c r="B520" s="35">
        <v>46381</v>
      </c>
      <c r="C520" s="34" t="s">
        <v>107</v>
      </c>
      <c r="D520" s="34">
        <v>1</v>
      </c>
      <c r="E520" s="34" t="s">
        <v>1091</v>
      </c>
      <c r="F520" t="s">
        <v>934</v>
      </c>
      <c r="G520" t="s">
        <v>935</v>
      </c>
      <c r="H520" t="s">
        <v>936</v>
      </c>
      <c r="I520" t="s">
        <v>937</v>
      </c>
    </row>
    <row r="521" spans="1:9">
      <c r="A521" s="34" t="s">
        <v>42</v>
      </c>
      <c r="B521" s="35">
        <v>46388</v>
      </c>
      <c r="C521" s="34" t="s">
        <v>958</v>
      </c>
      <c r="D521" s="34">
        <v>1</v>
      </c>
      <c r="E521" s="34" t="s">
        <v>1091</v>
      </c>
      <c r="F521" t="s">
        <v>934</v>
      </c>
      <c r="G521" t="s">
        <v>935</v>
      </c>
      <c r="H521" t="s">
        <v>936</v>
      </c>
      <c r="I521" t="s">
        <v>937</v>
      </c>
    </row>
    <row r="522" spans="1:9">
      <c r="A522" s="34" t="s">
        <v>42</v>
      </c>
      <c r="B522" s="35">
        <v>46405</v>
      </c>
      <c r="C522" s="34" t="s">
        <v>1092</v>
      </c>
      <c r="D522" s="34">
        <v>1</v>
      </c>
      <c r="E522" s="34" t="s">
        <v>1091</v>
      </c>
      <c r="F522" t="s">
        <v>934</v>
      </c>
      <c r="G522" t="s">
        <v>935</v>
      </c>
      <c r="H522" t="s">
        <v>936</v>
      </c>
      <c r="I522" t="s">
        <v>937</v>
      </c>
    </row>
    <row r="523" spans="1:9">
      <c r="A523" s="34" t="s">
        <v>42</v>
      </c>
      <c r="B523" s="35">
        <v>46433</v>
      </c>
      <c r="C523" s="34" t="s">
        <v>1093</v>
      </c>
      <c r="D523" s="34">
        <v>1</v>
      </c>
      <c r="E523" s="34" t="s">
        <v>1091</v>
      </c>
      <c r="F523" t="s">
        <v>934</v>
      </c>
      <c r="G523" t="s">
        <v>935</v>
      </c>
      <c r="H523" t="s">
        <v>936</v>
      </c>
      <c r="I523" t="s">
        <v>937</v>
      </c>
    </row>
    <row r="524" spans="1:9">
      <c r="A524" s="34" t="s">
        <v>42</v>
      </c>
      <c r="B524" s="35">
        <v>46538</v>
      </c>
      <c r="C524" s="34" t="s">
        <v>1062</v>
      </c>
      <c r="D524" s="34">
        <v>1</v>
      </c>
      <c r="E524" s="34" t="s">
        <v>1091</v>
      </c>
      <c r="F524" t="s">
        <v>934</v>
      </c>
      <c r="G524" t="s">
        <v>935</v>
      </c>
      <c r="H524" t="s">
        <v>936</v>
      </c>
      <c r="I524" t="s">
        <v>937</v>
      </c>
    </row>
    <row r="525" spans="1:9">
      <c r="A525" s="34" t="s">
        <v>42</v>
      </c>
      <c r="B525" s="35">
        <v>46556</v>
      </c>
      <c r="C525" s="34" t="s">
        <v>1098</v>
      </c>
      <c r="D525" s="34">
        <v>1</v>
      </c>
      <c r="E525" s="34" t="s">
        <v>1091</v>
      </c>
      <c r="F525" t="s">
        <v>934</v>
      </c>
      <c r="G525" t="s">
        <v>935</v>
      </c>
      <c r="H525" t="s">
        <v>936</v>
      </c>
      <c r="I525" t="s">
        <v>937</v>
      </c>
    </row>
    <row r="526" spans="1:9">
      <c r="A526" s="34" t="s">
        <v>42</v>
      </c>
      <c r="B526" s="35">
        <v>46557</v>
      </c>
      <c r="C526" s="34" t="s">
        <v>1094</v>
      </c>
      <c r="D526" s="34">
        <v>1</v>
      </c>
      <c r="E526" s="34" t="s">
        <v>1091</v>
      </c>
      <c r="F526" t="s">
        <v>934</v>
      </c>
      <c r="G526" t="s">
        <v>935</v>
      </c>
      <c r="H526" t="s">
        <v>936</v>
      </c>
      <c r="I526" t="s">
        <v>937</v>
      </c>
    </row>
    <row r="527" spans="1:9">
      <c r="A527" s="34" t="s">
        <v>42</v>
      </c>
      <c r="B527" s="35">
        <v>46572</v>
      </c>
      <c r="C527" s="34" t="s">
        <v>942</v>
      </c>
      <c r="D527" s="34">
        <v>1</v>
      </c>
      <c r="E527" s="34" t="s">
        <v>1091</v>
      </c>
      <c r="F527" t="s">
        <v>934</v>
      </c>
      <c r="G527" t="s">
        <v>935</v>
      </c>
      <c r="H527" t="s">
        <v>936</v>
      </c>
      <c r="I527" t="s">
        <v>937</v>
      </c>
    </row>
    <row r="528" spans="1:9">
      <c r="A528" s="34" t="s">
        <v>42</v>
      </c>
      <c r="B528" s="35">
        <v>46573</v>
      </c>
      <c r="C528" s="34" t="s">
        <v>1095</v>
      </c>
      <c r="D528" s="34">
        <v>1</v>
      </c>
      <c r="E528" s="34" t="s">
        <v>1091</v>
      </c>
      <c r="F528" t="s">
        <v>934</v>
      </c>
      <c r="G528" t="s">
        <v>935</v>
      </c>
      <c r="H528" t="s">
        <v>936</v>
      </c>
      <c r="I528" t="s">
        <v>937</v>
      </c>
    </row>
    <row r="529" spans="1:9">
      <c r="A529" s="34" t="s">
        <v>42</v>
      </c>
      <c r="B529" s="35">
        <v>46636</v>
      </c>
      <c r="C529" s="34" t="s">
        <v>962</v>
      </c>
      <c r="D529" s="34">
        <v>1</v>
      </c>
      <c r="E529" s="34" t="s">
        <v>1091</v>
      </c>
      <c r="F529" t="s">
        <v>934</v>
      </c>
      <c r="G529" t="s">
        <v>935</v>
      </c>
      <c r="H529" t="s">
        <v>936</v>
      </c>
      <c r="I529" t="s">
        <v>937</v>
      </c>
    </row>
    <row r="530" spans="1:9">
      <c r="A530" s="34" t="s">
        <v>42</v>
      </c>
      <c r="B530" s="35">
        <v>46671</v>
      </c>
      <c r="C530" s="34" t="s">
        <v>1096</v>
      </c>
      <c r="D530" s="34">
        <v>1</v>
      </c>
      <c r="E530" s="34" t="s">
        <v>1091</v>
      </c>
      <c r="F530" t="s">
        <v>934</v>
      </c>
      <c r="G530" t="s">
        <v>935</v>
      </c>
      <c r="H530" t="s">
        <v>936</v>
      </c>
      <c r="I530" t="s">
        <v>937</v>
      </c>
    </row>
    <row r="531" spans="1:9">
      <c r="A531" s="34" t="s">
        <v>42</v>
      </c>
      <c r="B531" s="35">
        <v>46702</v>
      </c>
      <c r="C531" s="34" t="s">
        <v>1097</v>
      </c>
      <c r="D531" s="34">
        <v>1</v>
      </c>
      <c r="E531" s="34" t="s">
        <v>1091</v>
      </c>
      <c r="F531" t="s">
        <v>934</v>
      </c>
      <c r="G531" t="s">
        <v>935</v>
      </c>
      <c r="H531" t="s">
        <v>936</v>
      </c>
      <c r="I531" t="s">
        <v>937</v>
      </c>
    </row>
    <row r="532" spans="1:9">
      <c r="A532" s="34" t="s">
        <v>42</v>
      </c>
      <c r="B532" s="35">
        <v>46716</v>
      </c>
      <c r="C532" s="34" t="s">
        <v>964</v>
      </c>
      <c r="D532" s="34">
        <v>1</v>
      </c>
      <c r="E532" s="34" t="s">
        <v>1091</v>
      </c>
      <c r="F532" t="s">
        <v>934</v>
      </c>
      <c r="G532" t="s">
        <v>935</v>
      </c>
      <c r="H532" t="s">
        <v>936</v>
      </c>
      <c r="I532" t="s">
        <v>937</v>
      </c>
    </row>
    <row r="533" spans="1:9">
      <c r="A533" s="34" t="s">
        <v>42</v>
      </c>
      <c r="B533" s="35">
        <v>46745</v>
      </c>
      <c r="C533" s="34" t="s">
        <v>967</v>
      </c>
      <c r="D533" s="34">
        <v>1</v>
      </c>
      <c r="E533" s="34" t="s">
        <v>1091</v>
      </c>
      <c r="F533" t="s">
        <v>934</v>
      </c>
      <c r="G533" t="s">
        <v>935</v>
      </c>
      <c r="H533" t="s">
        <v>936</v>
      </c>
      <c r="I533" t="s">
        <v>937</v>
      </c>
    </row>
    <row r="534" spans="1:9">
      <c r="A534" s="34" t="s">
        <v>42</v>
      </c>
      <c r="B534" s="35">
        <v>46746</v>
      </c>
      <c r="C534" s="34" t="s">
        <v>107</v>
      </c>
      <c r="D534" s="34">
        <v>1</v>
      </c>
      <c r="E534" s="34" t="s">
        <v>1091</v>
      </c>
      <c r="F534" t="s">
        <v>934</v>
      </c>
      <c r="G534" t="s">
        <v>935</v>
      </c>
      <c r="H534" t="s">
        <v>936</v>
      </c>
      <c r="I534" t="s">
        <v>937</v>
      </c>
    </row>
    <row r="535" spans="1:9">
      <c r="A535" s="34" t="s">
        <v>42</v>
      </c>
      <c r="B535" s="35">
        <v>46752</v>
      </c>
      <c r="C535" s="34" t="s">
        <v>968</v>
      </c>
      <c r="D535" s="34">
        <v>1</v>
      </c>
      <c r="E535" s="34" t="s">
        <v>1091</v>
      </c>
      <c r="F535" t="s">
        <v>934</v>
      </c>
      <c r="G535" t="s">
        <v>935</v>
      </c>
      <c r="H535" t="s">
        <v>936</v>
      </c>
      <c r="I535" t="s">
        <v>937</v>
      </c>
    </row>
    <row r="536" spans="1:9">
      <c r="A536" s="34" t="s">
        <v>42</v>
      </c>
      <c r="B536" s="35">
        <v>46753</v>
      </c>
      <c r="C536" s="34" t="s">
        <v>958</v>
      </c>
      <c r="D536" s="34">
        <v>1</v>
      </c>
      <c r="E536" s="34" t="s">
        <v>1091</v>
      </c>
      <c r="F536" t="s">
        <v>934</v>
      </c>
      <c r="G536" t="s">
        <v>935</v>
      </c>
      <c r="H536" t="s">
        <v>936</v>
      </c>
      <c r="I536" t="s">
        <v>937</v>
      </c>
    </row>
    <row r="537" spans="1:9">
      <c r="A537" s="34" t="s">
        <v>42</v>
      </c>
      <c r="B537" s="35">
        <v>46769</v>
      </c>
      <c r="C537" s="34" t="s">
        <v>1092</v>
      </c>
      <c r="D537" s="34">
        <v>1</v>
      </c>
      <c r="E537" s="34" t="s">
        <v>1091</v>
      </c>
      <c r="F537" t="s">
        <v>934</v>
      </c>
      <c r="G537" t="s">
        <v>935</v>
      </c>
      <c r="H537" t="s">
        <v>936</v>
      </c>
      <c r="I537" t="s">
        <v>937</v>
      </c>
    </row>
    <row r="538" spans="1:9">
      <c r="A538" s="34" t="s">
        <v>42</v>
      </c>
      <c r="B538" s="35">
        <v>46804</v>
      </c>
      <c r="C538" s="34" t="s">
        <v>1093</v>
      </c>
      <c r="D538" s="34">
        <v>1</v>
      </c>
      <c r="E538" s="34" t="s">
        <v>1091</v>
      </c>
      <c r="F538" t="s">
        <v>934</v>
      </c>
      <c r="G538" t="s">
        <v>935</v>
      </c>
      <c r="H538" t="s">
        <v>936</v>
      </c>
      <c r="I538" t="s">
        <v>937</v>
      </c>
    </row>
    <row r="539" spans="1:9">
      <c r="A539" s="34" t="s">
        <v>42</v>
      </c>
      <c r="B539" s="35">
        <v>46902</v>
      </c>
      <c r="C539" s="34" t="s">
        <v>1062</v>
      </c>
      <c r="D539" s="34">
        <v>1</v>
      </c>
      <c r="E539" s="34" t="s">
        <v>1091</v>
      </c>
      <c r="F539" t="s">
        <v>934</v>
      </c>
      <c r="G539" t="s">
        <v>935</v>
      </c>
      <c r="H539" t="s">
        <v>936</v>
      </c>
      <c r="I539" t="s">
        <v>937</v>
      </c>
    </row>
    <row r="540" spans="1:9">
      <c r="A540" s="34" t="s">
        <v>42</v>
      </c>
      <c r="B540" s="35">
        <v>46923</v>
      </c>
      <c r="C540" s="34" t="s">
        <v>1094</v>
      </c>
      <c r="D540" s="34">
        <v>1</v>
      </c>
      <c r="E540" s="34" t="s">
        <v>1091</v>
      </c>
      <c r="F540" t="s">
        <v>934</v>
      </c>
      <c r="G540" t="s">
        <v>935</v>
      </c>
      <c r="H540" t="s">
        <v>936</v>
      </c>
      <c r="I540" t="s">
        <v>937</v>
      </c>
    </row>
    <row r="541" spans="1:9">
      <c r="A541" s="34" t="s">
        <v>42</v>
      </c>
      <c r="B541" s="35">
        <v>46938</v>
      </c>
      <c r="C541" s="34" t="s">
        <v>942</v>
      </c>
      <c r="D541" s="34">
        <v>1</v>
      </c>
      <c r="E541" s="34" t="s">
        <v>1091</v>
      </c>
      <c r="F541" t="s">
        <v>934</v>
      </c>
      <c r="G541" t="s">
        <v>935</v>
      </c>
      <c r="H541" t="s">
        <v>936</v>
      </c>
      <c r="I541" t="s">
        <v>937</v>
      </c>
    </row>
    <row r="542" spans="1:9">
      <c r="A542" s="34" t="s">
        <v>42</v>
      </c>
      <c r="B542" s="35">
        <v>47000</v>
      </c>
      <c r="C542" s="34" t="s">
        <v>962</v>
      </c>
      <c r="D542" s="34">
        <v>1</v>
      </c>
      <c r="E542" s="34" t="s">
        <v>1091</v>
      </c>
      <c r="F542" t="s">
        <v>934</v>
      </c>
      <c r="G542" t="s">
        <v>935</v>
      </c>
      <c r="H542" t="s">
        <v>936</v>
      </c>
      <c r="I542" t="s">
        <v>937</v>
      </c>
    </row>
    <row r="543" spans="1:9">
      <c r="A543" s="34" t="s">
        <v>42</v>
      </c>
      <c r="B543" s="35">
        <v>47035</v>
      </c>
      <c r="C543" s="34" t="s">
        <v>1096</v>
      </c>
      <c r="D543" s="34">
        <v>1</v>
      </c>
      <c r="E543" s="34" t="s">
        <v>1091</v>
      </c>
      <c r="F543" t="s">
        <v>934</v>
      </c>
      <c r="G543" t="s">
        <v>935</v>
      </c>
      <c r="H543" t="s">
        <v>936</v>
      </c>
      <c r="I543" t="s">
        <v>937</v>
      </c>
    </row>
    <row r="544" spans="1:9">
      <c r="A544" s="34" t="s">
        <v>42</v>
      </c>
      <c r="B544" s="35">
        <v>47067</v>
      </c>
      <c r="C544" s="34" t="s">
        <v>1099</v>
      </c>
      <c r="D544" s="34">
        <v>1</v>
      </c>
      <c r="E544" s="34" t="s">
        <v>1091</v>
      </c>
      <c r="F544" t="s">
        <v>934</v>
      </c>
      <c r="G544" t="s">
        <v>935</v>
      </c>
      <c r="H544" t="s">
        <v>936</v>
      </c>
      <c r="I544" t="s">
        <v>937</v>
      </c>
    </row>
    <row r="545" spans="1:9">
      <c r="A545" s="34" t="s">
        <v>42</v>
      </c>
      <c r="B545" s="35">
        <v>47068</v>
      </c>
      <c r="C545" s="34" t="s">
        <v>1097</v>
      </c>
      <c r="D545" s="34">
        <v>1</v>
      </c>
      <c r="E545" s="34" t="s">
        <v>1091</v>
      </c>
      <c r="F545" t="s">
        <v>934</v>
      </c>
      <c r="G545" t="s">
        <v>935</v>
      </c>
      <c r="H545" t="s">
        <v>936</v>
      </c>
      <c r="I545" t="s">
        <v>937</v>
      </c>
    </row>
    <row r="546" spans="1:9">
      <c r="A546" s="34" t="s">
        <v>42</v>
      </c>
      <c r="B546" s="35">
        <v>47080</v>
      </c>
      <c r="C546" s="34" t="s">
        <v>964</v>
      </c>
      <c r="D546" s="34">
        <v>1</v>
      </c>
      <c r="E546" s="34" t="s">
        <v>1091</v>
      </c>
      <c r="F546" t="s">
        <v>934</v>
      </c>
      <c r="G546" t="s">
        <v>935</v>
      </c>
      <c r="H546" t="s">
        <v>936</v>
      </c>
      <c r="I546" t="s">
        <v>937</v>
      </c>
    </row>
    <row r="547" spans="1:9">
      <c r="A547" s="34" t="s">
        <v>42</v>
      </c>
      <c r="B547" s="35">
        <v>47112</v>
      </c>
      <c r="C547" s="34" t="s">
        <v>107</v>
      </c>
      <c r="D547" s="34">
        <v>1</v>
      </c>
      <c r="E547" s="34" t="s">
        <v>1091</v>
      </c>
      <c r="F547" t="s">
        <v>934</v>
      </c>
      <c r="G547" t="s">
        <v>935</v>
      </c>
      <c r="H547" t="s">
        <v>936</v>
      </c>
      <c r="I547" t="s">
        <v>937</v>
      </c>
    </row>
  </sheetData>
  <WedgeCells count="3">
    <WedgeCell ref="A1:E1"/>
    <WedgeCell ref="A2:E2"/>
    <WedgeCell ref="A3:E3"/>
  </WedgeCells>
  <phoneticPr fontId="14"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Tue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BE9448"/>
  </sheetPr>
  <dimension ref="A1:J290"/>
  <sheetViews>
    <sheetView showGridLines="0" zoomScale="90" zoomScaleNormal="90" workbookViewId="0">
      <pane ySplit="27" topLeftCell="A28" activePane="bottomLeft" state="frozen"/>
      <selection pane="bottomLeft" sqref="A1:J1"/>
    </sheetView>
  </sheetViews>
  <sheetFormatPr defaultRowHeight="13.5"/>
  <cols>
    <col min="1" max="1" width="40.9375" bestFit="1" customWidth="1"/>
    <col min="2" max="3" width="19.5625" customWidth="1"/>
    <col min="4" max="4" width="44" customWidth="1"/>
    <col min="5" max="5" width="54" customWidth="1"/>
    <col min="6" max="6" width="30.5625" customWidth="1"/>
    <col min="7" max="7" width="42.875" bestFit="1" customWidth="1"/>
    <col min="8" max="9" width="23" customWidth="1"/>
    <col min="10" max="10" width="54" customWidth="1"/>
  </cols>
  <sheetData>
    <row r="1" spans="1:10" ht="21.4">
      <c r="A1" s="83" t="s">
        <v>109</v>
      </c>
      <c r="B1" s="82"/>
      <c r="C1" s="82"/>
      <c r="D1" s="82"/>
      <c r="E1" s="82"/>
      <c r="F1" s="82"/>
      <c r="G1" s="82"/>
      <c r="H1" s="82"/>
      <c r="I1" s="82"/>
      <c r="J1" s="82"/>
    </row>
    <row r="2" spans="1:10">
      <c r="A2" s="82" t="s">
        <v>110</v>
      </c>
      <c r="B2" s="82"/>
      <c r="C2" s="82"/>
      <c r="D2" s="82"/>
      <c r="E2" s="82"/>
      <c r="F2" s="82"/>
      <c r="G2" s="82"/>
      <c r="H2" s="82"/>
      <c r="I2" s="82"/>
      <c r="J2" s="82"/>
    </row>
    <row r="3" spans="1:10">
      <c r="A3" s="1"/>
      <c r="B3" s="82" t="str" cm="1">
        <f t="array" ref="B3">IFERROR("Moon at view start: "&amp;VLOOKUP(IF(ABS(Calcoli!B6-INDEX(MoonPhases[Utc],MATCH(Calcoli!B6,MoonPhases[Utc],1)))&lt;1/1440,INDEX(MoonPhases[Phase],MATCH(Calcoli!B6,MoonPhases[Utc],1)),INDEX(MoonPhases[Between],MATCH(Calcoli!B6,MoonPhases[Utc],1))),Calcoli!$J$95:$K$102,2,FALSE)&amp;" "&amp;IF(ABS(Calcoli!B6-INDEX(MoonPhases[Utc],MATCH(Calcoli!B6,MoonPhases[Utc],1)))&lt;1/1440,INDEX(MoonPhases[Phase],MATCH(Calcoli!B6,MoonPhases[Utc],1)),INDEX(MoonPhases[Between],MATCH(Calcoli!B6,MoonPhases[Utc],1)))&amp;" | next: "&amp;VLOOKUP(INDEX(MoonPhases[Phase],MATCH(Calcoli!B6,MoonPhases[Utc],1)+1),Calcoli!$J$95:$K$102,2,FALSE)&amp;" "&amp;INDEX(MoonPhases[Phase],MATCH(Calcoli!B6,MoonPhases[Utc],1)+1)&amp;" "&amp;RIGHT("0"&amp;DAY(INDEX(MoonPhases[Utc],MATCH(Calcoli!B6,MoonPhases[Utc],1)+1)),2)&amp;"/"&amp;RIGHT("0"&amp;MONTH(INDEX(MoonPhases[Utc],MATCH(Calcoli!B6,MoonPhases[Utc],1)+1)),2)&amp;" "&amp;RIGHT("0"&amp;HOUR(INDEX(MoonPhases[Utc],MATCH(Calcoli!B6,MoonPhases[Utc],1)+1)),2)&amp;":"&amp;RIGHT("0"&amp;MINUTE(INDEX(MoonPhases[Utc],MATCH(Calcoli!B6,MoonPhases[Utc],1)+1)),2)&amp;" UTC","Moon: invalid date or outside coverage")</f>
        <v>Moon at view start: 🌔 Waxing gibbous | next: 🌕 Full moon 26/09 16:49 UTC</v>
      </c>
      <c r="C3" s="82"/>
      <c r="D3" s="82"/>
      <c r="E3" s="82"/>
      <c r="F3" s="82"/>
      <c r="G3" s="82"/>
      <c r="H3" s="82"/>
      <c r="I3" s="82"/>
      <c r="J3" s="82"/>
    </row>
    <row r="4" spans="1:10">
      <c r="A4" s="1"/>
      <c r="B4" s="84" t="str">
        <f>IF(COUNTIF(Saints[Key],MONTH(Parametri!C5)*100+DAY(Parametri!C5))=0,"Observances: no data in the selection (not a complete calendar)","Observances (info only): "&amp;LEFT(INDEX(Saints[Name],MATCH(MONTH(Parametri!C5)*100+DAY(Parametri!C5),Saints[Key],0)),110)&amp;IF(LEN(INDEX(Saints[Name],MATCH(MONTH(Parametri!C5)*100+DAY(Parametri!C5),Saints[Key],0)))&gt;110,"... see Info",""))</f>
        <v>Observances (info only): Blessed Virgin Mary of Mercy</v>
      </c>
      <c r="C4" s="82"/>
      <c r="D4" s="82"/>
      <c r="E4" s="82"/>
      <c r="F4" s="82"/>
      <c r="G4" s="82"/>
      <c r="H4" s="82"/>
      <c r="I4" s="82"/>
      <c r="J4" s="82"/>
    </row>
    <row r="5" spans="1:10">
      <c r="A5" s="1"/>
      <c r="B5" s="1"/>
      <c r="C5" s="1"/>
      <c r="D5" s="1"/>
      <c r="E5" s="1"/>
      <c r="F5" s="1"/>
      <c r="G5" s="1"/>
      <c r="H5" s="1"/>
      <c r="I5" s="1"/>
      <c r="J5" s="1"/>
    </row>
    <row r="6" spans="1:10" ht="24" customHeight="1">
      <c r="A6" s="85" t="s">
        <v>923</v>
      </c>
      <c r="B6" s="85"/>
      <c r="C6" s="85"/>
      <c r="D6" s="85"/>
      <c r="E6" s="85"/>
      <c r="F6" s="85"/>
      <c r="G6" s="85"/>
      <c r="H6" s="85"/>
      <c r="I6" s="85"/>
      <c r="J6" s="85"/>
    </row>
    <row r="7" spans="1:10" ht="30" customHeight="1">
      <c r="A7" s="38" t="s">
        <v>137</v>
      </c>
      <c r="B7" s="38" t="s">
        <v>1414</v>
      </c>
      <c r="C7" s="38" t="s">
        <v>1415</v>
      </c>
      <c r="D7" s="38" t="s">
        <v>1416</v>
      </c>
      <c r="E7" s="38" t="s">
        <v>1417</v>
      </c>
      <c r="F7" s="38" t="s">
        <v>1418</v>
      </c>
      <c r="G7" s="38" t="s">
        <v>1419</v>
      </c>
      <c r="H7" s="38" t="s">
        <v>929</v>
      </c>
      <c r="I7" s="38" t="s">
        <v>100</v>
      </c>
      <c r="J7" s="1"/>
    </row>
    <row r="8" spans="1:10" ht="30" customHeight="1">
      <c r="A8" s="39" t="s">
        <v>26</v>
      </c>
      <c r="B8" s="40">
        <v>46288.872418981482</v>
      </c>
      <c r="C8" s="40">
        <v>46288.872499999998</v>
      </c>
      <c r="D8" s="41">
        <v>26</v>
      </c>
      <c r="E8" s="41">
        <v>26</v>
      </c>
      <c r="F8" s="42" t="s">
        <v>1420</v>
      </c>
      <c r="G8" s="41">
        <v>0.53</v>
      </c>
      <c r="H8" s="39" t="s">
        <v>1421</v>
      </c>
      <c r="I8" s="39" t="s">
        <v>1422</v>
      </c>
      <c r="J8" s="1"/>
    </row>
    <row r="9" spans="1:10" ht="30" customHeight="1">
      <c r="A9" s="43" t="s">
        <v>29</v>
      </c>
      <c r="B9" s="44">
        <v>46288.872511574074</v>
      </c>
      <c r="C9" s="44">
        <v>46288.872499999998</v>
      </c>
      <c r="D9" s="45">
        <v>29.01</v>
      </c>
      <c r="E9" s="45">
        <v>35.67</v>
      </c>
      <c r="F9" s="46" t="s">
        <v>1423</v>
      </c>
      <c r="G9" s="45">
        <v>2.57</v>
      </c>
      <c r="H9" s="43" t="s">
        <v>1421</v>
      </c>
      <c r="I9" s="43" t="s">
        <v>1422</v>
      </c>
      <c r="J9" s="1"/>
    </row>
    <row r="10" spans="1:10" ht="30" customHeight="1">
      <c r="A10" s="39" t="s">
        <v>32</v>
      </c>
      <c r="B10" s="40">
        <v>46288.872511574074</v>
      </c>
      <c r="C10" s="40">
        <v>46288.872499999998</v>
      </c>
      <c r="D10" s="41">
        <v>8.75</v>
      </c>
      <c r="E10" s="41">
        <v>6.84</v>
      </c>
      <c r="F10" s="42" t="s">
        <v>1424</v>
      </c>
      <c r="G10" s="41">
        <v>3.29</v>
      </c>
      <c r="H10" s="39" t="s">
        <v>1421</v>
      </c>
      <c r="I10" s="39" t="s">
        <v>1422</v>
      </c>
      <c r="J10" s="1"/>
    </row>
    <row r="11" spans="1:10" ht="30" customHeight="1">
      <c r="A11" s="43" t="s">
        <v>35</v>
      </c>
      <c r="B11" s="44">
        <v>46288.872511574074</v>
      </c>
      <c r="C11" s="44">
        <v>46288.872499999998</v>
      </c>
      <c r="D11" s="45">
        <v>20.8</v>
      </c>
      <c r="E11" s="45">
        <v>20.350000000000001</v>
      </c>
      <c r="F11" s="46" t="s">
        <v>1425</v>
      </c>
      <c r="G11" s="45">
        <v>0.51</v>
      </c>
      <c r="H11" s="43" t="s">
        <v>1421</v>
      </c>
      <c r="I11" s="43" t="s">
        <v>1422</v>
      </c>
      <c r="J11" s="1"/>
    </row>
    <row r="12" spans="1:10" ht="30" customHeight="1">
      <c r="A12" s="39" t="s">
        <v>38</v>
      </c>
      <c r="B12" s="40">
        <v>46288.871793981481</v>
      </c>
      <c r="C12" s="40">
        <v>46288.872499999998</v>
      </c>
      <c r="D12" s="41">
        <v>15.99</v>
      </c>
      <c r="E12" s="41">
        <v>15.37</v>
      </c>
      <c r="F12" s="42" t="s">
        <v>1424</v>
      </c>
      <c r="G12" s="41">
        <v>3.6</v>
      </c>
      <c r="H12" s="39" t="s">
        <v>1421</v>
      </c>
      <c r="I12" s="39" t="s">
        <v>1422</v>
      </c>
      <c r="J12" s="1"/>
    </row>
    <row r="13" spans="1:10" ht="30" customHeight="1">
      <c r="A13" s="43" t="s">
        <v>41</v>
      </c>
      <c r="B13" s="44">
        <v>46288.871898148151</v>
      </c>
      <c r="C13" s="44">
        <v>46288.872511574074</v>
      </c>
      <c r="D13" s="45">
        <v>20.04</v>
      </c>
      <c r="E13" s="45">
        <v>19.350000000000001</v>
      </c>
      <c r="F13" s="46" t="s">
        <v>1426</v>
      </c>
      <c r="G13" s="45">
        <v>10.28</v>
      </c>
      <c r="H13" s="43" t="s">
        <v>1421</v>
      </c>
      <c r="I13" s="43" t="s">
        <v>1422</v>
      </c>
      <c r="J13" s="1"/>
    </row>
    <row r="14" spans="1:10" ht="30" customHeight="1">
      <c r="A14" s="39" t="s">
        <v>44</v>
      </c>
      <c r="B14" s="40">
        <v>46288.869490740741</v>
      </c>
      <c r="C14" s="40">
        <v>46288.872511574074</v>
      </c>
      <c r="D14" s="41">
        <v>28.61</v>
      </c>
      <c r="E14" s="41">
        <v>30.53</v>
      </c>
      <c r="F14" s="42" t="s">
        <v>1425</v>
      </c>
      <c r="G14" s="41">
        <v>5.66</v>
      </c>
      <c r="H14" s="39" t="s">
        <v>1421</v>
      </c>
      <c r="I14" s="39" t="s">
        <v>1422</v>
      </c>
      <c r="J14" s="1"/>
    </row>
    <row r="15" spans="1:10">
      <c r="A15" s="1"/>
      <c r="B15" s="1"/>
      <c r="C15" s="1"/>
      <c r="D15" s="1"/>
      <c r="E15" s="1"/>
      <c r="F15" s="1"/>
      <c r="G15" s="1"/>
      <c r="H15" s="1"/>
      <c r="I15" s="1"/>
      <c r="J15" s="1"/>
    </row>
    <row r="16" spans="1:10" ht="24" customHeight="1">
      <c r="A16" s="86" t="s">
        <v>924</v>
      </c>
      <c r="B16" s="86"/>
      <c r="C16" s="86"/>
      <c r="D16" s="86"/>
      <c r="E16" s="86"/>
      <c r="F16" s="86"/>
      <c r="G16" s="86"/>
      <c r="H16" s="86"/>
      <c r="I16" s="86"/>
      <c r="J16" s="86"/>
    </row>
    <row r="17" spans="1:10" ht="24" customHeight="1">
      <c r="A17" s="86" t="s">
        <v>925</v>
      </c>
      <c r="B17" s="86"/>
      <c r="C17" s="86"/>
      <c r="D17" s="86"/>
      <c r="E17" s="86"/>
      <c r="F17" s="86"/>
      <c r="G17" s="86"/>
      <c r="H17" s="86"/>
      <c r="I17" s="86"/>
      <c r="J17" s="86"/>
    </row>
    <row r="18" spans="1:10" ht="24" customHeight="1">
      <c r="A18" s="86" t="s">
        <v>926</v>
      </c>
      <c r="B18" s="86"/>
      <c r="C18" s="86"/>
      <c r="D18" s="86"/>
      <c r="E18" s="86"/>
      <c r="F18" s="86"/>
      <c r="G18" s="86"/>
      <c r="H18" s="86"/>
      <c r="I18" s="86"/>
      <c r="J18" s="86"/>
    </row>
    <row r="19" spans="1:10" ht="24" customHeight="1">
      <c r="A19" s="86" t="s">
        <v>1474</v>
      </c>
      <c r="B19" s="86"/>
      <c r="C19" s="86"/>
      <c r="D19" s="86"/>
      <c r="E19" s="86"/>
      <c r="F19" s="86"/>
      <c r="G19" s="86"/>
      <c r="H19" s="86"/>
      <c r="I19" s="86"/>
      <c r="J19" s="86"/>
    </row>
    <row r="20" spans="1:10">
      <c r="A20" s="1"/>
      <c r="B20" s="1"/>
      <c r="C20" s="1"/>
      <c r="D20" s="1"/>
      <c r="E20" s="1"/>
      <c r="F20" s="1"/>
      <c r="G20" s="1"/>
      <c r="H20" s="1"/>
      <c r="I20" s="1"/>
      <c r="J20" s="1"/>
    </row>
    <row r="21" spans="1:10">
      <c r="A21" s="1"/>
      <c r="B21" s="1"/>
      <c r="C21" s="1"/>
      <c r="D21" s="1"/>
      <c r="E21" s="1"/>
      <c r="F21" s="1"/>
      <c r="G21" s="1"/>
      <c r="H21" s="1"/>
      <c r="I21" s="1"/>
      <c r="J21" s="1"/>
    </row>
    <row r="22" spans="1:10">
      <c r="A22" s="1"/>
      <c r="B22" s="1"/>
      <c r="C22" s="1"/>
      <c r="D22" s="1"/>
      <c r="E22" s="1"/>
      <c r="F22" s="1"/>
      <c r="G22" s="1"/>
      <c r="H22" s="1"/>
      <c r="I22" s="1"/>
      <c r="J22" s="1"/>
    </row>
    <row r="23" spans="1:10">
      <c r="A23" s="1"/>
      <c r="B23" s="1"/>
      <c r="C23" s="1"/>
      <c r="D23" s="1"/>
      <c r="E23" s="1"/>
      <c r="F23" s="1"/>
      <c r="G23" s="1"/>
      <c r="H23" s="1"/>
      <c r="I23" s="1"/>
      <c r="J23" s="1"/>
    </row>
    <row r="24" spans="1:10">
      <c r="A24" s="1"/>
      <c r="B24" s="1"/>
      <c r="C24" s="1"/>
      <c r="D24" s="1"/>
      <c r="E24" s="1"/>
      <c r="F24" s="1"/>
      <c r="G24" s="1"/>
      <c r="H24" s="1"/>
      <c r="I24" s="1"/>
      <c r="J24" s="1"/>
    </row>
    <row r="25" spans="1:10">
      <c r="A25" s="1"/>
      <c r="B25" s="1"/>
      <c r="C25" s="1"/>
      <c r="D25" s="1"/>
      <c r="E25" s="1"/>
      <c r="F25" s="1"/>
      <c r="G25" s="1"/>
      <c r="H25" s="1"/>
      <c r="I25" s="1"/>
      <c r="J25" s="1"/>
    </row>
    <row r="26" spans="1:10">
      <c r="A26" s="82" t="s">
        <v>927</v>
      </c>
      <c r="B26" s="82"/>
      <c r="C26" s="82"/>
      <c r="D26" s="82"/>
      <c r="E26" s="82"/>
      <c r="F26" s="1"/>
      <c r="G26" s="82" t="s">
        <v>111</v>
      </c>
      <c r="H26" s="82"/>
      <c r="I26" s="82"/>
      <c r="J26" s="82"/>
    </row>
    <row r="27" spans="1:10" ht="13.9">
      <c r="A27" s="3" t="s">
        <v>112</v>
      </c>
      <c r="B27" s="28" t="s">
        <v>113</v>
      </c>
      <c r="C27" s="28" t="s">
        <v>114</v>
      </c>
      <c r="D27" s="28" t="s">
        <v>98</v>
      </c>
      <c r="E27" s="28" t="s">
        <v>100</v>
      </c>
      <c r="F27" s="1"/>
      <c r="G27" s="3" t="s">
        <v>115</v>
      </c>
      <c r="H27" s="28" t="s">
        <v>116</v>
      </c>
      <c r="I27" s="28" t="s">
        <v>117</v>
      </c>
      <c r="J27" s="28" t="s">
        <v>100</v>
      </c>
    </row>
    <row r="28" spans="1:10" ht="27">
      <c r="A28" s="34">
        <v>102</v>
      </c>
      <c r="B28" s="34">
        <v>1</v>
      </c>
      <c r="C28" s="34">
        <v>2</v>
      </c>
      <c r="D28" s="36" t="s">
        <v>1218</v>
      </c>
      <c r="E28" s="34" t="s">
        <v>1219</v>
      </c>
      <c r="F28" s="1"/>
      <c r="G28" s="29">
        <v>45663.99722222222</v>
      </c>
      <c r="H28" s="27" t="s">
        <v>120</v>
      </c>
      <c r="I28" s="27" t="s">
        <v>121</v>
      </c>
      <c r="J28" s="27" t="s">
        <v>122</v>
      </c>
    </row>
    <row r="29" spans="1:10">
      <c r="A29" s="34">
        <v>107</v>
      </c>
      <c r="B29" s="34">
        <v>1</v>
      </c>
      <c r="C29" s="34">
        <v>7</v>
      </c>
      <c r="D29" s="36" t="s">
        <v>1220</v>
      </c>
      <c r="E29" s="34" t="s">
        <v>1219</v>
      </c>
      <c r="F29" s="1"/>
      <c r="G29" s="29">
        <v>45670.935416666667</v>
      </c>
      <c r="H29" s="27" t="s">
        <v>124</v>
      </c>
      <c r="I29" s="27" t="s">
        <v>125</v>
      </c>
      <c r="J29" s="27" t="s">
        <v>122</v>
      </c>
    </row>
    <row r="30" spans="1:10">
      <c r="A30" s="34">
        <v>113</v>
      </c>
      <c r="B30" s="34">
        <v>1</v>
      </c>
      <c r="C30" s="34">
        <v>13</v>
      </c>
      <c r="D30" s="36" t="s">
        <v>1221</v>
      </c>
      <c r="E30" s="34" t="s">
        <v>1219</v>
      </c>
      <c r="F30" s="1"/>
      <c r="G30" s="29">
        <v>45678.854861111111</v>
      </c>
      <c r="H30" s="27" t="s">
        <v>126</v>
      </c>
      <c r="I30" s="27" t="s">
        <v>127</v>
      </c>
      <c r="J30" s="27" t="s">
        <v>122</v>
      </c>
    </row>
    <row r="31" spans="1:10">
      <c r="A31" s="34">
        <v>117</v>
      </c>
      <c r="B31" s="34">
        <v>1</v>
      </c>
      <c r="C31" s="34">
        <v>17</v>
      </c>
      <c r="D31" s="36" t="s">
        <v>1222</v>
      </c>
      <c r="E31" s="34" t="s">
        <v>1219</v>
      </c>
      <c r="F31" s="1"/>
      <c r="G31" s="29">
        <v>45686.525000000001</v>
      </c>
      <c r="H31" s="27" t="s">
        <v>128</v>
      </c>
      <c r="I31" s="27" t="s">
        <v>129</v>
      </c>
      <c r="J31" s="27" t="s">
        <v>122</v>
      </c>
    </row>
    <row r="32" spans="1:10" ht="27">
      <c r="A32" s="34">
        <v>120</v>
      </c>
      <c r="B32" s="34">
        <v>1</v>
      </c>
      <c r="C32" s="34">
        <v>20</v>
      </c>
      <c r="D32" s="36" t="s">
        <v>1223</v>
      </c>
      <c r="E32" s="34" t="s">
        <v>1219</v>
      </c>
      <c r="F32" s="1"/>
      <c r="G32" s="29">
        <v>45693.334722222222</v>
      </c>
      <c r="H32" s="27" t="s">
        <v>120</v>
      </c>
      <c r="I32" s="27" t="s">
        <v>121</v>
      </c>
      <c r="J32" s="27" t="s">
        <v>122</v>
      </c>
    </row>
    <row r="33" spans="1:10">
      <c r="A33" s="34">
        <v>121</v>
      </c>
      <c r="B33" s="34">
        <v>1</v>
      </c>
      <c r="C33" s="34">
        <v>21</v>
      </c>
      <c r="D33" s="36" t="s">
        <v>1224</v>
      </c>
      <c r="E33" s="34" t="s">
        <v>1219</v>
      </c>
      <c r="F33" s="1"/>
      <c r="G33" s="29">
        <v>45700.578472222223</v>
      </c>
      <c r="H33" s="27" t="s">
        <v>124</v>
      </c>
      <c r="I33" s="27" t="s">
        <v>125</v>
      </c>
      <c r="J33" s="27" t="s">
        <v>122</v>
      </c>
    </row>
    <row r="34" spans="1:10">
      <c r="A34" s="34">
        <v>122</v>
      </c>
      <c r="B34" s="34">
        <v>1</v>
      </c>
      <c r="C34" s="34">
        <v>22</v>
      </c>
      <c r="D34" s="36" t="s">
        <v>1225</v>
      </c>
      <c r="E34" s="34" t="s">
        <v>1219</v>
      </c>
      <c r="F34" s="1"/>
      <c r="G34" s="29">
        <v>45708.730555555558</v>
      </c>
      <c r="H34" s="27" t="s">
        <v>126</v>
      </c>
      <c r="I34" s="27" t="s">
        <v>127</v>
      </c>
      <c r="J34" s="27" t="s">
        <v>122</v>
      </c>
    </row>
    <row r="35" spans="1:10">
      <c r="A35" s="34">
        <v>124</v>
      </c>
      <c r="B35" s="34">
        <v>1</v>
      </c>
      <c r="C35" s="34">
        <v>24</v>
      </c>
      <c r="D35" s="36" t="s">
        <v>1226</v>
      </c>
      <c r="E35" s="34" t="s">
        <v>1219</v>
      </c>
      <c r="F35" s="1"/>
      <c r="G35" s="29">
        <v>45716.03125</v>
      </c>
      <c r="H35" s="27" t="s">
        <v>128</v>
      </c>
      <c r="I35" s="27" t="s">
        <v>129</v>
      </c>
      <c r="J35" s="27" t="s">
        <v>122</v>
      </c>
    </row>
    <row r="36" spans="1:10">
      <c r="A36" s="34">
        <v>125</v>
      </c>
      <c r="B36" s="34">
        <v>1</v>
      </c>
      <c r="C36" s="34">
        <v>25</v>
      </c>
      <c r="D36" s="36" t="s">
        <v>1227</v>
      </c>
      <c r="E36" s="34" t="s">
        <v>1219</v>
      </c>
      <c r="F36" s="1"/>
      <c r="G36" s="29">
        <v>45722.688194444447</v>
      </c>
      <c r="H36" s="27" t="s">
        <v>120</v>
      </c>
      <c r="I36" s="27" t="s">
        <v>121</v>
      </c>
      <c r="J36" s="27" t="s">
        <v>122</v>
      </c>
    </row>
    <row r="37" spans="1:10">
      <c r="A37" s="34">
        <v>126</v>
      </c>
      <c r="B37" s="34">
        <v>1</v>
      </c>
      <c r="C37" s="34">
        <v>26</v>
      </c>
      <c r="D37" s="36" t="s">
        <v>1228</v>
      </c>
      <c r="E37" s="34" t="s">
        <v>1219</v>
      </c>
      <c r="F37" s="1"/>
      <c r="G37" s="29">
        <v>45730.288194444445</v>
      </c>
      <c r="H37" s="27" t="s">
        <v>124</v>
      </c>
      <c r="I37" s="27" t="s">
        <v>125</v>
      </c>
      <c r="J37" s="27" t="s">
        <v>122</v>
      </c>
    </row>
    <row r="38" spans="1:10">
      <c r="A38" s="34">
        <v>127</v>
      </c>
      <c r="B38" s="34">
        <v>1</v>
      </c>
      <c r="C38" s="34">
        <v>27</v>
      </c>
      <c r="D38" s="36" t="s">
        <v>1229</v>
      </c>
      <c r="E38" s="34" t="s">
        <v>1219</v>
      </c>
      <c r="F38" s="1"/>
      <c r="G38" s="29">
        <v>45738.478472222225</v>
      </c>
      <c r="H38" s="27" t="s">
        <v>126</v>
      </c>
      <c r="I38" s="27" t="s">
        <v>127</v>
      </c>
      <c r="J38" s="27" t="s">
        <v>122</v>
      </c>
    </row>
    <row r="39" spans="1:10">
      <c r="A39" s="34">
        <v>128</v>
      </c>
      <c r="B39" s="34">
        <v>1</v>
      </c>
      <c r="C39" s="34">
        <v>28</v>
      </c>
      <c r="D39" s="36" t="s">
        <v>1230</v>
      </c>
      <c r="E39" s="34" t="s">
        <v>1219</v>
      </c>
      <c r="F39" s="1"/>
      <c r="G39" s="29">
        <v>45745.456944444442</v>
      </c>
      <c r="H39" s="27" t="s">
        <v>128</v>
      </c>
      <c r="I39" s="27" t="s">
        <v>129</v>
      </c>
      <c r="J39" s="27" t="s">
        <v>122</v>
      </c>
    </row>
    <row r="40" spans="1:10">
      <c r="A40" s="34">
        <v>131</v>
      </c>
      <c r="B40" s="34">
        <v>1</v>
      </c>
      <c r="C40" s="34">
        <v>31</v>
      </c>
      <c r="D40" s="36" t="s">
        <v>1231</v>
      </c>
      <c r="E40" s="34" t="s">
        <v>1219</v>
      </c>
      <c r="F40" s="1"/>
      <c r="G40" s="29">
        <v>45752.09375</v>
      </c>
      <c r="H40" s="27" t="s">
        <v>120</v>
      </c>
      <c r="I40" s="27" t="s">
        <v>121</v>
      </c>
      <c r="J40" s="27" t="s">
        <v>122</v>
      </c>
    </row>
    <row r="41" spans="1:10" ht="27">
      <c r="A41" s="34">
        <v>203</v>
      </c>
      <c r="B41" s="34">
        <v>2</v>
      </c>
      <c r="C41" s="34">
        <v>3</v>
      </c>
      <c r="D41" s="36" t="s">
        <v>1232</v>
      </c>
      <c r="E41" s="34" t="s">
        <v>1219</v>
      </c>
      <c r="F41" s="1"/>
      <c r="G41" s="29">
        <v>45760.015277777777</v>
      </c>
      <c r="H41" s="27" t="s">
        <v>124</v>
      </c>
      <c r="I41" s="27" t="s">
        <v>125</v>
      </c>
      <c r="J41" s="27" t="s">
        <v>122</v>
      </c>
    </row>
    <row r="42" spans="1:10">
      <c r="A42" s="34">
        <v>205</v>
      </c>
      <c r="B42" s="34">
        <v>2</v>
      </c>
      <c r="C42" s="34">
        <v>5</v>
      </c>
      <c r="D42" s="36" t="s">
        <v>1233</v>
      </c>
      <c r="E42" s="34" t="s">
        <v>1219</v>
      </c>
      <c r="F42" s="1"/>
      <c r="G42" s="29">
        <v>45768.065972222219</v>
      </c>
      <c r="H42" s="27" t="s">
        <v>126</v>
      </c>
      <c r="I42" s="27" t="s">
        <v>127</v>
      </c>
      <c r="J42" s="27" t="s">
        <v>122</v>
      </c>
    </row>
    <row r="43" spans="1:10">
      <c r="A43" s="34">
        <v>206</v>
      </c>
      <c r="B43" s="34">
        <v>2</v>
      </c>
      <c r="C43" s="34">
        <v>6</v>
      </c>
      <c r="D43" s="36" t="s">
        <v>1234</v>
      </c>
      <c r="E43" s="34" t="s">
        <v>1219</v>
      </c>
      <c r="F43" s="1"/>
      <c r="G43" s="29">
        <v>45774.813194444447</v>
      </c>
      <c r="H43" s="27" t="s">
        <v>128</v>
      </c>
      <c r="I43" s="27" t="s">
        <v>129</v>
      </c>
      <c r="J43" s="27" t="s">
        <v>122</v>
      </c>
    </row>
    <row r="44" spans="1:10" ht="27">
      <c r="A44" s="34">
        <v>208</v>
      </c>
      <c r="B44" s="34">
        <v>2</v>
      </c>
      <c r="C44" s="34">
        <v>8</v>
      </c>
      <c r="D44" s="36" t="s">
        <v>1235</v>
      </c>
      <c r="E44" s="34" t="s">
        <v>1236</v>
      </c>
      <c r="F44" s="1"/>
      <c r="G44" s="29">
        <v>45781.577777777777</v>
      </c>
      <c r="H44" s="27" t="s">
        <v>120</v>
      </c>
      <c r="I44" s="27" t="s">
        <v>121</v>
      </c>
      <c r="J44" s="27" t="s">
        <v>122</v>
      </c>
    </row>
    <row r="45" spans="1:10">
      <c r="A45" s="34">
        <v>210</v>
      </c>
      <c r="B45" s="34">
        <v>2</v>
      </c>
      <c r="C45" s="34">
        <v>10</v>
      </c>
      <c r="D45" s="36" t="s">
        <v>1237</v>
      </c>
      <c r="E45" s="34" t="s">
        <v>1219</v>
      </c>
      <c r="F45" s="1"/>
      <c r="G45" s="29">
        <v>45789.705555555556</v>
      </c>
      <c r="H45" s="27" t="s">
        <v>124</v>
      </c>
      <c r="I45" s="27" t="s">
        <v>125</v>
      </c>
      <c r="J45" s="27" t="s">
        <v>122</v>
      </c>
    </row>
    <row r="46" spans="1:10">
      <c r="A46" s="34">
        <v>211</v>
      </c>
      <c r="B46" s="34">
        <v>2</v>
      </c>
      <c r="C46" s="34">
        <v>11</v>
      </c>
      <c r="D46" s="36" t="s">
        <v>1238</v>
      </c>
      <c r="E46" s="34" t="s">
        <v>1219</v>
      </c>
      <c r="F46" s="1"/>
      <c r="G46" s="29">
        <v>45797.499305555553</v>
      </c>
      <c r="H46" s="27" t="s">
        <v>126</v>
      </c>
      <c r="I46" s="27" t="s">
        <v>127</v>
      </c>
      <c r="J46" s="27" t="s">
        <v>122</v>
      </c>
    </row>
    <row r="47" spans="1:10">
      <c r="A47" s="34">
        <v>214</v>
      </c>
      <c r="B47" s="34">
        <v>2</v>
      </c>
      <c r="C47" s="34">
        <v>14</v>
      </c>
      <c r="D47" s="36" t="s">
        <v>1239</v>
      </c>
      <c r="E47" s="34" t="s">
        <v>1219</v>
      </c>
      <c r="F47" s="1"/>
      <c r="G47" s="29">
        <v>45804.126388888886</v>
      </c>
      <c r="H47" s="27" t="s">
        <v>128</v>
      </c>
      <c r="I47" s="27" t="s">
        <v>129</v>
      </c>
      <c r="J47" s="27" t="s">
        <v>122</v>
      </c>
    </row>
    <row r="48" spans="1:10" ht="27">
      <c r="A48" s="34">
        <v>217</v>
      </c>
      <c r="B48" s="34">
        <v>2</v>
      </c>
      <c r="C48" s="34">
        <v>17</v>
      </c>
      <c r="D48" s="36" t="s">
        <v>1240</v>
      </c>
      <c r="E48" s="34" t="s">
        <v>1219</v>
      </c>
      <c r="F48" s="1"/>
      <c r="G48" s="29">
        <v>45811.15347222222</v>
      </c>
      <c r="H48" s="27" t="s">
        <v>120</v>
      </c>
      <c r="I48" s="27" t="s">
        <v>121</v>
      </c>
      <c r="J48" s="27" t="s">
        <v>122</v>
      </c>
    </row>
    <row r="49" spans="1:10">
      <c r="A49" s="34">
        <v>221</v>
      </c>
      <c r="B49" s="34">
        <v>2</v>
      </c>
      <c r="C49" s="34">
        <v>21</v>
      </c>
      <c r="D49" s="36" t="s">
        <v>1241</v>
      </c>
      <c r="E49" s="34" t="s">
        <v>1219</v>
      </c>
      <c r="F49" s="1"/>
      <c r="G49" s="29">
        <v>45819.322222222225</v>
      </c>
      <c r="H49" s="27" t="s">
        <v>124</v>
      </c>
      <c r="I49" s="27" t="s">
        <v>125</v>
      </c>
      <c r="J49" s="27" t="s">
        <v>122</v>
      </c>
    </row>
    <row r="50" spans="1:10">
      <c r="A50" s="34">
        <v>222</v>
      </c>
      <c r="B50" s="34">
        <v>2</v>
      </c>
      <c r="C50" s="34">
        <v>22</v>
      </c>
      <c r="D50" s="36" t="s">
        <v>1242</v>
      </c>
      <c r="E50" s="34" t="s">
        <v>1219</v>
      </c>
      <c r="F50" s="1"/>
      <c r="G50" s="29">
        <v>45826.804861111108</v>
      </c>
      <c r="H50" s="27" t="s">
        <v>126</v>
      </c>
      <c r="I50" s="27" t="s">
        <v>127</v>
      </c>
      <c r="J50" s="27" t="s">
        <v>122</v>
      </c>
    </row>
    <row r="51" spans="1:10">
      <c r="A51" s="34">
        <v>223</v>
      </c>
      <c r="B51" s="34">
        <v>2</v>
      </c>
      <c r="C51" s="34">
        <v>23</v>
      </c>
      <c r="D51" s="36" t="s">
        <v>1243</v>
      </c>
      <c r="E51" s="34" t="s">
        <v>1219</v>
      </c>
      <c r="F51" s="1"/>
      <c r="G51" s="29">
        <v>45833.438194444447</v>
      </c>
      <c r="H51" s="27" t="s">
        <v>128</v>
      </c>
      <c r="I51" s="27" t="s">
        <v>129</v>
      </c>
      <c r="J51" s="27" t="s">
        <v>122</v>
      </c>
    </row>
    <row r="52" spans="1:10">
      <c r="A52" s="34">
        <v>227</v>
      </c>
      <c r="B52" s="34">
        <v>2</v>
      </c>
      <c r="C52" s="34">
        <v>27</v>
      </c>
      <c r="D52" s="36" t="s">
        <v>1244</v>
      </c>
      <c r="E52" s="34" t="s">
        <v>1245</v>
      </c>
      <c r="F52" s="1"/>
      <c r="G52" s="29">
        <v>45840.8125</v>
      </c>
      <c r="H52" s="27" t="s">
        <v>120</v>
      </c>
      <c r="I52" s="27" t="s">
        <v>121</v>
      </c>
      <c r="J52" s="27" t="s">
        <v>122</v>
      </c>
    </row>
    <row r="53" spans="1:10">
      <c r="A53" s="34">
        <v>304</v>
      </c>
      <c r="B53" s="34">
        <v>3</v>
      </c>
      <c r="C53" s="34">
        <v>4</v>
      </c>
      <c r="D53" s="36" t="s">
        <v>1246</v>
      </c>
      <c r="E53" s="34" t="s">
        <v>1219</v>
      </c>
      <c r="F53" s="1"/>
      <c r="G53" s="29">
        <v>45848.859027777777</v>
      </c>
      <c r="H53" s="27" t="s">
        <v>124</v>
      </c>
      <c r="I53" s="27" t="s">
        <v>125</v>
      </c>
      <c r="J53" s="27" t="s">
        <v>122</v>
      </c>
    </row>
    <row r="54" spans="1:10">
      <c r="A54" s="34">
        <v>307</v>
      </c>
      <c r="B54" s="34">
        <v>3</v>
      </c>
      <c r="C54" s="34">
        <v>7</v>
      </c>
      <c r="D54" s="36" t="s">
        <v>1247</v>
      </c>
      <c r="E54" s="34" t="s">
        <v>1219</v>
      </c>
      <c r="F54" s="1"/>
      <c r="G54" s="29">
        <v>45856.026388888888</v>
      </c>
      <c r="H54" s="27" t="s">
        <v>126</v>
      </c>
      <c r="I54" s="27" t="s">
        <v>127</v>
      </c>
      <c r="J54" s="27" t="s">
        <v>122</v>
      </c>
    </row>
    <row r="55" spans="1:10">
      <c r="A55" s="34">
        <v>308</v>
      </c>
      <c r="B55" s="34">
        <v>3</v>
      </c>
      <c r="C55" s="34">
        <v>8</v>
      </c>
      <c r="D55" s="36" t="s">
        <v>1248</v>
      </c>
      <c r="E55" s="34" t="s">
        <v>1219</v>
      </c>
      <c r="F55" s="1"/>
      <c r="G55" s="29">
        <v>45862.799305555556</v>
      </c>
      <c r="H55" s="27" t="s">
        <v>128</v>
      </c>
      <c r="I55" s="27" t="s">
        <v>129</v>
      </c>
      <c r="J55" s="27" t="s">
        <v>122</v>
      </c>
    </row>
    <row r="56" spans="1:10">
      <c r="A56" s="34">
        <v>309</v>
      </c>
      <c r="B56" s="34">
        <v>3</v>
      </c>
      <c r="C56" s="34">
        <v>9</v>
      </c>
      <c r="D56" s="36" t="s">
        <v>1249</v>
      </c>
      <c r="E56" s="34" t="s">
        <v>1219</v>
      </c>
      <c r="F56" s="1"/>
      <c r="G56" s="29">
        <v>45870.52847222222</v>
      </c>
      <c r="H56" s="27" t="s">
        <v>120</v>
      </c>
      <c r="I56" s="27" t="s">
        <v>121</v>
      </c>
      <c r="J56" s="27" t="s">
        <v>122</v>
      </c>
    </row>
    <row r="57" spans="1:10">
      <c r="A57" s="34">
        <v>317</v>
      </c>
      <c r="B57" s="34">
        <v>3</v>
      </c>
      <c r="C57" s="34">
        <v>17</v>
      </c>
      <c r="D57" s="36" t="s">
        <v>1250</v>
      </c>
      <c r="E57" s="34" t="s">
        <v>1219</v>
      </c>
      <c r="F57" s="1"/>
      <c r="G57" s="29">
        <v>45878.329861111109</v>
      </c>
      <c r="H57" s="27" t="s">
        <v>124</v>
      </c>
      <c r="I57" s="27" t="s">
        <v>125</v>
      </c>
      <c r="J57" s="27" t="s">
        <v>122</v>
      </c>
    </row>
    <row r="58" spans="1:10">
      <c r="A58" s="34">
        <v>318</v>
      </c>
      <c r="B58" s="34">
        <v>3</v>
      </c>
      <c r="C58" s="34">
        <v>18</v>
      </c>
      <c r="D58" s="36" t="s">
        <v>1251</v>
      </c>
      <c r="E58" s="34" t="s">
        <v>1219</v>
      </c>
      <c r="F58" s="1"/>
      <c r="G58" s="29">
        <v>45885.216666666667</v>
      </c>
      <c r="H58" s="27" t="s">
        <v>126</v>
      </c>
      <c r="I58" s="27" t="s">
        <v>127</v>
      </c>
      <c r="J58" s="27" t="s">
        <v>122</v>
      </c>
    </row>
    <row r="59" spans="1:10">
      <c r="A59" s="34">
        <v>319</v>
      </c>
      <c r="B59" s="34">
        <v>3</v>
      </c>
      <c r="C59" s="34">
        <v>19</v>
      </c>
      <c r="D59" s="36" t="s">
        <v>1252</v>
      </c>
      <c r="E59" s="34" t="s">
        <v>1219</v>
      </c>
      <c r="F59" s="1"/>
      <c r="G59" s="29">
        <v>45892.254166666666</v>
      </c>
      <c r="H59" s="27" t="s">
        <v>128</v>
      </c>
      <c r="I59" s="27" t="s">
        <v>129</v>
      </c>
      <c r="J59" s="27" t="s">
        <v>122</v>
      </c>
    </row>
    <row r="60" spans="1:10">
      <c r="A60" s="34">
        <v>323</v>
      </c>
      <c r="B60" s="34">
        <v>3</v>
      </c>
      <c r="C60" s="34">
        <v>23</v>
      </c>
      <c r="D60" s="36" t="s">
        <v>1253</v>
      </c>
      <c r="E60" s="34" t="s">
        <v>1219</v>
      </c>
      <c r="F60" s="1"/>
      <c r="G60" s="29">
        <v>45900.267361111109</v>
      </c>
      <c r="H60" s="27" t="s">
        <v>120</v>
      </c>
      <c r="I60" s="27" t="s">
        <v>121</v>
      </c>
      <c r="J60" s="27" t="s">
        <v>122</v>
      </c>
    </row>
    <row r="61" spans="1:10">
      <c r="A61" s="34">
        <v>402</v>
      </c>
      <c r="B61" s="34">
        <v>4</v>
      </c>
      <c r="C61" s="34">
        <v>2</v>
      </c>
      <c r="D61" s="36" t="s">
        <v>1254</v>
      </c>
      <c r="E61" s="34" t="s">
        <v>1219</v>
      </c>
      <c r="F61" s="1"/>
      <c r="G61" s="29">
        <v>45907.756249999999</v>
      </c>
      <c r="H61" s="27" t="s">
        <v>124</v>
      </c>
      <c r="I61" s="27" t="s">
        <v>125</v>
      </c>
      <c r="J61" s="27" t="s">
        <v>122</v>
      </c>
    </row>
    <row r="62" spans="1:10">
      <c r="A62" s="34">
        <v>404</v>
      </c>
      <c r="B62" s="34">
        <v>4</v>
      </c>
      <c r="C62" s="34">
        <v>4</v>
      </c>
      <c r="D62" s="36" t="s">
        <v>1255</v>
      </c>
      <c r="E62" s="34" t="s">
        <v>1219</v>
      </c>
      <c r="F62" s="1"/>
      <c r="G62" s="29">
        <v>45914.439583333333</v>
      </c>
      <c r="H62" s="27" t="s">
        <v>126</v>
      </c>
      <c r="I62" s="27" t="s">
        <v>127</v>
      </c>
      <c r="J62" s="27" t="s">
        <v>122</v>
      </c>
    </row>
    <row r="63" spans="1:10">
      <c r="A63" s="34">
        <v>405</v>
      </c>
      <c r="B63" s="34">
        <v>4</v>
      </c>
      <c r="C63" s="34">
        <v>5</v>
      </c>
      <c r="D63" s="36" t="s">
        <v>1256</v>
      </c>
      <c r="E63" s="34" t="s">
        <v>1219</v>
      </c>
      <c r="F63" s="1"/>
      <c r="G63" s="29">
        <v>45921.82916666667</v>
      </c>
      <c r="H63" s="27" t="s">
        <v>128</v>
      </c>
      <c r="I63" s="27" t="s">
        <v>129</v>
      </c>
      <c r="J63" s="27" t="s">
        <v>122</v>
      </c>
    </row>
    <row r="64" spans="1:10">
      <c r="A64" s="34">
        <v>407</v>
      </c>
      <c r="B64" s="34">
        <v>4</v>
      </c>
      <c r="C64" s="34">
        <v>7</v>
      </c>
      <c r="D64" s="36" t="s">
        <v>1257</v>
      </c>
      <c r="E64" s="34" t="s">
        <v>1219</v>
      </c>
      <c r="F64" s="1"/>
      <c r="G64" s="29">
        <v>45929.995833333334</v>
      </c>
      <c r="H64" s="27" t="s">
        <v>120</v>
      </c>
      <c r="I64" s="27" t="s">
        <v>121</v>
      </c>
      <c r="J64" s="27" t="s">
        <v>122</v>
      </c>
    </row>
    <row r="65" spans="1:10">
      <c r="A65" s="34">
        <v>411</v>
      </c>
      <c r="B65" s="34">
        <v>4</v>
      </c>
      <c r="C65" s="34">
        <v>11</v>
      </c>
      <c r="D65" s="36" t="s">
        <v>1258</v>
      </c>
      <c r="E65" s="34" t="s">
        <v>1219</v>
      </c>
      <c r="F65" s="1"/>
      <c r="G65" s="29">
        <v>45937.157638888886</v>
      </c>
      <c r="H65" s="27" t="s">
        <v>124</v>
      </c>
      <c r="I65" s="27" t="s">
        <v>125</v>
      </c>
      <c r="J65" s="27" t="s">
        <v>122</v>
      </c>
    </row>
    <row r="66" spans="1:10">
      <c r="A66" s="34">
        <v>413</v>
      </c>
      <c r="B66" s="34">
        <v>4</v>
      </c>
      <c r="C66" s="34">
        <v>13</v>
      </c>
      <c r="D66" s="36" t="s">
        <v>1259</v>
      </c>
      <c r="E66" s="34" t="s">
        <v>1219</v>
      </c>
      <c r="F66" s="1"/>
      <c r="G66" s="29">
        <v>45943.759027777778</v>
      </c>
      <c r="H66" s="27" t="s">
        <v>126</v>
      </c>
      <c r="I66" s="27" t="s">
        <v>127</v>
      </c>
      <c r="J66" s="27" t="s">
        <v>122</v>
      </c>
    </row>
    <row r="67" spans="1:10" ht="27">
      <c r="A67" s="34">
        <v>421</v>
      </c>
      <c r="B67" s="34">
        <v>4</v>
      </c>
      <c r="C67" s="34">
        <v>21</v>
      </c>
      <c r="D67" s="36" t="s">
        <v>1260</v>
      </c>
      <c r="E67" s="34" t="s">
        <v>1219</v>
      </c>
      <c r="F67" s="1"/>
      <c r="G67" s="29">
        <v>45951.517361111109</v>
      </c>
      <c r="H67" s="27" t="s">
        <v>128</v>
      </c>
      <c r="I67" s="27" t="s">
        <v>129</v>
      </c>
      <c r="J67" s="27" t="s">
        <v>122</v>
      </c>
    </row>
    <row r="68" spans="1:10" ht="27">
      <c r="A68" s="34">
        <v>423</v>
      </c>
      <c r="B68" s="34">
        <v>4</v>
      </c>
      <c r="C68" s="34">
        <v>23</v>
      </c>
      <c r="D68" s="36" t="s">
        <v>1261</v>
      </c>
      <c r="E68" s="34" t="s">
        <v>1236</v>
      </c>
      <c r="F68" s="1"/>
      <c r="G68" s="29">
        <v>45959.681250000001</v>
      </c>
      <c r="H68" s="27" t="s">
        <v>120</v>
      </c>
      <c r="I68" s="27" t="s">
        <v>121</v>
      </c>
      <c r="J68" s="27" t="s">
        <v>122</v>
      </c>
    </row>
    <row r="69" spans="1:10">
      <c r="A69" s="34">
        <v>424</v>
      </c>
      <c r="B69" s="34">
        <v>4</v>
      </c>
      <c r="C69" s="34">
        <v>24</v>
      </c>
      <c r="D69" s="36" t="s">
        <v>1262</v>
      </c>
      <c r="E69" s="34" t="s">
        <v>1219</v>
      </c>
      <c r="F69" s="1"/>
      <c r="G69" s="29">
        <v>45966.554861111108</v>
      </c>
      <c r="H69" s="27" t="s">
        <v>124</v>
      </c>
      <c r="I69" s="27" t="s">
        <v>125</v>
      </c>
      <c r="J69" s="27" t="s">
        <v>122</v>
      </c>
    </row>
    <row r="70" spans="1:10">
      <c r="A70" s="34">
        <v>425</v>
      </c>
      <c r="B70" s="34">
        <v>4</v>
      </c>
      <c r="C70" s="34">
        <v>25</v>
      </c>
      <c r="D70" s="36" t="s">
        <v>1263</v>
      </c>
      <c r="E70" s="34" t="s">
        <v>1219</v>
      </c>
      <c r="F70" s="1"/>
      <c r="G70" s="29">
        <v>45973.227777777778</v>
      </c>
      <c r="H70" s="27" t="s">
        <v>126</v>
      </c>
      <c r="I70" s="27" t="s">
        <v>127</v>
      </c>
      <c r="J70" s="27" t="s">
        <v>122</v>
      </c>
    </row>
    <row r="71" spans="1:10" ht="27">
      <c r="A71" s="34">
        <v>428</v>
      </c>
      <c r="B71" s="34">
        <v>4</v>
      </c>
      <c r="C71" s="34">
        <v>28</v>
      </c>
      <c r="D71" s="36" t="s">
        <v>1264</v>
      </c>
      <c r="E71" s="34" t="s">
        <v>1236</v>
      </c>
      <c r="F71" s="1"/>
      <c r="G71" s="29">
        <v>45981.282638888886</v>
      </c>
      <c r="H71" s="27" t="s">
        <v>128</v>
      </c>
      <c r="I71" s="27" t="s">
        <v>129</v>
      </c>
      <c r="J71" s="27" t="s">
        <v>122</v>
      </c>
    </row>
    <row r="72" spans="1:10" ht="27">
      <c r="A72" s="34">
        <v>429</v>
      </c>
      <c r="B72" s="34">
        <v>4</v>
      </c>
      <c r="C72" s="34">
        <v>29</v>
      </c>
      <c r="D72" s="36" t="s">
        <v>1265</v>
      </c>
      <c r="E72" s="34" t="s">
        <v>1219</v>
      </c>
      <c r="F72" s="1"/>
      <c r="G72" s="29">
        <v>45989.290972222225</v>
      </c>
      <c r="H72" s="27" t="s">
        <v>120</v>
      </c>
      <c r="I72" s="27" t="s">
        <v>121</v>
      </c>
      <c r="J72" s="27" t="s">
        <v>122</v>
      </c>
    </row>
    <row r="73" spans="1:10">
      <c r="A73" s="34">
        <v>430</v>
      </c>
      <c r="B73" s="34">
        <v>4</v>
      </c>
      <c r="C73" s="34">
        <v>30</v>
      </c>
      <c r="D73" s="36" t="s">
        <v>1266</v>
      </c>
      <c r="E73" s="34" t="s">
        <v>1219</v>
      </c>
      <c r="F73" s="1"/>
      <c r="G73" s="29">
        <v>45995.968055555553</v>
      </c>
      <c r="H73" s="27" t="s">
        <v>124</v>
      </c>
      <c r="I73" s="27" t="s">
        <v>125</v>
      </c>
      <c r="J73" s="27" t="s">
        <v>122</v>
      </c>
    </row>
    <row r="74" spans="1:10">
      <c r="A74" s="34">
        <v>501</v>
      </c>
      <c r="B74" s="34">
        <v>5</v>
      </c>
      <c r="C74" s="34">
        <v>1</v>
      </c>
      <c r="D74" s="36" t="s">
        <v>1267</v>
      </c>
      <c r="E74" s="34" t="s">
        <v>1219</v>
      </c>
      <c r="F74" s="1"/>
      <c r="G74" s="29">
        <v>46002.869444444441</v>
      </c>
      <c r="H74" s="27" t="s">
        <v>126</v>
      </c>
      <c r="I74" s="27" t="s">
        <v>127</v>
      </c>
      <c r="J74" s="27" t="s">
        <v>122</v>
      </c>
    </row>
    <row r="75" spans="1:10">
      <c r="A75" s="34">
        <v>502</v>
      </c>
      <c r="B75" s="34">
        <v>5</v>
      </c>
      <c r="C75" s="34">
        <v>2</v>
      </c>
      <c r="D75" s="36" t="s">
        <v>1268</v>
      </c>
      <c r="E75" s="34" t="s">
        <v>1219</v>
      </c>
      <c r="F75" s="1"/>
      <c r="G75" s="29">
        <v>46011.071527777778</v>
      </c>
      <c r="H75" s="27" t="s">
        <v>128</v>
      </c>
      <c r="I75" s="27" t="s">
        <v>129</v>
      </c>
      <c r="J75" s="27" t="s">
        <v>122</v>
      </c>
    </row>
    <row r="76" spans="1:10">
      <c r="A76" s="34">
        <v>503</v>
      </c>
      <c r="B76" s="34">
        <v>5</v>
      </c>
      <c r="C76" s="34">
        <v>3</v>
      </c>
      <c r="D76" s="36" t="s">
        <v>1269</v>
      </c>
      <c r="E76" s="34" t="s">
        <v>1219</v>
      </c>
      <c r="F76" s="1"/>
      <c r="G76" s="29">
        <v>46018.798611111109</v>
      </c>
      <c r="H76" s="27" t="s">
        <v>120</v>
      </c>
      <c r="I76" s="27" t="s">
        <v>121</v>
      </c>
      <c r="J76" s="27" t="s">
        <v>122</v>
      </c>
    </row>
    <row r="77" spans="1:10" ht="27">
      <c r="A77" s="34">
        <v>510</v>
      </c>
      <c r="B77" s="34">
        <v>5</v>
      </c>
      <c r="C77" s="34">
        <v>10</v>
      </c>
      <c r="D77" s="36" t="s">
        <v>1270</v>
      </c>
      <c r="E77" s="34" t="s">
        <v>1245</v>
      </c>
      <c r="F77" s="1"/>
      <c r="G77" s="29">
        <v>46025.418749999997</v>
      </c>
      <c r="H77" s="27" t="s">
        <v>124</v>
      </c>
      <c r="I77" s="27" t="s">
        <v>125</v>
      </c>
      <c r="J77" s="27" t="s">
        <v>130</v>
      </c>
    </row>
    <row r="78" spans="1:10">
      <c r="A78" s="34">
        <v>512</v>
      </c>
      <c r="B78" s="34">
        <v>5</v>
      </c>
      <c r="C78" s="34">
        <v>12</v>
      </c>
      <c r="D78" s="36" t="s">
        <v>1271</v>
      </c>
      <c r="E78" s="34" t="s">
        <v>1219</v>
      </c>
      <c r="F78" s="1"/>
      <c r="G78" s="29">
        <v>46032.658333333333</v>
      </c>
      <c r="H78" s="27" t="s">
        <v>126</v>
      </c>
      <c r="I78" s="27" t="s">
        <v>127</v>
      </c>
      <c r="J78" s="27" t="s">
        <v>130</v>
      </c>
    </row>
    <row r="79" spans="1:10">
      <c r="A79" s="34">
        <v>513</v>
      </c>
      <c r="B79" s="34">
        <v>5</v>
      </c>
      <c r="C79" s="34">
        <v>13</v>
      </c>
      <c r="D79" s="36" t="s">
        <v>1272</v>
      </c>
      <c r="E79" s="34" t="s">
        <v>1273</v>
      </c>
      <c r="F79" s="1"/>
      <c r="G79" s="29">
        <v>46040.827777777777</v>
      </c>
      <c r="H79" s="27" t="s">
        <v>128</v>
      </c>
      <c r="I79" s="27" t="s">
        <v>129</v>
      </c>
      <c r="J79" s="27" t="s">
        <v>130</v>
      </c>
    </row>
    <row r="80" spans="1:10">
      <c r="A80" s="34">
        <v>514</v>
      </c>
      <c r="B80" s="34">
        <v>5</v>
      </c>
      <c r="C80" s="34">
        <v>14</v>
      </c>
      <c r="D80" s="36" t="s">
        <v>1274</v>
      </c>
      <c r="E80" s="34" t="s">
        <v>1219</v>
      </c>
      <c r="F80" s="1"/>
      <c r="G80" s="29">
        <v>46048.199305555558</v>
      </c>
      <c r="H80" s="27" t="s">
        <v>120</v>
      </c>
      <c r="I80" s="27" t="s">
        <v>121</v>
      </c>
      <c r="J80" s="27" t="s">
        <v>130</v>
      </c>
    </row>
    <row r="81" spans="1:10">
      <c r="A81" s="34">
        <v>518</v>
      </c>
      <c r="B81" s="34">
        <v>5</v>
      </c>
      <c r="C81" s="34">
        <v>18</v>
      </c>
      <c r="D81" s="36" t="s">
        <v>1275</v>
      </c>
      <c r="E81" s="34" t="s">
        <v>1219</v>
      </c>
      <c r="F81" s="1"/>
      <c r="G81" s="29">
        <v>46054.92291666667</v>
      </c>
      <c r="H81" s="27" t="s">
        <v>124</v>
      </c>
      <c r="I81" s="27" t="s">
        <v>125</v>
      </c>
      <c r="J81" s="27" t="s">
        <v>130</v>
      </c>
    </row>
    <row r="82" spans="1:10">
      <c r="A82" s="34">
        <v>520</v>
      </c>
      <c r="B82" s="34">
        <v>5</v>
      </c>
      <c r="C82" s="34">
        <v>20</v>
      </c>
      <c r="D82" s="36" t="s">
        <v>1276</v>
      </c>
      <c r="E82" s="34" t="s">
        <v>1219</v>
      </c>
      <c r="F82" s="1"/>
      <c r="G82" s="29">
        <v>46062.529861111114</v>
      </c>
      <c r="H82" s="27" t="s">
        <v>126</v>
      </c>
      <c r="I82" s="27" t="s">
        <v>127</v>
      </c>
      <c r="J82" s="27" t="s">
        <v>130</v>
      </c>
    </row>
    <row r="83" spans="1:10">
      <c r="A83" s="34">
        <v>521</v>
      </c>
      <c r="B83" s="34">
        <v>5</v>
      </c>
      <c r="C83" s="34">
        <v>21</v>
      </c>
      <c r="D83" s="36" t="s">
        <v>1277</v>
      </c>
      <c r="E83" s="34" t="s">
        <v>1273</v>
      </c>
      <c r="F83" s="1"/>
      <c r="G83" s="29">
        <v>46070.500694444447</v>
      </c>
      <c r="H83" s="27" t="s">
        <v>128</v>
      </c>
      <c r="I83" s="27" t="s">
        <v>129</v>
      </c>
      <c r="J83" s="27" t="s">
        <v>130</v>
      </c>
    </row>
    <row r="84" spans="1:10">
      <c r="A84" s="34">
        <v>522</v>
      </c>
      <c r="B84" s="34">
        <v>5</v>
      </c>
      <c r="C84" s="34">
        <v>22</v>
      </c>
      <c r="D84" s="36" t="s">
        <v>1278</v>
      </c>
      <c r="E84" s="34" t="s">
        <v>1273</v>
      </c>
      <c r="F84" s="1"/>
      <c r="G84" s="29">
        <v>46077.518750000003</v>
      </c>
      <c r="H84" s="27" t="s">
        <v>120</v>
      </c>
      <c r="I84" s="27" t="s">
        <v>121</v>
      </c>
      <c r="J84" s="27" t="s">
        <v>130</v>
      </c>
    </row>
    <row r="85" spans="1:10" ht="40.5">
      <c r="A85" s="34">
        <v>525</v>
      </c>
      <c r="B85" s="34">
        <v>5</v>
      </c>
      <c r="C85" s="34">
        <v>25</v>
      </c>
      <c r="D85" s="36" t="s">
        <v>1279</v>
      </c>
      <c r="E85" s="34" t="s">
        <v>1219</v>
      </c>
      <c r="F85" s="1"/>
      <c r="G85" s="29">
        <v>46084.484722222223</v>
      </c>
      <c r="H85" s="27" t="s">
        <v>124</v>
      </c>
      <c r="I85" s="27" t="s">
        <v>125</v>
      </c>
      <c r="J85" s="27" t="s">
        <v>130</v>
      </c>
    </row>
    <row r="86" spans="1:10">
      <c r="A86" s="34">
        <v>526</v>
      </c>
      <c r="B86" s="34">
        <v>5</v>
      </c>
      <c r="C86" s="34">
        <v>26</v>
      </c>
      <c r="D86" s="36" t="s">
        <v>1280</v>
      </c>
      <c r="E86" s="34" t="s">
        <v>1219</v>
      </c>
      <c r="F86" s="1"/>
      <c r="G86" s="29">
        <v>46092.401388888888</v>
      </c>
      <c r="H86" s="27" t="s">
        <v>126</v>
      </c>
      <c r="I86" s="27" t="s">
        <v>127</v>
      </c>
      <c r="J86" s="27" t="s">
        <v>130</v>
      </c>
    </row>
    <row r="87" spans="1:10">
      <c r="A87" s="34">
        <v>527</v>
      </c>
      <c r="B87" s="34">
        <v>5</v>
      </c>
      <c r="C87" s="34">
        <v>27</v>
      </c>
      <c r="D87" s="36" t="s">
        <v>1281</v>
      </c>
      <c r="E87" s="34" t="s">
        <v>1219</v>
      </c>
      <c r="F87" s="1"/>
      <c r="G87" s="29">
        <v>46100.057638888888</v>
      </c>
      <c r="H87" s="27" t="s">
        <v>128</v>
      </c>
      <c r="I87" s="27" t="s">
        <v>129</v>
      </c>
      <c r="J87" s="27" t="s">
        <v>130</v>
      </c>
    </row>
    <row r="88" spans="1:10">
      <c r="A88" s="34">
        <v>529</v>
      </c>
      <c r="B88" s="34">
        <v>5</v>
      </c>
      <c r="C88" s="34">
        <v>29</v>
      </c>
      <c r="D88" s="36" t="s">
        <v>1282</v>
      </c>
      <c r="E88" s="34" t="s">
        <v>1245</v>
      </c>
      <c r="F88" s="1"/>
      <c r="G88" s="29">
        <v>46106.804166666669</v>
      </c>
      <c r="H88" s="27" t="s">
        <v>120</v>
      </c>
      <c r="I88" s="27" t="s">
        <v>121</v>
      </c>
      <c r="J88" s="27" t="s">
        <v>130</v>
      </c>
    </row>
    <row r="89" spans="1:10">
      <c r="A89" s="34">
        <v>531</v>
      </c>
      <c r="B89" s="34">
        <v>5</v>
      </c>
      <c r="C89" s="34">
        <v>31</v>
      </c>
      <c r="D89" s="36" t="s">
        <v>1283</v>
      </c>
      <c r="E89" s="34" t="s">
        <v>1219</v>
      </c>
      <c r="F89" s="1"/>
      <c r="G89" s="29">
        <v>46114.091666666667</v>
      </c>
      <c r="H89" s="27" t="s">
        <v>124</v>
      </c>
      <c r="I89" s="27" t="s">
        <v>125</v>
      </c>
      <c r="J89" s="27" t="s">
        <v>130</v>
      </c>
    </row>
    <row r="90" spans="1:10">
      <c r="A90" s="34">
        <v>601</v>
      </c>
      <c r="B90" s="34">
        <v>6</v>
      </c>
      <c r="C90" s="34">
        <v>1</v>
      </c>
      <c r="D90" s="36" t="s">
        <v>1284</v>
      </c>
      <c r="E90" s="34" t="s">
        <v>1219</v>
      </c>
      <c r="F90" s="1"/>
      <c r="G90" s="29">
        <v>46122.20208333333</v>
      </c>
      <c r="H90" s="27" t="s">
        <v>126</v>
      </c>
      <c r="I90" s="27" t="s">
        <v>127</v>
      </c>
      <c r="J90" s="27" t="s">
        <v>130</v>
      </c>
    </row>
    <row r="91" spans="1:10">
      <c r="A91" s="34">
        <v>602</v>
      </c>
      <c r="B91" s="34">
        <v>6</v>
      </c>
      <c r="C91" s="34">
        <v>2</v>
      </c>
      <c r="D91" s="36" t="s">
        <v>1285</v>
      </c>
      <c r="E91" s="34" t="s">
        <v>1219</v>
      </c>
      <c r="F91" s="1"/>
      <c r="G91" s="29">
        <v>46129.494444444441</v>
      </c>
      <c r="H91" s="27" t="s">
        <v>128</v>
      </c>
      <c r="I91" s="27" t="s">
        <v>129</v>
      </c>
      <c r="J91" s="27" t="s">
        <v>130</v>
      </c>
    </row>
    <row r="92" spans="1:10">
      <c r="A92" s="34">
        <v>603</v>
      </c>
      <c r="B92" s="34">
        <v>6</v>
      </c>
      <c r="C92" s="34">
        <v>3</v>
      </c>
      <c r="D92" s="36" t="s">
        <v>1286</v>
      </c>
      <c r="E92" s="34" t="s">
        <v>1219</v>
      </c>
      <c r="F92" s="1"/>
      <c r="G92" s="29">
        <v>46136.105555555558</v>
      </c>
      <c r="H92" s="27" t="s">
        <v>120</v>
      </c>
      <c r="I92" s="27" t="s">
        <v>121</v>
      </c>
      <c r="J92" s="27" t="s">
        <v>130</v>
      </c>
    </row>
    <row r="93" spans="1:10">
      <c r="A93" s="34">
        <v>605</v>
      </c>
      <c r="B93" s="34">
        <v>6</v>
      </c>
      <c r="C93" s="34">
        <v>5</v>
      </c>
      <c r="D93" s="36" t="s">
        <v>1287</v>
      </c>
      <c r="E93" s="34" t="s">
        <v>1219</v>
      </c>
      <c r="F93" s="1"/>
      <c r="G93" s="29">
        <v>46143.724305555559</v>
      </c>
      <c r="H93" s="27" t="s">
        <v>124</v>
      </c>
      <c r="I93" s="27" t="s">
        <v>125</v>
      </c>
      <c r="J93" s="27" t="s">
        <v>130</v>
      </c>
    </row>
    <row r="94" spans="1:10">
      <c r="A94" s="34">
        <v>606</v>
      </c>
      <c r="B94" s="34">
        <v>6</v>
      </c>
      <c r="C94" s="34">
        <v>6</v>
      </c>
      <c r="D94" s="36" t="s">
        <v>1288</v>
      </c>
      <c r="E94" s="34" t="s">
        <v>1219</v>
      </c>
      <c r="F94" s="1"/>
      <c r="G94" s="29">
        <v>46151.881944444445</v>
      </c>
      <c r="H94" s="27" t="s">
        <v>126</v>
      </c>
      <c r="I94" s="27" t="s">
        <v>127</v>
      </c>
      <c r="J94" s="27" t="s">
        <v>130</v>
      </c>
    </row>
    <row r="95" spans="1:10">
      <c r="A95" s="34">
        <v>609</v>
      </c>
      <c r="B95" s="34">
        <v>6</v>
      </c>
      <c r="C95" s="34">
        <v>9</v>
      </c>
      <c r="D95" s="36" t="s">
        <v>1289</v>
      </c>
      <c r="E95" s="34" t="s">
        <v>1219</v>
      </c>
      <c r="F95" s="1"/>
      <c r="G95" s="29">
        <v>46158.834027777775</v>
      </c>
      <c r="H95" s="27" t="s">
        <v>128</v>
      </c>
      <c r="I95" s="27" t="s">
        <v>129</v>
      </c>
      <c r="J95" s="27" t="s">
        <v>130</v>
      </c>
    </row>
    <row r="96" spans="1:10">
      <c r="A96" s="34">
        <v>611</v>
      </c>
      <c r="B96" s="34">
        <v>6</v>
      </c>
      <c r="C96" s="34">
        <v>11</v>
      </c>
      <c r="D96" s="36" t="s">
        <v>1290</v>
      </c>
      <c r="E96" s="34" t="s">
        <v>1219</v>
      </c>
      <c r="F96" s="1"/>
      <c r="G96" s="29">
        <v>46165.46597222222</v>
      </c>
      <c r="H96" s="27" t="s">
        <v>120</v>
      </c>
      <c r="I96" s="27" t="s">
        <v>121</v>
      </c>
      <c r="J96" s="27" t="s">
        <v>130</v>
      </c>
    </row>
    <row r="97" spans="1:10">
      <c r="A97" s="34">
        <v>613</v>
      </c>
      <c r="B97" s="34">
        <v>6</v>
      </c>
      <c r="C97" s="34">
        <v>13</v>
      </c>
      <c r="D97" s="36" t="s">
        <v>1291</v>
      </c>
      <c r="E97" s="34" t="s">
        <v>1219</v>
      </c>
      <c r="F97" s="1"/>
      <c r="G97" s="29">
        <v>46173.364583333336</v>
      </c>
      <c r="H97" s="27" t="s">
        <v>124</v>
      </c>
      <c r="I97" s="27" t="s">
        <v>125</v>
      </c>
      <c r="J97" s="27" t="s">
        <v>130</v>
      </c>
    </row>
    <row r="98" spans="1:10">
      <c r="A98" s="34">
        <v>619</v>
      </c>
      <c r="B98" s="34">
        <v>6</v>
      </c>
      <c r="C98" s="34">
        <v>19</v>
      </c>
      <c r="D98" s="36" t="s">
        <v>1292</v>
      </c>
      <c r="E98" s="34" t="s">
        <v>1219</v>
      </c>
      <c r="F98" s="1"/>
      <c r="G98" s="29">
        <v>46181.416666666664</v>
      </c>
      <c r="H98" s="27" t="s">
        <v>126</v>
      </c>
      <c r="I98" s="27" t="s">
        <v>127</v>
      </c>
      <c r="J98" s="27" t="s">
        <v>130</v>
      </c>
    </row>
    <row r="99" spans="1:10">
      <c r="A99" s="34">
        <v>621</v>
      </c>
      <c r="B99" s="34">
        <v>6</v>
      </c>
      <c r="C99" s="34">
        <v>21</v>
      </c>
      <c r="D99" s="36" t="s">
        <v>1293</v>
      </c>
      <c r="E99" s="34" t="s">
        <v>1219</v>
      </c>
      <c r="F99" s="1"/>
      <c r="G99" s="29">
        <v>46188.120833333334</v>
      </c>
      <c r="H99" s="27" t="s">
        <v>128</v>
      </c>
      <c r="I99" s="27" t="s">
        <v>129</v>
      </c>
      <c r="J99" s="27" t="s">
        <v>130</v>
      </c>
    </row>
    <row r="100" spans="1:10" ht="27">
      <c r="A100" s="34">
        <v>622</v>
      </c>
      <c r="B100" s="34">
        <v>6</v>
      </c>
      <c r="C100" s="34">
        <v>22</v>
      </c>
      <c r="D100" s="36" t="s">
        <v>1294</v>
      </c>
      <c r="E100" s="34" t="s">
        <v>1219</v>
      </c>
      <c r="F100" s="1"/>
      <c r="G100" s="29">
        <v>46194.913194444445</v>
      </c>
      <c r="H100" s="27" t="s">
        <v>120</v>
      </c>
      <c r="I100" s="27" t="s">
        <v>121</v>
      </c>
      <c r="J100" s="27" t="s">
        <v>130</v>
      </c>
    </row>
    <row r="101" spans="1:10">
      <c r="A101" s="34">
        <v>624</v>
      </c>
      <c r="B101" s="34">
        <v>6</v>
      </c>
      <c r="C101" s="34">
        <v>24</v>
      </c>
      <c r="D101" s="36" t="s">
        <v>1295</v>
      </c>
      <c r="E101" s="34" t="s">
        <v>1219</v>
      </c>
      <c r="F101" s="1"/>
      <c r="G101" s="29">
        <v>46202.99722222222</v>
      </c>
      <c r="H101" s="27" t="s">
        <v>124</v>
      </c>
      <c r="I101" s="27" t="s">
        <v>125</v>
      </c>
      <c r="J101" s="27" t="s">
        <v>130</v>
      </c>
    </row>
    <row r="102" spans="1:10">
      <c r="A102" s="34">
        <v>627</v>
      </c>
      <c r="B102" s="34">
        <v>6</v>
      </c>
      <c r="C102" s="34">
        <v>27</v>
      </c>
      <c r="D102" s="36" t="s">
        <v>1296</v>
      </c>
      <c r="E102" s="34" t="s">
        <v>1219</v>
      </c>
      <c r="F102" s="1"/>
      <c r="G102" s="29">
        <v>46210.811805555553</v>
      </c>
      <c r="H102" s="27" t="s">
        <v>126</v>
      </c>
      <c r="I102" s="27" t="s">
        <v>127</v>
      </c>
      <c r="J102" s="27" t="s">
        <v>130</v>
      </c>
    </row>
    <row r="103" spans="1:10">
      <c r="A103" s="34">
        <v>628</v>
      </c>
      <c r="B103" s="34">
        <v>6</v>
      </c>
      <c r="C103" s="34">
        <v>28</v>
      </c>
      <c r="D103" s="36" t="s">
        <v>1297</v>
      </c>
      <c r="E103" s="34" t="s">
        <v>1298</v>
      </c>
      <c r="F103" s="1"/>
      <c r="G103" s="29">
        <v>46217.404861111114</v>
      </c>
      <c r="H103" s="27" t="s">
        <v>128</v>
      </c>
      <c r="I103" s="27" t="s">
        <v>129</v>
      </c>
      <c r="J103" s="27" t="s">
        <v>130</v>
      </c>
    </row>
    <row r="104" spans="1:10">
      <c r="A104" s="34">
        <v>629</v>
      </c>
      <c r="B104" s="34">
        <v>6</v>
      </c>
      <c r="C104" s="34">
        <v>29</v>
      </c>
      <c r="D104" s="36" t="s">
        <v>1299</v>
      </c>
      <c r="E104" s="34" t="s">
        <v>1219</v>
      </c>
      <c r="F104" s="1"/>
      <c r="G104" s="29">
        <v>46224.461805555555</v>
      </c>
      <c r="H104" s="27" t="s">
        <v>120</v>
      </c>
      <c r="I104" s="27" t="s">
        <v>121</v>
      </c>
      <c r="J104" s="27" t="s">
        <v>130</v>
      </c>
    </row>
    <row r="105" spans="1:10">
      <c r="A105" s="34">
        <v>630</v>
      </c>
      <c r="B105" s="34">
        <v>6</v>
      </c>
      <c r="C105" s="34">
        <v>30</v>
      </c>
      <c r="D105" s="36" t="s">
        <v>1300</v>
      </c>
      <c r="E105" s="34" t="s">
        <v>1219</v>
      </c>
      <c r="F105" s="1"/>
      <c r="G105" s="29">
        <v>46232.60833333333</v>
      </c>
      <c r="H105" s="27" t="s">
        <v>124</v>
      </c>
      <c r="I105" s="27" t="s">
        <v>125</v>
      </c>
      <c r="J105" s="27" t="s">
        <v>130</v>
      </c>
    </row>
    <row r="106" spans="1:10">
      <c r="A106" s="34">
        <v>703</v>
      </c>
      <c r="B106" s="34">
        <v>7</v>
      </c>
      <c r="C106" s="34">
        <v>3</v>
      </c>
      <c r="D106" s="36" t="s">
        <v>1301</v>
      </c>
      <c r="E106" s="34" t="s">
        <v>1219</v>
      </c>
      <c r="F106" s="1"/>
      <c r="G106" s="29">
        <v>46240.097916666666</v>
      </c>
      <c r="H106" s="27" t="s">
        <v>126</v>
      </c>
      <c r="I106" s="27" t="s">
        <v>127</v>
      </c>
      <c r="J106" s="27" t="s">
        <v>130</v>
      </c>
    </row>
    <row r="107" spans="1:10">
      <c r="A107" s="34">
        <v>704</v>
      </c>
      <c r="B107" s="34">
        <v>7</v>
      </c>
      <c r="C107" s="34">
        <v>4</v>
      </c>
      <c r="D107" s="36" t="s">
        <v>1302</v>
      </c>
      <c r="E107" s="34" t="s">
        <v>1219</v>
      </c>
      <c r="F107" s="1"/>
      <c r="G107" s="29">
        <v>46246.734027777777</v>
      </c>
      <c r="H107" s="27" t="s">
        <v>128</v>
      </c>
      <c r="I107" s="27" t="s">
        <v>129</v>
      </c>
      <c r="J107" s="27" t="s">
        <v>130</v>
      </c>
    </row>
    <row r="108" spans="1:10">
      <c r="A108" s="34">
        <v>705</v>
      </c>
      <c r="B108" s="34">
        <v>7</v>
      </c>
      <c r="C108" s="34">
        <v>5</v>
      </c>
      <c r="D108" s="36" t="s">
        <v>1303</v>
      </c>
      <c r="E108" s="34" t="s">
        <v>1219</v>
      </c>
      <c r="F108" s="1"/>
      <c r="G108" s="29">
        <v>46254.115277777775</v>
      </c>
      <c r="H108" s="27" t="s">
        <v>120</v>
      </c>
      <c r="I108" s="27" t="s">
        <v>121</v>
      </c>
      <c r="J108" s="27" t="s">
        <v>130</v>
      </c>
    </row>
    <row r="109" spans="1:10">
      <c r="A109" s="34">
        <v>706</v>
      </c>
      <c r="B109" s="34">
        <v>7</v>
      </c>
      <c r="C109" s="34">
        <v>6</v>
      </c>
      <c r="D109" s="36" t="s">
        <v>1304</v>
      </c>
      <c r="E109" s="34" t="s">
        <v>1219</v>
      </c>
      <c r="F109" s="1"/>
      <c r="G109" s="29">
        <v>46262.179166666669</v>
      </c>
      <c r="H109" s="27" t="s">
        <v>124</v>
      </c>
      <c r="I109" s="27" t="s">
        <v>125</v>
      </c>
      <c r="J109" s="27" t="s">
        <v>130</v>
      </c>
    </row>
    <row r="110" spans="1:10">
      <c r="A110" s="34">
        <v>709</v>
      </c>
      <c r="B110" s="34">
        <v>7</v>
      </c>
      <c r="C110" s="34">
        <v>9</v>
      </c>
      <c r="D110" s="36" t="s">
        <v>1305</v>
      </c>
      <c r="E110" s="34" t="s">
        <v>1273</v>
      </c>
      <c r="F110" s="1"/>
      <c r="G110" s="29">
        <v>46269.32708333333</v>
      </c>
      <c r="H110" s="27" t="s">
        <v>126</v>
      </c>
      <c r="I110" s="27" t="s">
        <v>127</v>
      </c>
      <c r="J110" s="27" t="s">
        <v>130</v>
      </c>
    </row>
    <row r="111" spans="1:10">
      <c r="A111" s="34">
        <v>711</v>
      </c>
      <c r="B111" s="34">
        <v>7</v>
      </c>
      <c r="C111" s="34">
        <v>11</v>
      </c>
      <c r="D111" s="36" t="s">
        <v>1306</v>
      </c>
      <c r="E111" s="34" t="s">
        <v>1219</v>
      </c>
      <c r="F111" s="1"/>
      <c r="G111" s="29">
        <v>46276.143750000003</v>
      </c>
      <c r="H111" s="27" t="s">
        <v>128</v>
      </c>
      <c r="I111" s="27" t="s">
        <v>129</v>
      </c>
      <c r="J111" s="27" t="s">
        <v>130</v>
      </c>
    </row>
    <row r="112" spans="1:10">
      <c r="A112" s="34">
        <v>713</v>
      </c>
      <c r="B112" s="34">
        <v>7</v>
      </c>
      <c r="C112" s="34">
        <v>13</v>
      </c>
      <c r="D112" s="36" t="s">
        <v>1307</v>
      </c>
      <c r="E112" s="34" t="s">
        <v>1219</v>
      </c>
      <c r="F112" s="1"/>
      <c r="G112" s="29">
        <v>46283.863888888889</v>
      </c>
      <c r="H112" s="27" t="s">
        <v>120</v>
      </c>
      <c r="I112" s="27" t="s">
        <v>121</v>
      </c>
      <c r="J112" s="27" t="s">
        <v>130</v>
      </c>
    </row>
    <row r="113" spans="1:10">
      <c r="A113" s="34">
        <v>714</v>
      </c>
      <c r="B113" s="34">
        <v>7</v>
      </c>
      <c r="C113" s="34">
        <v>14</v>
      </c>
      <c r="D113" s="36" t="s">
        <v>1308</v>
      </c>
      <c r="E113" s="34" t="s">
        <v>1219</v>
      </c>
      <c r="F113" s="1"/>
      <c r="G113" s="29">
        <v>46291.700694444444</v>
      </c>
      <c r="H113" s="27" t="s">
        <v>124</v>
      </c>
      <c r="I113" s="27" t="s">
        <v>125</v>
      </c>
      <c r="J113" s="27" t="s">
        <v>130</v>
      </c>
    </row>
    <row r="114" spans="1:10">
      <c r="A114" s="34">
        <v>715</v>
      </c>
      <c r="B114" s="34">
        <v>7</v>
      </c>
      <c r="C114" s="34">
        <v>15</v>
      </c>
      <c r="D114" s="36" t="s">
        <v>1309</v>
      </c>
      <c r="E114" s="34" t="s">
        <v>1219</v>
      </c>
      <c r="F114" s="1"/>
      <c r="G114" s="29">
        <v>46298.559027777781</v>
      </c>
      <c r="H114" s="27" t="s">
        <v>126</v>
      </c>
      <c r="I114" s="27" t="s">
        <v>127</v>
      </c>
      <c r="J114" s="27" t="s">
        <v>130</v>
      </c>
    </row>
    <row r="115" spans="1:10">
      <c r="A115" s="34">
        <v>716</v>
      </c>
      <c r="B115" s="34">
        <v>7</v>
      </c>
      <c r="C115" s="34">
        <v>16</v>
      </c>
      <c r="D115" s="36" t="s">
        <v>1310</v>
      </c>
      <c r="E115" s="34" t="s">
        <v>1219</v>
      </c>
      <c r="F115" s="1"/>
      <c r="G115" s="29">
        <v>46305.659722222219</v>
      </c>
      <c r="H115" s="27" t="s">
        <v>128</v>
      </c>
      <c r="I115" s="27" t="s">
        <v>129</v>
      </c>
      <c r="J115" s="27" t="s">
        <v>130</v>
      </c>
    </row>
    <row r="116" spans="1:10">
      <c r="A116" s="34">
        <v>720</v>
      </c>
      <c r="B116" s="34">
        <v>7</v>
      </c>
      <c r="C116" s="34">
        <v>20</v>
      </c>
      <c r="D116" s="36" t="s">
        <v>1311</v>
      </c>
      <c r="E116" s="34" t="s">
        <v>1273</v>
      </c>
      <c r="F116" s="1"/>
      <c r="G116" s="29">
        <v>46313.675000000003</v>
      </c>
      <c r="H116" s="27" t="s">
        <v>120</v>
      </c>
      <c r="I116" s="27" t="s">
        <v>121</v>
      </c>
      <c r="J116" s="27" t="s">
        <v>130</v>
      </c>
    </row>
    <row r="117" spans="1:10">
      <c r="A117" s="34">
        <v>721</v>
      </c>
      <c r="B117" s="34">
        <v>7</v>
      </c>
      <c r="C117" s="34">
        <v>21</v>
      </c>
      <c r="D117" s="36" t="s">
        <v>1312</v>
      </c>
      <c r="E117" s="34" t="s">
        <v>1219</v>
      </c>
      <c r="F117" s="1"/>
      <c r="G117" s="29">
        <v>46321.175000000003</v>
      </c>
      <c r="H117" s="27" t="s">
        <v>124</v>
      </c>
      <c r="I117" s="27" t="s">
        <v>125</v>
      </c>
      <c r="J117" s="27" t="s">
        <v>130</v>
      </c>
    </row>
    <row r="118" spans="1:10">
      <c r="A118" s="34">
        <v>722</v>
      </c>
      <c r="B118" s="34">
        <v>7</v>
      </c>
      <c r="C118" s="34">
        <v>22</v>
      </c>
      <c r="D118" s="36" t="s">
        <v>1313</v>
      </c>
      <c r="E118" s="34" t="s">
        <v>1219</v>
      </c>
      <c r="F118" s="1"/>
      <c r="G118" s="29">
        <v>46327.852777777778</v>
      </c>
      <c r="H118" s="27" t="s">
        <v>126</v>
      </c>
      <c r="I118" s="27" t="s">
        <v>127</v>
      </c>
      <c r="J118" s="27" t="s">
        <v>130</v>
      </c>
    </row>
    <row r="119" spans="1:10">
      <c r="A119" s="34">
        <v>723</v>
      </c>
      <c r="B119" s="34">
        <v>7</v>
      </c>
      <c r="C119" s="34">
        <v>23</v>
      </c>
      <c r="D119" s="36" t="s">
        <v>1314</v>
      </c>
      <c r="E119" s="34" t="s">
        <v>1219</v>
      </c>
      <c r="F119" s="1"/>
      <c r="G119" s="29">
        <v>46335.293055555558</v>
      </c>
      <c r="H119" s="27" t="s">
        <v>128</v>
      </c>
      <c r="I119" s="27" t="s">
        <v>129</v>
      </c>
      <c r="J119" s="27" t="s">
        <v>130</v>
      </c>
    </row>
    <row r="120" spans="1:10">
      <c r="A120" s="34">
        <v>724</v>
      </c>
      <c r="B120" s="34">
        <v>7</v>
      </c>
      <c r="C120" s="34">
        <v>24</v>
      </c>
      <c r="D120" s="36" t="s">
        <v>1315</v>
      </c>
      <c r="E120" s="34" t="s">
        <v>1273</v>
      </c>
      <c r="F120" s="1"/>
      <c r="G120" s="29">
        <v>46343.491666666669</v>
      </c>
      <c r="H120" s="27" t="s">
        <v>120</v>
      </c>
      <c r="I120" s="27" t="s">
        <v>121</v>
      </c>
      <c r="J120" s="27" t="s">
        <v>130</v>
      </c>
    </row>
    <row r="121" spans="1:10">
      <c r="A121" s="34">
        <v>725</v>
      </c>
      <c r="B121" s="34">
        <v>7</v>
      </c>
      <c r="C121" s="34">
        <v>25</v>
      </c>
      <c r="D121" s="36" t="s">
        <v>1316</v>
      </c>
      <c r="E121" s="34" t="s">
        <v>1219</v>
      </c>
      <c r="F121" s="1"/>
      <c r="G121" s="29">
        <v>46350.620138888888</v>
      </c>
      <c r="H121" s="27" t="s">
        <v>124</v>
      </c>
      <c r="I121" s="27" t="s">
        <v>125</v>
      </c>
      <c r="J121" s="27" t="s">
        <v>130</v>
      </c>
    </row>
    <row r="122" spans="1:10">
      <c r="A122" s="34">
        <v>726</v>
      </c>
      <c r="B122" s="34">
        <v>7</v>
      </c>
      <c r="C122" s="34">
        <v>26</v>
      </c>
      <c r="D122" s="36" t="s">
        <v>1317</v>
      </c>
      <c r="E122" s="34" t="s">
        <v>1219</v>
      </c>
      <c r="F122" s="1"/>
      <c r="G122" s="29">
        <v>46357.255555555559</v>
      </c>
      <c r="H122" s="27" t="s">
        <v>126</v>
      </c>
      <c r="I122" s="27" t="s">
        <v>127</v>
      </c>
      <c r="J122" s="27" t="s">
        <v>130</v>
      </c>
    </row>
    <row r="123" spans="1:10">
      <c r="A123" s="34">
        <v>729</v>
      </c>
      <c r="B123" s="34">
        <v>7</v>
      </c>
      <c r="C123" s="34">
        <v>29</v>
      </c>
      <c r="D123" s="36" t="s">
        <v>1318</v>
      </c>
      <c r="E123" s="34" t="s">
        <v>1298</v>
      </c>
      <c r="F123" s="1"/>
      <c r="G123" s="29">
        <v>46365.036111111112</v>
      </c>
      <c r="H123" s="27" t="s">
        <v>128</v>
      </c>
      <c r="I123" s="27" t="s">
        <v>129</v>
      </c>
      <c r="J123" s="27" t="s">
        <v>130</v>
      </c>
    </row>
    <row r="124" spans="1:10">
      <c r="A124" s="34">
        <v>730</v>
      </c>
      <c r="B124" s="34">
        <v>7</v>
      </c>
      <c r="C124" s="34">
        <v>30</v>
      </c>
      <c r="D124" s="36" t="s">
        <v>1319</v>
      </c>
      <c r="E124" s="34" t="s">
        <v>1219</v>
      </c>
      <c r="F124" s="1"/>
      <c r="G124" s="29">
        <v>46373.237500000003</v>
      </c>
      <c r="H124" s="27" t="s">
        <v>120</v>
      </c>
      <c r="I124" s="27" t="s">
        <v>121</v>
      </c>
      <c r="J124" s="27" t="s">
        <v>130</v>
      </c>
    </row>
    <row r="125" spans="1:10">
      <c r="A125" s="34">
        <v>731</v>
      </c>
      <c r="B125" s="34">
        <v>7</v>
      </c>
      <c r="C125" s="34">
        <v>31</v>
      </c>
      <c r="D125" s="36" t="s">
        <v>1320</v>
      </c>
      <c r="E125" s="34" t="s">
        <v>1219</v>
      </c>
      <c r="F125" s="1"/>
      <c r="G125" s="29">
        <v>46380.061111111114</v>
      </c>
      <c r="H125" s="27" t="s">
        <v>124</v>
      </c>
      <c r="I125" s="27" t="s">
        <v>125</v>
      </c>
      <c r="J125" s="27" t="s">
        <v>130</v>
      </c>
    </row>
    <row r="126" spans="1:10">
      <c r="A126" s="34">
        <v>801</v>
      </c>
      <c r="B126" s="34">
        <v>8</v>
      </c>
      <c r="C126" s="34">
        <v>1</v>
      </c>
      <c r="D126" s="36" t="s">
        <v>1321</v>
      </c>
      <c r="E126" s="34" t="s">
        <v>1219</v>
      </c>
      <c r="F126" s="1"/>
      <c r="G126" s="29">
        <v>46386.790972222225</v>
      </c>
      <c r="H126" s="27" t="s">
        <v>126</v>
      </c>
      <c r="I126" s="27" t="s">
        <v>127</v>
      </c>
      <c r="J126" s="27" t="s">
        <v>130</v>
      </c>
    </row>
    <row r="127" spans="1:10" ht="27">
      <c r="A127" s="34">
        <v>802</v>
      </c>
      <c r="B127" s="34">
        <v>8</v>
      </c>
      <c r="C127" s="34">
        <v>2</v>
      </c>
      <c r="D127" s="36" t="s">
        <v>1322</v>
      </c>
      <c r="E127" s="34" t="s">
        <v>1236</v>
      </c>
      <c r="F127" s="1"/>
      <c r="G127" s="29">
        <v>46394.85</v>
      </c>
      <c r="H127" s="27" t="s">
        <v>128</v>
      </c>
      <c r="I127" s="27" t="s">
        <v>129</v>
      </c>
      <c r="J127" s="27" t="s">
        <v>131</v>
      </c>
    </row>
    <row r="128" spans="1:10">
      <c r="A128" s="34">
        <v>804</v>
      </c>
      <c r="B128" s="34">
        <v>8</v>
      </c>
      <c r="C128" s="34">
        <v>4</v>
      </c>
      <c r="D128" s="36" t="s">
        <v>1323</v>
      </c>
      <c r="E128" s="34" t="s">
        <v>1219</v>
      </c>
      <c r="F128" s="1"/>
      <c r="G128" s="29">
        <v>46402.856944444444</v>
      </c>
      <c r="H128" s="27" t="s">
        <v>120</v>
      </c>
      <c r="I128" s="27" t="s">
        <v>121</v>
      </c>
      <c r="J128" s="27" t="s">
        <v>131</v>
      </c>
    </row>
    <row r="129" spans="1:10" ht="27">
      <c r="A129" s="34">
        <v>807</v>
      </c>
      <c r="B129" s="34">
        <v>8</v>
      </c>
      <c r="C129" s="34">
        <v>7</v>
      </c>
      <c r="D129" s="36" t="s">
        <v>1324</v>
      </c>
      <c r="E129" s="34" t="s">
        <v>1219</v>
      </c>
      <c r="F129" s="1"/>
      <c r="G129" s="29">
        <v>46409.511805555558</v>
      </c>
      <c r="H129" s="27" t="s">
        <v>124</v>
      </c>
      <c r="I129" s="27" t="s">
        <v>125</v>
      </c>
      <c r="J129" s="27" t="s">
        <v>131</v>
      </c>
    </row>
    <row r="130" spans="1:10">
      <c r="A130" s="34">
        <v>808</v>
      </c>
      <c r="B130" s="34">
        <v>8</v>
      </c>
      <c r="C130" s="34">
        <v>8</v>
      </c>
      <c r="D130" s="36" t="s">
        <v>1325</v>
      </c>
      <c r="E130" s="34" t="s">
        <v>1219</v>
      </c>
      <c r="F130" s="1"/>
      <c r="G130" s="29">
        <v>46416.454861111109</v>
      </c>
      <c r="H130" s="27" t="s">
        <v>126</v>
      </c>
      <c r="I130" s="27" t="s">
        <v>127</v>
      </c>
      <c r="J130" s="27" t="s">
        <v>131</v>
      </c>
    </row>
    <row r="131" spans="1:10" ht="27">
      <c r="A131" s="34">
        <v>809</v>
      </c>
      <c r="B131" s="34">
        <v>8</v>
      </c>
      <c r="C131" s="34">
        <v>9</v>
      </c>
      <c r="D131" s="36" t="s">
        <v>1326</v>
      </c>
      <c r="E131" s="34" t="s">
        <v>1273</v>
      </c>
      <c r="F131" s="1"/>
      <c r="G131" s="29">
        <v>46424.663888888892</v>
      </c>
      <c r="H131" s="27" t="s">
        <v>128</v>
      </c>
      <c r="I131" s="27" t="s">
        <v>129</v>
      </c>
      <c r="J131" s="27" t="s">
        <v>131</v>
      </c>
    </row>
    <row r="132" spans="1:10">
      <c r="A132" s="34">
        <v>810</v>
      </c>
      <c r="B132" s="34">
        <v>8</v>
      </c>
      <c r="C132" s="34">
        <v>10</v>
      </c>
      <c r="D132" s="36" t="s">
        <v>1327</v>
      </c>
      <c r="E132" s="34" t="s">
        <v>1219</v>
      </c>
      <c r="F132" s="1"/>
      <c r="G132" s="29">
        <v>46432.331944444442</v>
      </c>
      <c r="H132" s="27" t="s">
        <v>120</v>
      </c>
      <c r="I132" s="27" t="s">
        <v>121</v>
      </c>
      <c r="J132" s="27" t="s">
        <v>131</v>
      </c>
    </row>
    <row r="133" spans="1:10">
      <c r="A133" s="34">
        <v>811</v>
      </c>
      <c r="B133" s="34">
        <v>8</v>
      </c>
      <c r="C133" s="34">
        <v>11</v>
      </c>
      <c r="D133" s="36" t="s">
        <v>1328</v>
      </c>
      <c r="E133" s="34" t="s">
        <v>1219</v>
      </c>
      <c r="F133" s="1"/>
      <c r="G133" s="29">
        <v>46438.974305555559</v>
      </c>
      <c r="H133" s="27" t="s">
        <v>124</v>
      </c>
      <c r="I133" s="27" t="s">
        <v>125</v>
      </c>
      <c r="J133" s="27" t="s">
        <v>131</v>
      </c>
    </row>
    <row r="134" spans="1:10">
      <c r="A134" s="34">
        <v>812</v>
      </c>
      <c r="B134" s="34">
        <v>8</v>
      </c>
      <c r="C134" s="34">
        <v>12</v>
      </c>
      <c r="D134" s="36" t="s">
        <v>1329</v>
      </c>
      <c r="E134" s="34" t="s">
        <v>1330</v>
      </c>
      <c r="F134" s="1"/>
      <c r="G134" s="29">
        <v>46446.219444444447</v>
      </c>
      <c r="H134" s="27" t="s">
        <v>126</v>
      </c>
      <c r="I134" s="27" t="s">
        <v>127</v>
      </c>
      <c r="J134" s="27" t="s">
        <v>131</v>
      </c>
    </row>
    <row r="135" spans="1:10">
      <c r="A135" s="34">
        <v>813</v>
      </c>
      <c r="B135" s="34">
        <v>8</v>
      </c>
      <c r="C135" s="34">
        <v>13</v>
      </c>
      <c r="D135" s="36" t="s">
        <v>1331</v>
      </c>
      <c r="E135" s="34" t="s">
        <v>1219</v>
      </c>
      <c r="F135" s="1"/>
      <c r="G135" s="29">
        <v>46454.395138888889</v>
      </c>
      <c r="H135" s="27" t="s">
        <v>128</v>
      </c>
      <c r="I135" s="27" t="s">
        <v>129</v>
      </c>
      <c r="J135" s="27" t="s">
        <v>131</v>
      </c>
    </row>
    <row r="136" spans="1:10">
      <c r="A136" s="34">
        <v>814</v>
      </c>
      <c r="B136" s="34">
        <v>8</v>
      </c>
      <c r="C136" s="34">
        <v>14</v>
      </c>
      <c r="D136" s="36" t="s">
        <v>1332</v>
      </c>
      <c r="E136" s="34" t="s">
        <v>1273</v>
      </c>
      <c r="F136" s="1"/>
      <c r="G136" s="29">
        <v>46461.684027777781</v>
      </c>
      <c r="H136" s="27" t="s">
        <v>120</v>
      </c>
      <c r="I136" s="27" t="s">
        <v>121</v>
      </c>
      <c r="J136" s="27" t="s">
        <v>131</v>
      </c>
    </row>
    <row r="137" spans="1:10">
      <c r="A137" s="34">
        <v>815</v>
      </c>
      <c r="B137" s="34">
        <v>8</v>
      </c>
      <c r="C137" s="34">
        <v>15</v>
      </c>
      <c r="D137" s="36" t="s">
        <v>1027</v>
      </c>
      <c r="E137" s="34" t="s">
        <v>1219</v>
      </c>
      <c r="F137" s="1"/>
      <c r="G137" s="29">
        <v>46468.447222222225</v>
      </c>
      <c r="H137" s="27" t="s">
        <v>124</v>
      </c>
      <c r="I137" s="27" t="s">
        <v>125</v>
      </c>
      <c r="J137" s="27" t="s">
        <v>131</v>
      </c>
    </row>
    <row r="138" spans="1:10">
      <c r="A138" s="34">
        <v>816</v>
      </c>
      <c r="B138" s="34">
        <v>8</v>
      </c>
      <c r="C138" s="34">
        <v>16</v>
      </c>
      <c r="D138" s="36" t="s">
        <v>1333</v>
      </c>
      <c r="E138" s="34" t="s">
        <v>1219</v>
      </c>
      <c r="F138" s="1"/>
      <c r="G138" s="29">
        <v>46476.037499999999</v>
      </c>
      <c r="H138" s="27" t="s">
        <v>126</v>
      </c>
      <c r="I138" s="27" t="s">
        <v>127</v>
      </c>
      <c r="J138" s="27" t="s">
        <v>131</v>
      </c>
    </row>
    <row r="139" spans="1:10">
      <c r="A139" s="34">
        <v>819</v>
      </c>
      <c r="B139" s="34">
        <v>8</v>
      </c>
      <c r="C139" s="34">
        <v>19</v>
      </c>
      <c r="D139" s="36" t="s">
        <v>1334</v>
      </c>
      <c r="E139" s="34" t="s">
        <v>1219</v>
      </c>
      <c r="F139" s="1"/>
      <c r="G139" s="29">
        <v>46483.993750000001</v>
      </c>
      <c r="H139" s="27" t="s">
        <v>128</v>
      </c>
      <c r="I139" s="27" t="s">
        <v>129</v>
      </c>
      <c r="J139" s="27" t="s">
        <v>131</v>
      </c>
    </row>
    <row r="140" spans="1:10" ht="27">
      <c r="A140" s="34">
        <v>820</v>
      </c>
      <c r="B140" s="34">
        <v>8</v>
      </c>
      <c r="C140" s="34">
        <v>20</v>
      </c>
      <c r="D140" s="36" t="s">
        <v>1335</v>
      </c>
      <c r="E140" s="34" t="s">
        <v>1219</v>
      </c>
      <c r="F140" s="1"/>
      <c r="G140" s="29">
        <v>46490.955555555556</v>
      </c>
      <c r="H140" s="27" t="s">
        <v>120</v>
      </c>
      <c r="I140" s="27" t="s">
        <v>121</v>
      </c>
      <c r="J140" s="27" t="s">
        <v>131</v>
      </c>
    </row>
    <row r="141" spans="1:10">
      <c r="A141" s="34">
        <v>821</v>
      </c>
      <c r="B141" s="34">
        <v>8</v>
      </c>
      <c r="C141" s="34">
        <v>21</v>
      </c>
      <c r="D141" s="36" t="s">
        <v>1336</v>
      </c>
      <c r="E141" s="34" t="s">
        <v>1219</v>
      </c>
      <c r="F141" s="1"/>
      <c r="G141" s="29">
        <v>46497.935416666667</v>
      </c>
      <c r="H141" s="27" t="s">
        <v>124</v>
      </c>
      <c r="I141" s="27" t="s">
        <v>125</v>
      </c>
      <c r="J141" s="27" t="s">
        <v>131</v>
      </c>
    </row>
    <row r="142" spans="1:10">
      <c r="A142" s="34">
        <v>822</v>
      </c>
      <c r="B142" s="34">
        <v>8</v>
      </c>
      <c r="C142" s="34">
        <v>22</v>
      </c>
      <c r="D142" s="36" t="s">
        <v>1337</v>
      </c>
      <c r="E142" s="34" t="s">
        <v>1219</v>
      </c>
      <c r="F142" s="1"/>
      <c r="G142" s="29">
        <v>46505.845833333333</v>
      </c>
      <c r="H142" s="27" t="s">
        <v>126</v>
      </c>
      <c r="I142" s="27" t="s">
        <v>127</v>
      </c>
      <c r="J142" s="27" t="s">
        <v>131</v>
      </c>
    </row>
    <row r="143" spans="1:10">
      <c r="A143" s="34">
        <v>823</v>
      </c>
      <c r="B143" s="34">
        <v>8</v>
      </c>
      <c r="C143" s="34">
        <v>23</v>
      </c>
      <c r="D143" s="36" t="s">
        <v>1338</v>
      </c>
      <c r="E143" s="34" t="s">
        <v>1219</v>
      </c>
      <c r="F143" s="1"/>
      <c r="G143" s="29">
        <v>46513.456944444442</v>
      </c>
      <c r="H143" s="27" t="s">
        <v>128</v>
      </c>
      <c r="I143" s="27" t="s">
        <v>129</v>
      </c>
      <c r="J143" s="27" t="s">
        <v>131</v>
      </c>
    </row>
    <row r="144" spans="1:10">
      <c r="A144" s="34">
        <v>824</v>
      </c>
      <c r="B144" s="34">
        <v>8</v>
      </c>
      <c r="C144" s="34">
        <v>24</v>
      </c>
      <c r="D144" s="36" t="s">
        <v>1339</v>
      </c>
      <c r="E144" s="34" t="s">
        <v>1219</v>
      </c>
      <c r="F144" s="1"/>
      <c r="G144" s="29">
        <v>46520.197222222225</v>
      </c>
      <c r="H144" s="27" t="s">
        <v>120</v>
      </c>
      <c r="I144" s="27" t="s">
        <v>121</v>
      </c>
      <c r="J144" s="27" t="s">
        <v>131</v>
      </c>
    </row>
    <row r="145" spans="1:10">
      <c r="A145" s="34">
        <v>825</v>
      </c>
      <c r="B145" s="34">
        <v>8</v>
      </c>
      <c r="C145" s="34">
        <v>25</v>
      </c>
      <c r="D145" s="36" t="s">
        <v>1340</v>
      </c>
      <c r="E145" s="34" t="s">
        <v>1219</v>
      </c>
      <c r="F145" s="1"/>
      <c r="G145" s="29">
        <v>46527.457638888889</v>
      </c>
      <c r="H145" s="27" t="s">
        <v>124</v>
      </c>
      <c r="I145" s="27" t="s">
        <v>125</v>
      </c>
      <c r="J145" s="27" t="s">
        <v>131</v>
      </c>
    </row>
    <row r="146" spans="1:10">
      <c r="A146" s="34">
        <v>827</v>
      </c>
      <c r="B146" s="34">
        <v>8</v>
      </c>
      <c r="C146" s="34">
        <v>27</v>
      </c>
      <c r="D146" s="36" t="s">
        <v>1341</v>
      </c>
      <c r="E146" s="34" t="s">
        <v>1219</v>
      </c>
      <c r="F146" s="1"/>
      <c r="G146" s="29">
        <v>46535.581944444442</v>
      </c>
      <c r="H146" s="27" t="s">
        <v>126</v>
      </c>
      <c r="I146" s="27" t="s">
        <v>127</v>
      </c>
      <c r="J146" s="27" t="s">
        <v>131</v>
      </c>
    </row>
    <row r="147" spans="1:10" ht="27">
      <c r="A147" s="34">
        <v>828</v>
      </c>
      <c r="B147" s="34">
        <v>8</v>
      </c>
      <c r="C147" s="34">
        <v>28</v>
      </c>
      <c r="D147" s="36" t="s">
        <v>1342</v>
      </c>
      <c r="E147" s="34" t="s">
        <v>1219</v>
      </c>
      <c r="F147" s="1"/>
      <c r="G147" s="29">
        <v>46542.819444444445</v>
      </c>
      <c r="H147" s="27" t="s">
        <v>128</v>
      </c>
      <c r="I147" s="27" t="s">
        <v>129</v>
      </c>
      <c r="J147" s="27" t="s">
        <v>131</v>
      </c>
    </row>
    <row r="148" spans="1:10">
      <c r="A148" s="34">
        <v>829</v>
      </c>
      <c r="B148" s="34">
        <v>8</v>
      </c>
      <c r="C148" s="34">
        <v>29</v>
      </c>
      <c r="D148" s="36" t="s">
        <v>1343</v>
      </c>
      <c r="E148" s="34" t="s">
        <v>1219</v>
      </c>
      <c r="F148" s="1"/>
      <c r="G148" s="29">
        <v>46549.455555555556</v>
      </c>
      <c r="H148" s="27" t="s">
        <v>120</v>
      </c>
      <c r="I148" s="27" t="s">
        <v>121</v>
      </c>
      <c r="J148" s="27" t="s">
        <v>131</v>
      </c>
    </row>
    <row r="149" spans="1:10">
      <c r="A149" s="34">
        <v>903</v>
      </c>
      <c r="B149" s="34">
        <v>9</v>
      </c>
      <c r="C149" s="34">
        <v>3</v>
      </c>
      <c r="D149" s="36" t="s">
        <v>1344</v>
      </c>
      <c r="E149" s="34" t="s">
        <v>1219</v>
      </c>
      <c r="F149" s="1"/>
      <c r="G149" s="29">
        <v>46557.030555555553</v>
      </c>
      <c r="H149" s="27" t="s">
        <v>124</v>
      </c>
      <c r="I149" s="27" t="s">
        <v>125</v>
      </c>
      <c r="J149" s="27" t="s">
        <v>131</v>
      </c>
    </row>
    <row r="150" spans="1:10">
      <c r="A150" s="34">
        <v>905</v>
      </c>
      <c r="B150" s="34">
        <v>9</v>
      </c>
      <c r="C150" s="34">
        <v>5</v>
      </c>
      <c r="D150" s="36" t="s">
        <v>1345</v>
      </c>
      <c r="E150" s="34" t="s">
        <v>1245</v>
      </c>
      <c r="F150" s="1"/>
      <c r="G150" s="29">
        <v>46565.20416666667</v>
      </c>
      <c r="H150" s="27" t="s">
        <v>126</v>
      </c>
      <c r="I150" s="27" t="s">
        <v>127</v>
      </c>
      <c r="J150" s="27" t="s">
        <v>131</v>
      </c>
    </row>
    <row r="151" spans="1:10">
      <c r="A151" s="34">
        <v>908</v>
      </c>
      <c r="B151" s="34">
        <v>9</v>
      </c>
      <c r="C151" s="34">
        <v>8</v>
      </c>
      <c r="D151" s="36" t="s">
        <v>1346</v>
      </c>
      <c r="E151" s="34" t="s">
        <v>1219</v>
      </c>
      <c r="F151" s="1"/>
      <c r="G151" s="29">
        <v>46572.126388888886</v>
      </c>
      <c r="H151" s="27" t="s">
        <v>128</v>
      </c>
      <c r="I151" s="27" t="s">
        <v>129</v>
      </c>
      <c r="J151" s="27" t="s">
        <v>131</v>
      </c>
    </row>
    <row r="152" spans="1:10">
      <c r="A152" s="34">
        <v>909</v>
      </c>
      <c r="B152" s="34">
        <v>9</v>
      </c>
      <c r="C152" s="34">
        <v>9</v>
      </c>
      <c r="D152" s="36" t="s">
        <v>1347</v>
      </c>
      <c r="E152" s="34" t="s">
        <v>1273</v>
      </c>
      <c r="F152" s="1"/>
      <c r="G152" s="29">
        <v>46578.777083333334</v>
      </c>
      <c r="H152" s="27" t="s">
        <v>120</v>
      </c>
      <c r="I152" s="27" t="s">
        <v>121</v>
      </c>
      <c r="J152" s="27" t="s">
        <v>131</v>
      </c>
    </row>
    <row r="153" spans="1:10">
      <c r="A153" s="34">
        <v>912</v>
      </c>
      <c r="B153" s="34">
        <v>9</v>
      </c>
      <c r="C153" s="34">
        <v>12</v>
      </c>
      <c r="D153" s="36" t="s">
        <v>1348</v>
      </c>
      <c r="E153" s="34" t="s">
        <v>1273</v>
      </c>
      <c r="F153" s="1"/>
      <c r="G153" s="29">
        <v>46586.65625</v>
      </c>
      <c r="H153" s="27" t="s">
        <v>124</v>
      </c>
      <c r="I153" s="27" t="s">
        <v>125</v>
      </c>
      <c r="J153" s="27" t="s">
        <v>131</v>
      </c>
    </row>
    <row r="154" spans="1:10">
      <c r="A154" s="34">
        <v>913</v>
      </c>
      <c r="B154" s="34">
        <v>9</v>
      </c>
      <c r="C154" s="34">
        <v>13</v>
      </c>
      <c r="D154" s="36" t="s">
        <v>1349</v>
      </c>
      <c r="E154" s="34" t="s">
        <v>1219</v>
      </c>
      <c r="F154" s="1"/>
      <c r="G154" s="29">
        <v>46594.704861111109</v>
      </c>
      <c r="H154" s="27" t="s">
        <v>126</v>
      </c>
      <c r="I154" s="27" t="s">
        <v>127</v>
      </c>
      <c r="J154" s="27" t="s">
        <v>131</v>
      </c>
    </row>
    <row r="155" spans="1:10">
      <c r="A155" s="34">
        <v>915</v>
      </c>
      <c r="B155" s="34">
        <v>9</v>
      </c>
      <c r="C155" s="34">
        <v>15</v>
      </c>
      <c r="D155" s="36" t="s">
        <v>1350</v>
      </c>
      <c r="E155" s="34" t="s">
        <v>1219</v>
      </c>
      <c r="F155" s="1"/>
      <c r="G155" s="29">
        <v>46601.420138888891</v>
      </c>
      <c r="H155" s="27" t="s">
        <v>128</v>
      </c>
      <c r="I155" s="27" t="s">
        <v>129</v>
      </c>
      <c r="J155" s="27" t="s">
        <v>131</v>
      </c>
    </row>
    <row r="156" spans="1:10">
      <c r="A156" s="34">
        <v>916</v>
      </c>
      <c r="B156" s="34">
        <v>9</v>
      </c>
      <c r="C156" s="34">
        <v>16</v>
      </c>
      <c r="D156" s="36" t="s">
        <v>1351</v>
      </c>
      <c r="E156" s="34" t="s">
        <v>1219</v>
      </c>
      <c r="F156" s="1"/>
      <c r="G156" s="29">
        <v>46608.20416666667</v>
      </c>
      <c r="H156" s="27" t="s">
        <v>120</v>
      </c>
      <c r="I156" s="27" t="s">
        <v>121</v>
      </c>
      <c r="J156" s="27" t="s">
        <v>131</v>
      </c>
    </row>
    <row r="157" spans="1:10" ht="27">
      <c r="A157" s="34">
        <v>917</v>
      </c>
      <c r="B157" s="34">
        <v>9</v>
      </c>
      <c r="C157" s="34">
        <v>17</v>
      </c>
      <c r="D157" s="36" t="s">
        <v>1352</v>
      </c>
      <c r="E157" s="34" t="s">
        <v>1298</v>
      </c>
      <c r="F157" s="1"/>
      <c r="G157" s="29">
        <v>46616.311805555553</v>
      </c>
      <c r="H157" s="27" t="s">
        <v>124</v>
      </c>
      <c r="I157" s="27" t="s">
        <v>125</v>
      </c>
      <c r="J157" s="27" t="s">
        <v>131</v>
      </c>
    </row>
    <row r="158" spans="1:10">
      <c r="A158" s="34">
        <v>919</v>
      </c>
      <c r="B158" s="34">
        <v>9</v>
      </c>
      <c r="C158" s="34">
        <v>19</v>
      </c>
      <c r="D158" s="36" t="s">
        <v>1353</v>
      </c>
      <c r="E158" s="34" t="s">
        <v>1219</v>
      </c>
      <c r="F158" s="1"/>
      <c r="G158" s="29">
        <v>46624.102083333331</v>
      </c>
      <c r="H158" s="27" t="s">
        <v>126</v>
      </c>
      <c r="I158" s="27" t="s">
        <v>127</v>
      </c>
      <c r="J158" s="27" t="s">
        <v>131</v>
      </c>
    </row>
    <row r="159" spans="1:10" ht="27">
      <c r="A159" s="34">
        <v>920</v>
      </c>
      <c r="B159" s="34">
        <v>9</v>
      </c>
      <c r="C159" s="34">
        <v>20</v>
      </c>
      <c r="D159" s="36" t="s">
        <v>1354</v>
      </c>
      <c r="E159" s="34" t="s">
        <v>1273</v>
      </c>
      <c r="F159" s="1"/>
      <c r="G159" s="29">
        <v>46630.736805555556</v>
      </c>
      <c r="H159" s="27" t="s">
        <v>128</v>
      </c>
      <c r="I159" s="27" t="s">
        <v>129</v>
      </c>
      <c r="J159" s="27" t="s">
        <v>131</v>
      </c>
    </row>
    <row r="160" spans="1:10">
      <c r="A160" s="34">
        <v>921</v>
      </c>
      <c r="B160" s="34">
        <v>9</v>
      </c>
      <c r="C160" s="34">
        <v>21</v>
      </c>
      <c r="D160" s="36" t="s">
        <v>1355</v>
      </c>
      <c r="E160" s="34" t="s">
        <v>1219</v>
      </c>
      <c r="F160" s="1"/>
      <c r="G160" s="29">
        <v>46637.771527777775</v>
      </c>
      <c r="H160" s="27" t="s">
        <v>120</v>
      </c>
      <c r="I160" s="27" t="s">
        <v>121</v>
      </c>
      <c r="J160" s="27" t="s">
        <v>131</v>
      </c>
    </row>
    <row r="161" spans="1:10">
      <c r="A161" s="34">
        <v>923</v>
      </c>
      <c r="B161" s="34">
        <v>9</v>
      </c>
      <c r="C161" s="34">
        <v>23</v>
      </c>
      <c r="D161" s="36" t="s">
        <v>1356</v>
      </c>
      <c r="E161" s="34" t="s">
        <v>1357</v>
      </c>
      <c r="F161" s="1"/>
      <c r="G161" s="29">
        <v>46645.960416666669</v>
      </c>
      <c r="H161" s="27" t="s">
        <v>124</v>
      </c>
      <c r="I161" s="27" t="s">
        <v>125</v>
      </c>
      <c r="J161" s="27" t="s">
        <v>131</v>
      </c>
    </row>
    <row r="162" spans="1:10">
      <c r="A162" s="34">
        <v>924</v>
      </c>
      <c r="B162" s="34">
        <v>9</v>
      </c>
      <c r="C162" s="34">
        <v>24</v>
      </c>
      <c r="D162" s="36" t="s">
        <v>118</v>
      </c>
      <c r="E162" s="34" t="s">
        <v>119</v>
      </c>
      <c r="F162" s="1"/>
      <c r="G162" s="29">
        <v>46653.430555555555</v>
      </c>
      <c r="H162" s="27" t="s">
        <v>126</v>
      </c>
      <c r="I162" s="27" t="s">
        <v>127</v>
      </c>
      <c r="J162" s="27" t="s">
        <v>131</v>
      </c>
    </row>
    <row r="163" spans="1:10">
      <c r="A163" s="34">
        <v>926</v>
      </c>
      <c r="B163" s="34">
        <v>9</v>
      </c>
      <c r="C163" s="34">
        <v>26</v>
      </c>
      <c r="D163" s="36" t="s">
        <v>1358</v>
      </c>
      <c r="E163" s="34" t="s">
        <v>1219</v>
      </c>
      <c r="F163" s="1"/>
      <c r="G163" s="29">
        <v>46660.10833333333</v>
      </c>
      <c r="H163" s="27" t="s">
        <v>128</v>
      </c>
      <c r="I163" s="27" t="s">
        <v>129</v>
      </c>
      <c r="J163" s="27" t="s">
        <v>131</v>
      </c>
    </row>
    <row r="164" spans="1:10">
      <c r="A164" s="34">
        <v>927</v>
      </c>
      <c r="B164" s="34">
        <v>9</v>
      </c>
      <c r="C164" s="34">
        <v>27</v>
      </c>
      <c r="D164" s="36" t="s">
        <v>1359</v>
      </c>
      <c r="E164" s="34" t="s">
        <v>1219</v>
      </c>
      <c r="F164" s="1"/>
      <c r="G164" s="29">
        <v>46667.490972222222</v>
      </c>
      <c r="H164" s="27" t="s">
        <v>120</v>
      </c>
      <c r="I164" s="27" t="s">
        <v>121</v>
      </c>
      <c r="J164" s="27" t="s">
        <v>131</v>
      </c>
    </row>
    <row r="165" spans="1:10" ht="27">
      <c r="A165" s="34">
        <v>928</v>
      </c>
      <c r="B165" s="34">
        <v>9</v>
      </c>
      <c r="C165" s="34">
        <v>28</v>
      </c>
      <c r="D165" s="36" t="s">
        <v>1360</v>
      </c>
      <c r="E165" s="34" t="s">
        <v>1236</v>
      </c>
      <c r="F165" s="1"/>
      <c r="G165" s="29">
        <v>46675.574305555558</v>
      </c>
      <c r="H165" s="27" t="s">
        <v>124</v>
      </c>
      <c r="I165" s="27" t="s">
        <v>125</v>
      </c>
      <c r="J165" s="27" t="s">
        <v>131</v>
      </c>
    </row>
    <row r="166" spans="1:10">
      <c r="A166" s="34">
        <v>929</v>
      </c>
      <c r="B166" s="34">
        <v>9</v>
      </c>
      <c r="C166" s="34">
        <v>29</v>
      </c>
      <c r="D166" s="36" t="s">
        <v>1361</v>
      </c>
      <c r="E166" s="34" t="s">
        <v>1219</v>
      </c>
      <c r="F166" s="1"/>
      <c r="G166" s="29">
        <v>46682.728472222225</v>
      </c>
      <c r="H166" s="27" t="s">
        <v>126</v>
      </c>
      <c r="I166" s="27" t="s">
        <v>127</v>
      </c>
      <c r="J166" s="27" t="s">
        <v>131</v>
      </c>
    </row>
    <row r="167" spans="1:10">
      <c r="A167" s="34">
        <v>930</v>
      </c>
      <c r="B167" s="34">
        <v>9</v>
      </c>
      <c r="C167" s="34">
        <v>30</v>
      </c>
      <c r="D167" s="36" t="s">
        <v>1362</v>
      </c>
      <c r="E167" s="34" t="s">
        <v>1219</v>
      </c>
      <c r="F167" s="1"/>
      <c r="G167" s="29">
        <v>46689.566666666666</v>
      </c>
      <c r="H167" s="27" t="s">
        <v>128</v>
      </c>
      <c r="I167" s="27" t="s">
        <v>129</v>
      </c>
      <c r="J167" s="27" t="s">
        <v>131</v>
      </c>
    </row>
    <row r="168" spans="1:10" ht="27">
      <c r="A168" s="34">
        <v>1001</v>
      </c>
      <c r="B168" s="34">
        <v>10</v>
      </c>
      <c r="C168" s="34">
        <v>1</v>
      </c>
      <c r="D168" s="36" t="s">
        <v>1363</v>
      </c>
      <c r="E168" s="34" t="s">
        <v>1298</v>
      </c>
      <c r="F168" s="1"/>
      <c r="G168" s="29">
        <v>46697.333333333336</v>
      </c>
      <c r="H168" s="27" t="s">
        <v>120</v>
      </c>
      <c r="I168" s="27" t="s">
        <v>121</v>
      </c>
      <c r="J168" s="27" t="s">
        <v>131</v>
      </c>
    </row>
    <row r="169" spans="1:10">
      <c r="A169" s="34">
        <v>1002</v>
      </c>
      <c r="B169" s="34">
        <v>10</v>
      </c>
      <c r="C169" s="34">
        <v>2</v>
      </c>
      <c r="D169" s="36" t="s">
        <v>1364</v>
      </c>
      <c r="E169" s="34" t="s">
        <v>1219</v>
      </c>
      <c r="F169" s="1"/>
      <c r="G169" s="29">
        <v>46705.143055555556</v>
      </c>
      <c r="H169" s="27" t="s">
        <v>124</v>
      </c>
      <c r="I169" s="27" t="s">
        <v>125</v>
      </c>
      <c r="J169" s="27" t="s">
        <v>131</v>
      </c>
    </row>
    <row r="170" spans="1:10">
      <c r="A170" s="34">
        <v>1004</v>
      </c>
      <c r="B170" s="34">
        <v>10</v>
      </c>
      <c r="C170" s="34">
        <v>4</v>
      </c>
      <c r="D170" s="36" t="s">
        <v>123</v>
      </c>
      <c r="E170" s="34" t="s">
        <v>1365</v>
      </c>
      <c r="F170" s="1"/>
      <c r="G170" s="29">
        <v>46712.033333333333</v>
      </c>
      <c r="H170" s="27" t="s">
        <v>126</v>
      </c>
      <c r="I170" s="27" t="s">
        <v>127</v>
      </c>
      <c r="J170" s="27" t="s">
        <v>131</v>
      </c>
    </row>
    <row r="171" spans="1:10">
      <c r="A171" s="34">
        <v>1005</v>
      </c>
      <c r="B171" s="34">
        <v>10</v>
      </c>
      <c r="C171" s="34">
        <v>5</v>
      </c>
      <c r="D171" s="36" t="s">
        <v>1366</v>
      </c>
      <c r="E171" s="34" t="s">
        <v>1245</v>
      </c>
      <c r="F171" s="1"/>
      <c r="G171" s="29">
        <v>46719.14166666667</v>
      </c>
      <c r="H171" s="27" t="s">
        <v>128</v>
      </c>
      <c r="I171" s="27" t="s">
        <v>129</v>
      </c>
      <c r="J171" s="27" t="s">
        <v>131</v>
      </c>
    </row>
    <row r="172" spans="1:10">
      <c r="A172" s="34">
        <v>1006</v>
      </c>
      <c r="B172" s="34">
        <v>10</v>
      </c>
      <c r="C172" s="34">
        <v>6</v>
      </c>
      <c r="D172" s="36" t="s">
        <v>1367</v>
      </c>
      <c r="E172" s="34" t="s">
        <v>1219</v>
      </c>
      <c r="F172" s="1"/>
      <c r="G172" s="29">
        <v>46727.223611111112</v>
      </c>
      <c r="H172" s="27" t="s">
        <v>120</v>
      </c>
      <c r="I172" s="27" t="s">
        <v>121</v>
      </c>
      <c r="J172" s="27" t="s">
        <v>131</v>
      </c>
    </row>
    <row r="173" spans="1:10">
      <c r="A173" s="34">
        <v>1007</v>
      </c>
      <c r="B173" s="34">
        <v>10</v>
      </c>
      <c r="C173" s="34">
        <v>7</v>
      </c>
      <c r="D173" s="36" t="s">
        <v>1368</v>
      </c>
      <c r="E173" s="34" t="s">
        <v>1219</v>
      </c>
      <c r="F173" s="1"/>
      <c r="G173" s="29">
        <v>46734.67291666667</v>
      </c>
      <c r="H173" s="27" t="s">
        <v>124</v>
      </c>
      <c r="I173" s="27" t="s">
        <v>125</v>
      </c>
      <c r="J173" s="27" t="s">
        <v>131</v>
      </c>
    </row>
    <row r="174" spans="1:10" ht="40.5">
      <c r="A174" s="34">
        <v>1009</v>
      </c>
      <c r="B174" s="34">
        <v>10</v>
      </c>
      <c r="C174" s="34">
        <v>9</v>
      </c>
      <c r="D174" s="36" t="s">
        <v>1369</v>
      </c>
      <c r="E174" s="34" t="s">
        <v>1298</v>
      </c>
      <c r="F174" s="1"/>
      <c r="G174" s="29">
        <v>46741.382638888892</v>
      </c>
      <c r="H174" s="27" t="s">
        <v>126</v>
      </c>
      <c r="I174" s="27" t="s">
        <v>127</v>
      </c>
      <c r="J174" s="27" t="s">
        <v>131</v>
      </c>
    </row>
    <row r="175" spans="1:10">
      <c r="A175" s="34">
        <v>1011</v>
      </c>
      <c r="B175" s="34">
        <v>10</v>
      </c>
      <c r="C175" s="34">
        <v>11</v>
      </c>
      <c r="D175" s="36" t="s">
        <v>1370</v>
      </c>
      <c r="E175" s="34" t="s">
        <v>1245</v>
      </c>
      <c r="F175" s="1"/>
      <c r="G175" s="29">
        <v>46748.841666666667</v>
      </c>
      <c r="H175" s="27" t="s">
        <v>128</v>
      </c>
      <c r="I175" s="27" t="s">
        <v>129</v>
      </c>
      <c r="J175" s="27" t="s">
        <v>131</v>
      </c>
    </row>
    <row r="176" spans="1:10">
      <c r="A176" s="34">
        <v>1014</v>
      </c>
      <c r="B176" s="34">
        <v>10</v>
      </c>
      <c r="C176" s="34">
        <v>14</v>
      </c>
      <c r="D176" s="36" t="s">
        <v>1371</v>
      </c>
      <c r="E176" s="34" t="s">
        <v>1219</v>
      </c>
      <c r="F176" s="1"/>
      <c r="G176" s="29">
        <v>46757.069444444445</v>
      </c>
      <c r="H176" s="27" t="s">
        <v>120</v>
      </c>
      <c r="I176" s="27" t="s">
        <v>121</v>
      </c>
      <c r="J176" s="27" t="s">
        <v>132</v>
      </c>
    </row>
    <row r="177" spans="1:10">
      <c r="A177" s="34">
        <v>1015</v>
      </c>
      <c r="B177" s="34">
        <v>10</v>
      </c>
      <c r="C177" s="34">
        <v>15</v>
      </c>
      <c r="D177" s="36" t="s">
        <v>1372</v>
      </c>
      <c r="E177" s="34" t="s">
        <v>1219</v>
      </c>
      <c r="F177" s="1"/>
      <c r="G177" s="29">
        <v>46764.168749999997</v>
      </c>
      <c r="H177" s="27" t="s">
        <v>124</v>
      </c>
      <c r="I177" s="27" t="s">
        <v>125</v>
      </c>
      <c r="J177" s="27" t="s">
        <v>132</v>
      </c>
    </row>
    <row r="178" spans="1:10" ht="27">
      <c r="A178" s="34">
        <v>1016</v>
      </c>
      <c r="B178" s="34">
        <v>10</v>
      </c>
      <c r="C178" s="34">
        <v>16</v>
      </c>
      <c r="D178" s="36" t="s">
        <v>1373</v>
      </c>
      <c r="E178" s="34" t="s">
        <v>1219</v>
      </c>
      <c r="F178" s="1"/>
      <c r="G178" s="29">
        <v>46770.80972222222</v>
      </c>
      <c r="H178" s="27" t="s">
        <v>126</v>
      </c>
      <c r="I178" s="27" t="s">
        <v>127</v>
      </c>
      <c r="J178" s="27" t="s">
        <v>132</v>
      </c>
    </row>
    <row r="179" spans="1:10">
      <c r="A179" s="34">
        <v>1017</v>
      </c>
      <c r="B179" s="34">
        <v>10</v>
      </c>
      <c r="C179" s="34">
        <v>17</v>
      </c>
      <c r="D179" s="36" t="s">
        <v>1374</v>
      </c>
      <c r="E179" s="34" t="s">
        <v>1219</v>
      </c>
      <c r="F179" s="1"/>
      <c r="G179" s="29">
        <v>46778.633333333331</v>
      </c>
      <c r="H179" s="27" t="s">
        <v>128</v>
      </c>
      <c r="I179" s="27" t="s">
        <v>129</v>
      </c>
      <c r="J179" s="27" t="s">
        <v>132</v>
      </c>
    </row>
    <row r="180" spans="1:10">
      <c r="A180" s="34">
        <v>1018</v>
      </c>
      <c r="B180" s="34">
        <v>10</v>
      </c>
      <c r="C180" s="34">
        <v>18</v>
      </c>
      <c r="D180" s="36" t="s">
        <v>1375</v>
      </c>
      <c r="E180" s="34" t="s">
        <v>1219</v>
      </c>
      <c r="F180" s="1"/>
      <c r="G180" s="29">
        <v>46786.798611111109</v>
      </c>
      <c r="H180" s="27" t="s">
        <v>120</v>
      </c>
      <c r="I180" s="27" t="s">
        <v>121</v>
      </c>
      <c r="J180" s="27" t="s">
        <v>132</v>
      </c>
    </row>
    <row r="181" spans="1:10" ht="40.5">
      <c r="A181" s="34">
        <v>1019</v>
      </c>
      <c r="B181" s="34">
        <v>10</v>
      </c>
      <c r="C181" s="34">
        <v>19</v>
      </c>
      <c r="D181" s="36" t="s">
        <v>1376</v>
      </c>
      <c r="E181" s="34" t="s">
        <v>1219</v>
      </c>
      <c r="F181" s="1"/>
      <c r="G181" s="29">
        <v>46793.62777777778</v>
      </c>
      <c r="H181" s="27" t="s">
        <v>124</v>
      </c>
      <c r="I181" s="27" t="s">
        <v>125</v>
      </c>
      <c r="J181" s="27" t="s">
        <v>132</v>
      </c>
    </row>
    <row r="182" spans="1:10">
      <c r="A182" s="34">
        <v>1022</v>
      </c>
      <c r="B182" s="34">
        <v>10</v>
      </c>
      <c r="C182" s="34">
        <v>22</v>
      </c>
      <c r="D182" s="36" t="s">
        <v>1377</v>
      </c>
      <c r="E182" s="34" t="s">
        <v>1245</v>
      </c>
      <c r="F182" s="1"/>
      <c r="G182" s="29">
        <v>46800.338888888888</v>
      </c>
      <c r="H182" s="27" t="s">
        <v>126</v>
      </c>
      <c r="I182" s="27" t="s">
        <v>127</v>
      </c>
      <c r="J182" s="27" t="s">
        <v>132</v>
      </c>
    </row>
    <row r="183" spans="1:10">
      <c r="A183" s="34">
        <v>1023</v>
      </c>
      <c r="B183" s="34">
        <v>10</v>
      </c>
      <c r="C183" s="34">
        <v>23</v>
      </c>
      <c r="D183" s="36" t="s">
        <v>1378</v>
      </c>
      <c r="E183" s="34" t="s">
        <v>1219</v>
      </c>
      <c r="F183" s="1"/>
      <c r="G183" s="29">
        <v>46808.442361111112</v>
      </c>
      <c r="H183" s="27" t="s">
        <v>128</v>
      </c>
      <c r="I183" s="27" t="s">
        <v>129</v>
      </c>
      <c r="J183" s="27" t="s">
        <v>132</v>
      </c>
    </row>
    <row r="184" spans="1:10">
      <c r="A184" s="34">
        <v>1024</v>
      </c>
      <c r="B184" s="34">
        <v>10</v>
      </c>
      <c r="C184" s="34">
        <v>24</v>
      </c>
      <c r="D184" s="36" t="s">
        <v>1379</v>
      </c>
      <c r="E184" s="34" t="s">
        <v>1219</v>
      </c>
      <c r="F184" s="1"/>
      <c r="G184" s="29">
        <v>46816.376388888886</v>
      </c>
      <c r="H184" s="27" t="s">
        <v>120</v>
      </c>
      <c r="I184" s="27" t="s">
        <v>121</v>
      </c>
      <c r="J184" s="27" t="s">
        <v>132</v>
      </c>
    </row>
    <row r="185" spans="1:10">
      <c r="A185" s="34">
        <v>1028</v>
      </c>
      <c r="B185" s="34">
        <v>10</v>
      </c>
      <c r="C185" s="34">
        <v>28</v>
      </c>
      <c r="D185" s="36" t="s">
        <v>1380</v>
      </c>
      <c r="E185" s="34" t="s">
        <v>1219</v>
      </c>
      <c r="F185" s="1"/>
      <c r="G185" s="29">
        <v>46823.04583333333</v>
      </c>
      <c r="H185" s="27" t="s">
        <v>124</v>
      </c>
      <c r="I185" s="27" t="s">
        <v>125</v>
      </c>
      <c r="J185" s="27" t="s">
        <v>132</v>
      </c>
    </row>
    <row r="186" spans="1:10">
      <c r="A186" s="34">
        <v>1101</v>
      </c>
      <c r="B186" s="34">
        <v>11</v>
      </c>
      <c r="C186" s="34">
        <v>1</v>
      </c>
      <c r="D186" s="36" t="s">
        <v>1381</v>
      </c>
      <c r="E186" s="34" t="s">
        <v>1219</v>
      </c>
      <c r="F186" s="1"/>
      <c r="G186" s="29">
        <v>46829.974305555559</v>
      </c>
      <c r="H186" s="27" t="s">
        <v>126</v>
      </c>
      <c r="I186" s="27" t="s">
        <v>127</v>
      </c>
      <c r="J186" s="27" t="s">
        <v>132</v>
      </c>
    </row>
    <row r="187" spans="1:10">
      <c r="A187" s="34">
        <v>1103</v>
      </c>
      <c r="B187" s="34">
        <v>11</v>
      </c>
      <c r="C187" s="34">
        <v>3</v>
      </c>
      <c r="D187" s="36" t="s">
        <v>1382</v>
      </c>
      <c r="E187" s="34" t="s">
        <v>1219</v>
      </c>
      <c r="F187" s="1"/>
      <c r="G187" s="29">
        <v>46838.188194444447</v>
      </c>
      <c r="H187" s="27" t="s">
        <v>128</v>
      </c>
      <c r="I187" s="27" t="s">
        <v>129</v>
      </c>
      <c r="J187" s="27" t="s">
        <v>132</v>
      </c>
    </row>
    <row r="188" spans="1:10">
      <c r="A188" s="34">
        <v>1104</v>
      </c>
      <c r="B188" s="34">
        <v>11</v>
      </c>
      <c r="C188" s="34">
        <v>4</v>
      </c>
      <c r="D188" s="36" t="s">
        <v>1383</v>
      </c>
      <c r="E188" s="34" t="s">
        <v>1219</v>
      </c>
      <c r="F188" s="1"/>
      <c r="G188" s="29">
        <v>46845.802083333336</v>
      </c>
      <c r="H188" s="27" t="s">
        <v>120</v>
      </c>
      <c r="I188" s="27" t="s">
        <v>121</v>
      </c>
      <c r="J188" s="27" t="s">
        <v>132</v>
      </c>
    </row>
    <row r="189" spans="1:10">
      <c r="A189" s="34">
        <v>1110</v>
      </c>
      <c r="B189" s="34">
        <v>11</v>
      </c>
      <c r="C189" s="34">
        <v>10</v>
      </c>
      <c r="D189" s="36" t="s">
        <v>1384</v>
      </c>
      <c r="E189" s="34" t="s">
        <v>1219</v>
      </c>
      <c r="F189" s="1"/>
      <c r="G189" s="29">
        <v>46852.43472222222</v>
      </c>
      <c r="H189" s="27" t="s">
        <v>124</v>
      </c>
      <c r="I189" s="27" t="s">
        <v>125</v>
      </c>
      <c r="J189" s="27" t="s">
        <v>132</v>
      </c>
    </row>
    <row r="190" spans="1:10">
      <c r="A190" s="34">
        <v>1111</v>
      </c>
      <c r="B190" s="34">
        <v>11</v>
      </c>
      <c r="C190" s="34">
        <v>11</v>
      </c>
      <c r="D190" s="36" t="s">
        <v>1385</v>
      </c>
      <c r="E190" s="34" t="s">
        <v>1219</v>
      </c>
      <c r="F190" s="1"/>
      <c r="G190" s="29">
        <v>46859.692361111112</v>
      </c>
      <c r="H190" s="27" t="s">
        <v>126</v>
      </c>
      <c r="I190" s="27" t="s">
        <v>127</v>
      </c>
      <c r="J190" s="27" t="s">
        <v>132</v>
      </c>
    </row>
    <row r="191" spans="1:10">
      <c r="A191" s="34">
        <v>1112</v>
      </c>
      <c r="B191" s="34">
        <v>11</v>
      </c>
      <c r="C191" s="34">
        <v>12</v>
      </c>
      <c r="D191" s="36" t="s">
        <v>1386</v>
      </c>
      <c r="E191" s="34" t="s">
        <v>1219</v>
      </c>
      <c r="F191" s="1"/>
      <c r="G191" s="29">
        <v>46867.824305555558</v>
      </c>
      <c r="H191" s="27" t="s">
        <v>128</v>
      </c>
      <c r="I191" s="27" t="s">
        <v>129</v>
      </c>
      <c r="J191" s="27" t="s">
        <v>132</v>
      </c>
    </row>
    <row r="192" spans="1:10">
      <c r="A192" s="34">
        <v>1115</v>
      </c>
      <c r="B192" s="34">
        <v>11</v>
      </c>
      <c r="C192" s="34">
        <v>15</v>
      </c>
      <c r="D192" s="36" t="s">
        <v>1387</v>
      </c>
      <c r="E192" s="34" t="s">
        <v>1219</v>
      </c>
      <c r="F192" s="1"/>
      <c r="G192" s="29">
        <v>46875.101388888892</v>
      </c>
      <c r="H192" s="27" t="s">
        <v>120</v>
      </c>
      <c r="I192" s="27" t="s">
        <v>121</v>
      </c>
      <c r="J192" s="27" t="s">
        <v>132</v>
      </c>
    </row>
    <row r="193" spans="1:10">
      <c r="A193" s="34">
        <v>1116</v>
      </c>
      <c r="B193" s="34">
        <v>11</v>
      </c>
      <c r="C193" s="34">
        <v>16</v>
      </c>
      <c r="D193" s="36" t="s">
        <v>1388</v>
      </c>
      <c r="E193" s="34" t="s">
        <v>1219</v>
      </c>
      <c r="F193" s="1"/>
      <c r="G193" s="29">
        <v>46881.825694444444</v>
      </c>
      <c r="H193" s="27" t="s">
        <v>124</v>
      </c>
      <c r="I193" s="27" t="s">
        <v>125</v>
      </c>
      <c r="J193" s="27" t="s">
        <v>132</v>
      </c>
    </row>
    <row r="194" spans="1:10">
      <c r="A194" s="34">
        <v>1117</v>
      </c>
      <c r="B194" s="34">
        <v>11</v>
      </c>
      <c r="C194" s="34">
        <v>17</v>
      </c>
      <c r="D194" s="36" t="s">
        <v>1389</v>
      </c>
      <c r="E194" s="34" t="s">
        <v>1219</v>
      </c>
      <c r="F194" s="1"/>
      <c r="G194" s="29">
        <v>46889.446527777778</v>
      </c>
      <c r="H194" s="27" t="s">
        <v>126</v>
      </c>
      <c r="I194" s="27" t="s">
        <v>127</v>
      </c>
      <c r="J194" s="27" t="s">
        <v>132</v>
      </c>
    </row>
    <row r="195" spans="1:10">
      <c r="A195" s="34">
        <v>1121</v>
      </c>
      <c r="B195" s="34">
        <v>11</v>
      </c>
      <c r="C195" s="34">
        <v>21</v>
      </c>
      <c r="D195" s="36" t="s">
        <v>1390</v>
      </c>
      <c r="E195" s="34" t="s">
        <v>1219</v>
      </c>
      <c r="F195" s="1"/>
      <c r="G195" s="29">
        <v>46897.344444444447</v>
      </c>
      <c r="H195" s="27" t="s">
        <v>128</v>
      </c>
      <c r="I195" s="27" t="s">
        <v>129</v>
      </c>
      <c r="J195" s="27" t="s">
        <v>132</v>
      </c>
    </row>
    <row r="196" spans="1:10">
      <c r="A196" s="34">
        <v>1122</v>
      </c>
      <c r="B196" s="34">
        <v>11</v>
      </c>
      <c r="C196" s="34">
        <v>22</v>
      </c>
      <c r="D196" s="36" t="s">
        <v>1391</v>
      </c>
      <c r="E196" s="34" t="s">
        <v>1219</v>
      </c>
      <c r="F196" s="1"/>
      <c r="G196" s="29">
        <v>46904.316666666666</v>
      </c>
      <c r="H196" s="27" t="s">
        <v>120</v>
      </c>
      <c r="I196" s="27" t="s">
        <v>121</v>
      </c>
      <c r="J196" s="27" t="s">
        <v>132</v>
      </c>
    </row>
    <row r="197" spans="1:10" ht="27">
      <c r="A197" s="34">
        <v>1123</v>
      </c>
      <c r="B197" s="34">
        <v>11</v>
      </c>
      <c r="C197" s="34">
        <v>23</v>
      </c>
      <c r="D197" s="36" t="s">
        <v>1392</v>
      </c>
      <c r="E197" s="34" t="s">
        <v>1219</v>
      </c>
      <c r="F197" s="1"/>
      <c r="G197" s="29">
        <v>46911.256249999999</v>
      </c>
      <c r="H197" s="27" t="s">
        <v>124</v>
      </c>
      <c r="I197" s="27" t="s">
        <v>125</v>
      </c>
      <c r="J197" s="27" t="s">
        <v>132</v>
      </c>
    </row>
    <row r="198" spans="1:10">
      <c r="A198" s="34">
        <v>1124</v>
      </c>
      <c r="B198" s="34">
        <v>11</v>
      </c>
      <c r="C198" s="34">
        <v>24</v>
      </c>
      <c r="D198" s="36" t="s">
        <v>1393</v>
      </c>
      <c r="E198" s="34" t="s">
        <v>1273</v>
      </c>
      <c r="F198" s="1"/>
      <c r="G198" s="29">
        <v>46919.185416666667</v>
      </c>
      <c r="H198" s="27" t="s">
        <v>126</v>
      </c>
      <c r="I198" s="27" t="s">
        <v>127</v>
      </c>
      <c r="J198" s="27" t="s">
        <v>132</v>
      </c>
    </row>
    <row r="199" spans="1:10">
      <c r="A199" s="34">
        <v>1125</v>
      </c>
      <c r="B199" s="34">
        <v>11</v>
      </c>
      <c r="C199" s="34">
        <v>25</v>
      </c>
      <c r="D199" s="36" t="s">
        <v>1394</v>
      </c>
      <c r="E199" s="34" t="s">
        <v>1273</v>
      </c>
      <c r="F199" s="1"/>
      <c r="G199" s="29">
        <v>46926.768750000003</v>
      </c>
      <c r="H199" s="27" t="s">
        <v>128</v>
      </c>
      <c r="I199" s="27" t="s">
        <v>129</v>
      </c>
      <c r="J199" s="27" t="s">
        <v>132</v>
      </c>
    </row>
    <row r="200" spans="1:10">
      <c r="A200" s="34">
        <v>1130</v>
      </c>
      <c r="B200" s="34">
        <v>11</v>
      </c>
      <c r="C200" s="34">
        <v>30</v>
      </c>
      <c r="D200" s="36" t="s">
        <v>1395</v>
      </c>
      <c r="E200" s="34" t="s">
        <v>1219</v>
      </c>
      <c r="F200" s="1"/>
      <c r="G200" s="29">
        <v>46933.506944444445</v>
      </c>
      <c r="H200" s="27" t="s">
        <v>120</v>
      </c>
      <c r="I200" s="27" t="s">
        <v>121</v>
      </c>
      <c r="J200" s="27" t="s">
        <v>132</v>
      </c>
    </row>
    <row r="201" spans="1:10">
      <c r="A201" s="34">
        <v>1203</v>
      </c>
      <c r="B201" s="34">
        <v>12</v>
      </c>
      <c r="C201" s="34">
        <v>3</v>
      </c>
      <c r="D201" s="36" t="s">
        <v>1396</v>
      </c>
      <c r="E201" s="34" t="s">
        <v>1219</v>
      </c>
      <c r="F201" s="1"/>
      <c r="G201" s="29">
        <v>46940.757638888892</v>
      </c>
      <c r="H201" s="27" t="s">
        <v>124</v>
      </c>
      <c r="I201" s="27" t="s">
        <v>125</v>
      </c>
      <c r="J201" s="27" t="s">
        <v>132</v>
      </c>
    </row>
    <row r="202" spans="1:10">
      <c r="A202" s="34">
        <v>1204</v>
      </c>
      <c r="B202" s="34">
        <v>12</v>
      </c>
      <c r="C202" s="34">
        <v>4</v>
      </c>
      <c r="D202" s="36" t="s">
        <v>1397</v>
      </c>
      <c r="E202" s="34" t="s">
        <v>1219</v>
      </c>
      <c r="F202" s="1"/>
      <c r="G202" s="29">
        <v>46948.87222222222</v>
      </c>
      <c r="H202" s="27" t="s">
        <v>126</v>
      </c>
      <c r="I202" s="27" t="s">
        <v>127</v>
      </c>
      <c r="J202" s="27" t="s">
        <v>132</v>
      </c>
    </row>
    <row r="203" spans="1:10">
      <c r="A203" s="34">
        <v>1206</v>
      </c>
      <c r="B203" s="34">
        <v>12</v>
      </c>
      <c r="C203" s="34">
        <v>6</v>
      </c>
      <c r="D203" s="36" t="s">
        <v>1398</v>
      </c>
      <c r="E203" s="34" t="s">
        <v>1219</v>
      </c>
      <c r="F203" s="1"/>
      <c r="G203" s="29">
        <v>46956.126388888886</v>
      </c>
      <c r="H203" s="27" t="s">
        <v>128</v>
      </c>
      <c r="I203" s="27" t="s">
        <v>129</v>
      </c>
      <c r="J203" s="27" t="s">
        <v>132</v>
      </c>
    </row>
    <row r="204" spans="1:10">
      <c r="A204" s="34">
        <v>1207</v>
      </c>
      <c r="B204" s="34">
        <v>12</v>
      </c>
      <c r="C204" s="34">
        <v>7</v>
      </c>
      <c r="D204" s="36" t="s">
        <v>1399</v>
      </c>
      <c r="E204" s="34" t="s">
        <v>1219</v>
      </c>
      <c r="F204" s="1"/>
      <c r="G204" s="29">
        <v>46962.736111111109</v>
      </c>
      <c r="H204" s="27" t="s">
        <v>120</v>
      </c>
      <c r="I204" s="27" t="s">
        <v>121</v>
      </c>
      <c r="J204" s="27" t="s">
        <v>132</v>
      </c>
    </row>
    <row r="205" spans="1:10">
      <c r="A205" s="34">
        <v>1208</v>
      </c>
      <c r="B205" s="34">
        <v>12</v>
      </c>
      <c r="C205" s="34">
        <v>8</v>
      </c>
      <c r="D205" s="36" t="s">
        <v>1400</v>
      </c>
      <c r="E205" s="34" t="s">
        <v>1219</v>
      </c>
      <c r="F205" s="1"/>
      <c r="G205" s="29">
        <v>46970.340277777781</v>
      </c>
      <c r="H205" s="27" t="s">
        <v>124</v>
      </c>
      <c r="I205" s="27" t="s">
        <v>125</v>
      </c>
      <c r="J205" s="27" t="s">
        <v>132</v>
      </c>
    </row>
    <row r="206" spans="1:10">
      <c r="A206" s="34">
        <v>1209</v>
      </c>
      <c r="B206" s="34">
        <v>12</v>
      </c>
      <c r="C206" s="34">
        <v>9</v>
      </c>
      <c r="D206" s="36" t="s">
        <v>1401</v>
      </c>
      <c r="E206" s="34" t="s">
        <v>1357</v>
      </c>
      <c r="F206" s="1"/>
      <c r="G206" s="29">
        <v>46978.489583333336</v>
      </c>
      <c r="H206" s="27" t="s">
        <v>126</v>
      </c>
      <c r="I206" s="27" t="s">
        <v>127</v>
      </c>
      <c r="J206" s="27" t="s">
        <v>132</v>
      </c>
    </row>
    <row r="207" spans="1:10">
      <c r="A207" s="34">
        <v>1210</v>
      </c>
      <c r="B207" s="34">
        <v>12</v>
      </c>
      <c r="C207" s="34">
        <v>10</v>
      </c>
      <c r="D207" s="36" t="s">
        <v>1402</v>
      </c>
      <c r="E207" s="34" t="s">
        <v>1245</v>
      </c>
      <c r="F207" s="1"/>
      <c r="G207" s="29">
        <v>46985.447222222225</v>
      </c>
      <c r="H207" s="27" t="s">
        <v>128</v>
      </c>
      <c r="I207" s="27" t="s">
        <v>129</v>
      </c>
      <c r="J207" s="27" t="s">
        <v>132</v>
      </c>
    </row>
    <row r="208" spans="1:10">
      <c r="A208" s="34">
        <v>1211</v>
      </c>
      <c r="B208" s="34">
        <v>12</v>
      </c>
      <c r="C208" s="34">
        <v>11</v>
      </c>
      <c r="D208" s="36" t="s">
        <v>1403</v>
      </c>
      <c r="E208" s="34" t="s">
        <v>1219</v>
      </c>
      <c r="F208" s="1"/>
      <c r="G208" s="29">
        <v>46992.066666666666</v>
      </c>
      <c r="H208" s="27" t="s">
        <v>120</v>
      </c>
      <c r="I208" s="27" t="s">
        <v>121</v>
      </c>
      <c r="J208" s="27" t="s">
        <v>132</v>
      </c>
    </row>
    <row r="209" spans="1:10">
      <c r="A209" s="34">
        <v>1212</v>
      </c>
      <c r="B209" s="34">
        <v>12</v>
      </c>
      <c r="C209" s="34">
        <v>12</v>
      </c>
      <c r="D209" s="36" t="s">
        <v>1404</v>
      </c>
      <c r="E209" s="34" t="s">
        <v>1357</v>
      </c>
      <c r="F209" s="1"/>
      <c r="G209" s="29">
        <v>46999.990972222222</v>
      </c>
      <c r="H209" s="27" t="s">
        <v>124</v>
      </c>
      <c r="I209" s="27" t="s">
        <v>125</v>
      </c>
      <c r="J209" s="27" t="s">
        <v>132</v>
      </c>
    </row>
    <row r="210" spans="1:10">
      <c r="A210" s="34">
        <v>1213</v>
      </c>
      <c r="B210" s="34">
        <v>12</v>
      </c>
      <c r="C210" s="34">
        <v>13</v>
      </c>
      <c r="D210" s="36" t="s">
        <v>1405</v>
      </c>
      <c r="E210" s="34" t="s">
        <v>1219</v>
      </c>
      <c r="F210" s="1"/>
      <c r="G210" s="29">
        <v>47008.031944444447</v>
      </c>
      <c r="H210" s="27" t="s">
        <v>126</v>
      </c>
      <c r="I210" s="27" t="s">
        <v>127</v>
      </c>
      <c r="J210" s="27" t="s">
        <v>132</v>
      </c>
    </row>
    <row r="211" spans="1:10">
      <c r="A211" s="34">
        <v>1214</v>
      </c>
      <c r="B211" s="34">
        <v>12</v>
      </c>
      <c r="C211" s="34">
        <v>14</v>
      </c>
      <c r="D211" s="36" t="s">
        <v>1406</v>
      </c>
      <c r="E211" s="34" t="s">
        <v>1219</v>
      </c>
      <c r="F211" s="1"/>
      <c r="G211" s="29">
        <v>47014.76666666667</v>
      </c>
      <c r="H211" s="27" t="s">
        <v>128</v>
      </c>
      <c r="I211" s="27" t="s">
        <v>129</v>
      </c>
      <c r="J211" s="27" t="s">
        <v>132</v>
      </c>
    </row>
    <row r="212" spans="1:10">
      <c r="A212" s="34">
        <v>1221</v>
      </c>
      <c r="B212" s="34">
        <v>12</v>
      </c>
      <c r="C212" s="34">
        <v>21</v>
      </c>
      <c r="D212" s="36" t="s">
        <v>1407</v>
      </c>
      <c r="E212" s="34" t="s">
        <v>1219</v>
      </c>
      <c r="F212" s="1"/>
      <c r="G212" s="29">
        <v>47021.548611111109</v>
      </c>
      <c r="H212" s="27" t="s">
        <v>120</v>
      </c>
      <c r="I212" s="27" t="s">
        <v>121</v>
      </c>
      <c r="J212" s="27" t="s">
        <v>132</v>
      </c>
    </row>
    <row r="213" spans="1:10">
      <c r="A213" s="34">
        <v>1223</v>
      </c>
      <c r="B213" s="34">
        <v>12</v>
      </c>
      <c r="C213" s="34">
        <v>23</v>
      </c>
      <c r="D213" s="36" t="s">
        <v>1408</v>
      </c>
      <c r="E213" s="34" t="s">
        <v>1219</v>
      </c>
      <c r="F213" s="1"/>
      <c r="G213" s="29">
        <v>47029.684027777781</v>
      </c>
      <c r="H213" s="27" t="s">
        <v>124</v>
      </c>
      <c r="I213" s="27" t="s">
        <v>125</v>
      </c>
      <c r="J213" s="27" t="s">
        <v>132</v>
      </c>
    </row>
    <row r="214" spans="1:10">
      <c r="A214" s="34">
        <v>1226</v>
      </c>
      <c r="B214" s="34">
        <v>12</v>
      </c>
      <c r="C214" s="34">
        <v>26</v>
      </c>
      <c r="D214" s="36" t="s">
        <v>1409</v>
      </c>
      <c r="E214" s="34" t="s">
        <v>1219</v>
      </c>
      <c r="F214" s="1"/>
      <c r="G214" s="29">
        <v>47037.497916666667</v>
      </c>
      <c r="H214" s="27" t="s">
        <v>126</v>
      </c>
      <c r="I214" s="27" t="s">
        <v>127</v>
      </c>
      <c r="J214" s="27" t="s">
        <v>132</v>
      </c>
    </row>
    <row r="215" spans="1:10">
      <c r="A215" s="34">
        <v>1227</v>
      </c>
      <c r="B215" s="34">
        <v>12</v>
      </c>
      <c r="C215" s="34">
        <v>27</v>
      </c>
      <c r="D215" s="36" t="s">
        <v>1410</v>
      </c>
      <c r="E215" s="34" t="s">
        <v>1219</v>
      </c>
      <c r="F215" s="1"/>
      <c r="G215" s="29">
        <v>47044.122916666667</v>
      </c>
      <c r="H215" s="27" t="s">
        <v>128</v>
      </c>
      <c r="I215" s="27" t="s">
        <v>129</v>
      </c>
      <c r="J215" s="27" t="s">
        <v>132</v>
      </c>
    </row>
    <row r="216" spans="1:10">
      <c r="A216" s="34">
        <v>1228</v>
      </c>
      <c r="B216" s="34">
        <v>12</v>
      </c>
      <c r="C216" s="34">
        <v>28</v>
      </c>
      <c r="D216" s="36" t="s">
        <v>1411</v>
      </c>
      <c r="E216" s="34" t="s">
        <v>1219</v>
      </c>
      <c r="F216" s="1"/>
      <c r="G216" s="29">
        <v>47051.203472222223</v>
      </c>
      <c r="H216" s="27" t="s">
        <v>120</v>
      </c>
      <c r="I216" s="27" t="s">
        <v>121</v>
      </c>
      <c r="J216" s="27" t="s">
        <v>132</v>
      </c>
    </row>
    <row r="217" spans="1:10">
      <c r="A217" s="34">
        <v>1229</v>
      </c>
      <c r="B217" s="34">
        <v>12</v>
      </c>
      <c r="C217" s="34">
        <v>29</v>
      </c>
      <c r="D217" s="36" t="s">
        <v>1412</v>
      </c>
      <c r="E217" s="34" t="s">
        <v>1219</v>
      </c>
      <c r="F217" s="1"/>
      <c r="G217" s="29">
        <v>47059.386805555558</v>
      </c>
      <c r="H217" s="27" t="s">
        <v>124</v>
      </c>
      <c r="I217" s="27" t="s">
        <v>125</v>
      </c>
      <c r="J217" s="27" t="s">
        <v>132</v>
      </c>
    </row>
    <row r="218" spans="1:10">
      <c r="A218" s="34">
        <v>1231</v>
      </c>
      <c r="B218" s="34">
        <v>12</v>
      </c>
      <c r="C218" s="34">
        <v>31</v>
      </c>
      <c r="D218" s="36" t="s">
        <v>1413</v>
      </c>
      <c r="E218" s="34" t="s">
        <v>1219</v>
      </c>
      <c r="F218" s="1"/>
      <c r="G218" s="29">
        <v>47066.893055555556</v>
      </c>
      <c r="H218" s="27" t="s">
        <v>126</v>
      </c>
      <c r="I218" s="27" t="s">
        <v>127</v>
      </c>
      <c r="J218" s="27" t="s">
        <v>132</v>
      </c>
    </row>
    <row r="219" spans="1:10">
      <c r="A219" s="1"/>
      <c r="B219" s="1"/>
      <c r="C219" s="1"/>
      <c r="D219" s="1"/>
      <c r="E219" s="1"/>
      <c r="F219" s="1"/>
      <c r="G219" s="29">
        <v>47073.554166666669</v>
      </c>
      <c r="H219" s="27" t="s">
        <v>128</v>
      </c>
      <c r="I219" s="27" t="s">
        <v>129</v>
      </c>
      <c r="J219" s="27" t="s">
        <v>132</v>
      </c>
    </row>
    <row r="220" spans="1:10">
      <c r="A220" s="1"/>
      <c r="B220" s="1"/>
      <c r="C220" s="1"/>
      <c r="D220" s="1"/>
      <c r="E220" s="1"/>
      <c r="F220" s="1"/>
      <c r="G220" s="29">
        <v>47081.009722222225</v>
      </c>
      <c r="H220" s="27" t="s">
        <v>120</v>
      </c>
      <c r="I220" s="27" t="s">
        <v>121</v>
      </c>
      <c r="J220" s="27" t="s">
        <v>132</v>
      </c>
    </row>
    <row r="221" spans="1:10">
      <c r="A221" s="1"/>
      <c r="B221" s="1"/>
      <c r="C221" s="1"/>
      <c r="D221" s="1"/>
      <c r="E221" s="1"/>
      <c r="F221" s="1"/>
      <c r="G221" s="29">
        <v>47089.069444444445</v>
      </c>
      <c r="H221" s="27" t="s">
        <v>124</v>
      </c>
      <c r="I221" s="27" t="s">
        <v>125</v>
      </c>
      <c r="J221" s="27" t="s">
        <v>132</v>
      </c>
    </row>
    <row r="222" spans="1:10">
      <c r="A222" s="1"/>
      <c r="B222" s="1"/>
      <c r="C222" s="1"/>
      <c r="D222" s="1"/>
      <c r="E222" s="1"/>
      <c r="F222" s="1"/>
      <c r="G222" s="29">
        <v>47096.23541666667</v>
      </c>
      <c r="H222" s="27" t="s">
        <v>126</v>
      </c>
      <c r="I222" s="27" t="s">
        <v>127</v>
      </c>
      <c r="J222" s="27" t="s">
        <v>132</v>
      </c>
    </row>
    <row r="223" spans="1:10">
      <c r="A223" s="1"/>
      <c r="B223" s="1"/>
      <c r="C223" s="1"/>
      <c r="D223" s="1"/>
      <c r="E223" s="1"/>
      <c r="F223" s="1"/>
      <c r="G223" s="29">
        <v>47103.087500000001</v>
      </c>
      <c r="H223" s="27" t="s">
        <v>128</v>
      </c>
      <c r="I223" s="27" t="s">
        <v>129</v>
      </c>
      <c r="J223" s="27" t="s">
        <v>132</v>
      </c>
    </row>
    <row r="224" spans="1:10">
      <c r="A224" s="1"/>
      <c r="B224" s="1"/>
      <c r="C224" s="1"/>
      <c r="D224" s="1"/>
      <c r="E224" s="1"/>
      <c r="F224" s="1"/>
      <c r="G224" s="29">
        <v>47110.90625</v>
      </c>
      <c r="H224" s="27" t="s">
        <v>120</v>
      </c>
      <c r="I224" s="27" t="s">
        <v>121</v>
      </c>
      <c r="J224" s="27" t="s">
        <v>132</v>
      </c>
    </row>
    <row r="225" spans="1:10">
      <c r="A225" s="1"/>
      <c r="B225" s="1"/>
      <c r="C225" s="1"/>
      <c r="D225" s="1"/>
      <c r="E225" s="1"/>
      <c r="F225" s="1"/>
      <c r="G225" s="29">
        <v>47118.7</v>
      </c>
      <c r="H225" s="27" t="s">
        <v>124</v>
      </c>
      <c r="I225" s="27" t="s">
        <v>125</v>
      </c>
      <c r="J225" s="27" t="s">
        <v>132</v>
      </c>
    </row>
    <row r="226" spans="1:10">
      <c r="A226" s="1"/>
      <c r="B226" s="1"/>
      <c r="C226" s="1"/>
      <c r="D226" s="1"/>
      <c r="E226" s="1"/>
      <c r="F226" s="1"/>
      <c r="G226" s="29">
        <v>47125.55972222222</v>
      </c>
      <c r="H226" s="27" t="s">
        <v>126</v>
      </c>
      <c r="I226" s="27" t="s">
        <v>127</v>
      </c>
      <c r="J226" s="27" t="s">
        <v>133</v>
      </c>
    </row>
    <row r="227" spans="1:10">
      <c r="A227" s="1"/>
      <c r="B227" s="1"/>
      <c r="C227" s="1"/>
      <c r="D227" s="1"/>
      <c r="E227" s="1"/>
      <c r="F227" s="1"/>
      <c r="G227" s="29">
        <v>47132.724999999999</v>
      </c>
      <c r="H227" s="27" t="s">
        <v>128</v>
      </c>
      <c r="I227" s="27" t="s">
        <v>129</v>
      </c>
      <c r="J227" s="27" t="s">
        <v>133</v>
      </c>
    </row>
    <row r="228" spans="1:10">
      <c r="A228" s="1"/>
      <c r="B228" s="1"/>
      <c r="C228" s="1"/>
      <c r="D228" s="1"/>
      <c r="E228" s="1"/>
      <c r="F228" s="1"/>
      <c r="G228" s="29">
        <v>47140.807638888888</v>
      </c>
      <c r="H228" s="27" t="s">
        <v>120</v>
      </c>
      <c r="I228" s="27" t="s">
        <v>121</v>
      </c>
      <c r="J228" s="27" t="s">
        <v>133</v>
      </c>
    </row>
    <row r="229" spans="1:10">
      <c r="A229" s="1"/>
      <c r="B229" s="1"/>
      <c r="C229" s="1"/>
      <c r="D229" s="1"/>
      <c r="E229" s="1"/>
      <c r="F229" s="1"/>
      <c r="G229" s="29">
        <v>47148.252083333333</v>
      </c>
      <c r="H229" s="27" t="s">
        <v>124</v>
      </c>
      <c r="I229" s="27" t="s">
        <v>125</v>
      </c>
      <c r="J229" s="27" t="s">
        <v>133</v>
      </c>
    </row>
    <row r="230" spans="1:10">
      <c r="A230" s="1"/>
      <c r="B230" s="1"/>
      <c r="C230" s="1"/>
      <c r="D230" s="1"/>
      <c r="E230" s="1"/>
      <c r="F230" s="1"/>
      <c r="G230" s="29">
        <v>47154.911111111112</v>
      </c>
      <c r="H230" s="27" t="s">
        <v>126</v>
      </c>
      <c r="I230" s="27" t="s">
        <v>127</v>
      </c>
      <c r="J230" s="27" t="s">
        <v>133</v>
      </c>
    </row>
    <row r="231" spans="1:10">
      <c r="A231" s="1"/>
      <c r="B231" s="1"/>
      <c r="C231" s="1"/>
      <c r="D231" s="1"/>
      <c r="E231" s="1"/>
      <c r="F231" s="1"/>
      <c r="G231" s="29">
        <v>47162.438194444447</v>
      </c>
      <c r="H231" s="27" t="s">
        <v>128</v>
      </c>
      <c r="I231" s="27" t="s">
        <v>129</v>
      </c>
      <c r="J231" s="27" t="s">
        <v>133</v>
      </c>
    </row>
    <row r="232" spans="1:10">
      <c r="A232" s="1"/>
      <c r="B232" s="1"/>
      <c r="C232" s="1"/>
      <c r="D232" s="1"/>
      <c r="E232" s="1"/>
      <c r="F232" s="1"/>
      <c r="G232" s="29">
        <v>47170.631944444445</v>
      </c>
      <c r="H232" s="27" t="s">
        <v>120</v>
      </c>
      <c r="I232" s="27" t="s">
        <v>121</v>
      </c>
      <c r="J232" s="27" t="s">
        <v>133</v>
      </c>
    </row>
    <row r="233" spans="1:10">
      <c r="A233" s="1"/>
      <c r="B233" s="1"/>
      <c r="C233" s="1"/>
      <c r="D233" s="1"/>
      <c r="E233" s="1"/>
      <c r="F233" s="1"/>
      <c r="G233" s="29">
        <v>47177.715277777781</v>
      </c>
      <c r="H233" s="27" t="s">
        <v>124</v>
      </c>
      <c r="I233" s="27" t="s">
        <v>125</v>
      </c>
      <c r="J233" s="27" t="s">
        <v>133</v>
      </c>
    </row>
    <row r="234" spans="1:10">
      <c r="A234" s="1"/>
      <c r="B234" s="1"/>
      <c r="C234" s="1"/>
      <c r="D234" s="1"/>
      <c r="E234" s="1"/>
      <c r="F234" s="1"/>
      <c r="G234" s="29">
        <v>47184.32708333333</v>
      </c>
      <c r="H234" s="27" t="s">
        <v>126</v>
      </c>
      <c r="I234" s="27" t="s">
        <v>127</v>
      </c>
      <c r="J234" s="27" t="s">
        <v>133</v>
      </c>
    </row>
    <row r="235" spans="1:10">
      <c r="A235" s="1"/>
      <c r="B235" s="1"/>
      <c r="C235" s="1"/>
      <c r="D235" s="1"/>
      <c r="E235" s="1"/>
      <c r="F235" s="1"/>
      <c r="G235" s="29">
        <v>47192.179861111108</v>
      </c>
      <c r="H235" s="27" t="s">
        <v>128</v>
      </c>
      <c r="I235" s="27" t="s">
        <v>129</v>
      </c>
      <c r="J235" s="27" t="s">
        <v>133</v>
      </c>
    </row>
    <row r="236" spans="1:10">
      <c r="A236" s="1"/>
      <c r="B236" s="1"/>
      <c r="C236" s="1"/>
      <c r="D236" s="1"/>
      <c r="E236" s="1"/>
      <c r="F236" s="1"/>
      <c r="G236" s="29">
        <v>47200.314583333333</v>
      </c>
      <c r="H236" s="27" t="s">
        <v>120</v>
      </c>
      <c r="I236" s="27" t="s">
        <v>121</v>
      </c>
      <c r="J236" s="27" t="s">
        <v>133</v>
      </c>
    </row>
    <row r="237" spans="1:10">
      <c r="A237" s="1"/>
      <c r="B237" s="1"/>
      <c r="C237" s="1"/>
      <c r="D237" s="1"/>
      <c r="E237" s="1"/>
      <c r="F237" s="1"/>
      <c r="G237" s="29">
        <v>47207.101388888892</v>
      </c>
      <c r="H237" s="27" t="s">
        <v>124</v>
      </c>
      <c r="I237" s="27" t="s">
        <v>125</v>
      </c>
      <c r="J237" s="27" t="s">
        <v>133</v>
      </c>
    </row>
    <row r="238" spans="1:10">
      <c r="A238" s="1"/>
      <c r="B238" s="1"/>
      <c r="C238" s="1"/>
      <c r="D238" s="1"/>
      <c r="E238" s="1"/>
      <c r="F238" s="1"/>
      <c r="G238" s="29">
        <v>47213.82708333333</v>
      </c>
      <c r="H238" s="27" t="s">
        <v>126</v>
      </c>
      <c r="I238" s="27" t="s">
        <v>127</v>
      </c>
      <c r="J238" s="27" t="s">
        <v>133</v>
      </c>
    </row>
    <row r="239" spans="1:10">
      <c r="A239" s="1"/>
      <c r="B239" s="1"/>
      <c r="C239" s="1"/>
      <c r="D239" s="1"/>
      <c r="E239" s="1"/>
      <c r="F239" s="1"/>
      <c r="G239" s="29">
        <v>47221.902777777781</v>
      </c>
      <c r="H239" s="27" t="s">
        <v>128</v>
      </c>
      <c r="I239" s="27" t="s">
        <v>129</v>
      </c>
      <c r="J239" s="27" t="s">
        <v>133</v>
      </c>
    </row>
    <row r="240" spans="1:10">
      <c r="A240" s="1"/>
      <c r="B240" s="1"/>
      <c r="C240" s="1"/>
      <c r="D240" s="1"/>
      <c r="E240" s="1"/>
      <c r="F240" s="1"/>
      <c r="G240" s="29">
        <v>47229.826388888891</v>
      </c>
      <c r="H240" s="27" t="s">
        <v>120</v>
      </c>
      <c r="I240" s="27" t="s">
        <v>121</v>
      </c>
      <c r="J240" s="27" t="s">
        <v>133</v>
      </c>
    </row>
    <row r="241" spans="1:10">
      <c r="A241" s="1"/>
      <c r="B241" s="1"/>
      <c r="C241" s="1"/>
      <c r="D241" s="1"/>
      <c r="E241" s="1"/>
      <c r="F241" s="1"/>
      <c r="G241" s="29">
        <v>47236.442361111112</v>
      </c>
      <c r="H241" s="27" t="s">
        <v>124</v>
      </c>
      <c r="I241" s="27" t="s">
        <v>125</v>
      </c>
      <c r="J241" s="27" t="s">
        <v>133</v>
      </c>
    </row>
    <row r="242" spans="1:10">
      <c r="A242" s="1"/>
      <c r="B242" s="1"/>
      <c r="C242" s="1"/>
      <c r="D242" s="1"/>
      <c r="E242" s="1"/>
      <c r="F242" s="1"/>
      <c r="G242" s="29">
        <v>47243.408333333333</v>
      </c>
      <c r="H242" s="27" t="s">
        <v>126</v>
      </c>
      <c r="I242" s="27" t="s">
        <v>127</v>
      </c>
      <c r="J242" s="27" t="s">
        <v>133</v>
      </c>
    </row>
    <row r="243" spans="1:10">
      <c r="A243" s="1"/>
      <c r="B243" s="1"/>
      <c r="C243" s="1"/>
      <c r="D243" s="1"/>
      <c r="E243" s="1"/>
      <c r="F243" s="1"/>
      <c r="G243" s="29">
        <v>47251.570833333331</v>
      </c>
      <c r="H243" s="27" t="s">
        <v>128</v>
      </c>
      <c r="I243" s="27" t="s">
        <v>129</v>
      </c>
      <c r="J243" s="27" t="s">
        <v>133</v>
      </c>
    </row>
    <row r="244" spans="1:10">
      <c r="A244" s="1"/>
      <c r="B244" s="1"/>
      <c r="C244" s="1"/>
      <c r="D244" s="1"/>
      <c r="E244" s="1"/>
      <c r="F244" s="1"/>
      <c r="G244" s="29">
        <v>47259.177777777775</v>
      </c>
      <c r="H244" s="27" t="s">
        <v>120</v>
      </c>
      <c r="I244" s="27" t="s">
        <v>121</v>
      </c>
      <c r="J244" s="27" t="s">
        <v>133</v>
      </c>
    </row>
    <row r="245" spans="1:10">
      <c r="A245" s="1"/>
      <c r="B245" s="1"/>
      <c r="C245" s="1"/>
      <c r="D245" s="1"/>
      <c r="E245" s="1"/>
      <c r="F245" s="1"/>
      <c r="G245" s="29">
        <v>47265.775694444441</v>
      </c>
      <c r="H245" s="27" t="s">
        <v>124</v>
      </c>
      <c r="I245" s="27" t="s">
        <v>125</v>
      </c>
      <c r="J245" s="27" t="s">
        <v>133</v>
      </c>
    </row>
    <row r="246" spans="1:10">
      <c r="A246" s="1"/>
      <c r="B246" s="1"/>
      <c r="C246" s="1"/>
      <c r="D246" s="1"/>
      <c r="E246" s="1"/>
      <c r="F246" s="1"/>
      <c r="G246" s="29">
        <v>47273.054861111108</v>
      </c>
      <c r="H246" s="27" t="s">
        <v>126</v>
      </c>
      <c r="I246" s="27" t="s">
        <v>127</v>
      </c>
      <c r="J246" s="27" t="s">
        <v>133</v>
      </c>
    </row>
    <row r="247" spans="1:10">
      <c r="A247" s="1"/>
      <c r="B247" s="1"/>
      <c r="C247" s="1"/>
      <c r="D247" s="1"/>
      <c r="E247" s="1"/>
      <c r="F247" s="1"/>
      <c r="G247" s="29">
        <v>47281.159722222219</v>
      </c>
      <c r="H247" s="27" t="s">
        <v>128</v>
      </c>
      <c r="I247" s="27" t="s">
        <v>129</v>
      </c>
      <c r="J247" s="27" t="s">
        <v>133</v>
      </c>
    </row>
    <row r="248" spans="1:10">
      <c r="A248" s="1"/>
      <c r="B248" s="1"/>
      <c r="C248" s="1"/>
      <c r="D248" s="1"/>
      <c r="E248" s="1"/>
      <c r="F248" s="1"/>
      <c r="G248" s="29">
        <v>47288.412499999999</v>
      </c>
      <c r="H248" s="27" t="s">
        <v>120</v>
      </c>
      <c r="I248" s="27" t="s">
        <v>121</v>
      </c>
      <c r="J248" s="27" t="s">
        <v>133</v>
      </c>
    </row>
    <row r="249" spans="1:10">
      <c r="A249" s="1"/>
      <c r="B249" s="1"/>
      <c r="C249" s="1"/>
      <c r="D249" s="1"/>
      <c r="E249" s="1"/>
      <c r="F249" s="1"/>
      <c r="G249" s="29">
        <v>47295.140277777777</v>
      </c>
      <c r="H249" s="27" t="s">
        <v>124</v>
      </c>
      <c r="I249" s="27" t="s">
        <v>125</v>
      </c>
      <c r="J249" s="27" t="s">
        <v>133</v>
      </c>
    </row>
    <row r="250" spans="1:10">
      <c r="A250" s="1"/>
      <c r="B250" s="1"/>
      <c r="C250" s="1"/>
      <c r="D250" s="1"/>
      <c r="E250" s="1"/>
      <c r="F250" s="1"/>
      <c r="G250" s="29">
        <v>47302.747916666667</v>
      </c>
      <c r="H250" s="27" t="s">
        <v>126</v>
      </c>
      <c r="I250" s="27" t="s">
        <v>127</v>
      </c>
      <c r="J250" s="27" t="s">
        <v>133</v>
      </c>
    </row>
    <row r="251" spans="1:10">
      <c r="A251" s="1"/>
      <c r="B251" s="1"/>
      <c r="C251" s="1"/>
      <c r="D251" s="1"/>
      <c r="E251" s="1"/>
      <c r="F251" s="1"/>
      <c r="G251" s="29">
        <v>47310.660416666666</v>
      </c>
      <c r="H251" s="27" t="s">
        <v>128</v>
      </c>
      <c r="I251" s="27" t="s">
        <v>129</v>
      </c>
      <c r="J251" s="27" t="s">
        <v>133</v>
      </c>
    </row>
    <row r="252" spans="1:10">
      <c r="A252" s="1"/>
      <c r="B252" s="1"/>
      <c r="C252" s="1"/>
      <c r="D252" s="1"/>
      <c r="E252" s="1"/>
      <c r="F252" s="1"/>
      <c r="G252" s="29">
        <v>47317.593055555553</v>
      </c>
      <c r="H252" s="27" t="s">
        <v>120</v>
      </c>
      <c r="I252" s="27" t="s">
        <v>121</v>
      </c>
      <c r="J252" s="27" t="s">
        <v>133</v>
      </c>
    </row>
    <row r="253" spans="1:10">
      <c r="A253" s="1"/>
      <c r="B253" s="1"/>
      <c r="C253" s="1"/>
      <c r="D253" s="1"/>
      <c r="E253" s="1"/>
      <c r="F253" s="1"/>
      <c r="G253" s="29">
        <v>47324.566666666666</v>
      </c>
      <c r="H253" s="27" t="s">
        <v>124</v>
      </c>
      <c r="I253" s="27" t="s">
        <v>125</v>
      </c>
      <c r="J253" s="27" t="s">
        <v>133</v>
      </c>
    </row>
    <row r="254" spans="1:10">
      <c r="A254" s="1"/>
      <c r="B254" s="1"/>
      <c r="C254" s="1"/>
      <c r="D254" s="1"/>
      <c r="E254" s="1"/>
      <c r="F254" s="1"/>
      <c r="G254" s="29">
        <v>47332.46875</v>
      </c>
      <c r="H254" s="27" t="s">
        <v>126</v>
      </c>
      <c r="I254" s="27" t="s">
        <v>127</v>
      </c>
      <c r="J254" s="27" t="s">
        <v>133</v>
      </c>
    </row>
    <row r="255" spans="1:10">
      <c r="A255" s="1"/>
      <c r="B255" s="1"/>
      <c r="C255" s="1"/>
      <c r="D255" s="1"/>
      <c r="E255" s="1"/>
      <c r="F255" s="1"/>
      <c r="G255" s="29">
        <v>47340.080555555556</v>
      </c>
      <c r="H255" s="27" t="s">
        <v>128</v>
      </c>
      <c r="I255" s="27" t="s">
        <v>129</v>
      </c>
      <c r="J255" s="27" t="s">
        <v>133</v>
      </c>
    </row>
    <row r="256" spans="1:10">
      <c r="A256" s="1"/>
      <c r="B256" s="1"/>
      <c r="C256" s="1"/>
      <c r="D256" s="1"/>
      <c r="E256" s="1"/>
      <c r="F256" s="1"/>
      <c r="G256" s="29">
        <v>47346.788194444445</v>
      </c>
      <c r="H256" s="27" t="s">
        <v>120</v>
      </c>
      <c r="I256" s="27" t="s">
        <v>121</v>
      </c>
      <c r="J256" s="27" t="s">
        <v>133</v>
      </c>
    </row>
    <row r="257" spans="1:10">
      <c r="A257" s="1"/>
      <c r="B257" s="1"/>
      <c r="C257" s="1"/>
      <c r="D257" s="1"/>
      <c r="E257" s="1"/>
      <c r="F257" s="1"/>
      <c r="G257" s="29">
        <v>47354.07708333333</v>
      </c>
      <c r="H257" s="27" t="s">
        <v>124</v>
      </c>
      <c r="I257" s="27" t="s">
        <v>125</v>
      </c>
      <c r="J257" s="27" t="s">
        <v>133</v>
      </c>
    </row>
    <row r="258" spans="1:10">
      <c r="A258" s="1"/>
      <c r="B258" s="1"/>
      <c r="C258" s="1"/>
      <c r="D258" s="1"/>
      <c r="E258" s="1"/>
      <c r="F258" s="1"/>
      <c r="G258" s="29">
        <v>47362.189583333333</v>
      </c>
      <c r="H258" s="27" t="s">
        <v>126</v>
      </c>
      <c r="I258" s="27" t="s">
        <v>127</v>
      </c>
      <c r="J258" s="27" t="s">
        <v>133</v>
      </c>
    </row>
    <row r="259" spans="1:10">
      <c r="A259" s="1"/>
      <c r="B259" s="1"/>
      <c r="C259" s="1"/>
      <c r="D259" s="1"/>
      <c r="E259" s="1"/>
      <c r="F259" s="1"/>
      <c r="G259" s="29">
        <v>47369.447222222225</v>
      </c>
      <c r="H259" s="27" t="s">
        <v>128</v>
      </c>
      <c r="I259" s="27" t="s">
        <v>129</v>
      </c>
      <c r="J259" s="27" t="s">
        <v>133</v>
      </c>
    </row>
    <row r="260" spans="1:10">
      <c r="A260" s="1"/>
      <c r="B260" s="1"/>
      <c r="C260" s="1"/>
      <c r="D260" s="1"/>
      <c r="E260" s="1"/>
      <c r="F260" s="1"/>
      <c r="G260" s="29">
        <v>47376.061805555553</v>
      </c>
      <c r="H260" s="27" t="s">
        <v>120</v>
      </c>
      <c r="I260" s="27" t="s">
        <v>121</v>
      </c>
      <c r="J260" s="27" t="s">
        <v>133</v>
      </c>
    </row>
    <row r="261" spans="1:10">
      <c r="A261" s="1"/>
      <c r="B261" s="1"/>
      <c r="C261" s="1"/>
      <c r="D261" s="1"/>
      <c r="E261" s="1"/>
      <c r="F261" s="1"/>
      <c r="G261" s="29">
        <v>47383.686805555553</v>
      </c>
      <c r="H261" s="27" t="s">
        <v>124</v>
      </c>
      <c r="I261" s="27" t="s">
        <v>125</v>
      </c>
      <c r="J261" s="27" t="s">
        <v>133</v>
      </c>
    </row>
    <row r="262" spans="1:10">
      <c r="A262" s="1"/>
      <c r="B262" s="1"/>
      <c r="C262" s="1"/>
      <c r="D262" s="1"/>
      <c r="E262" s="1"/>
      <c r="F262" s="1"/>
      <c r="G262" s="29">
        <v>47391.872916666667</v>
      </c>
      <c r="H262" s="27" t="s">
        <v>126</v>
      </c>
      <c r="I262" s="27" t="s">
        <v>127</v>
      </c>
      <c r="J262" s="27" t="s">
        <v>133</v>
      </c>
    </row>
    <row r="263" spans="1:10">
      <c r="A263" s="1"/>
      <c r="B263" s="1"/>
      <c r="C263" s="1"/>
      <c r="D263" s="1"/>
      <c r="E263" s="1"/>
      <c r="F263" s="1"/>
      <c r="G263" s="29">
        <v>47398.801388888889</v>
      </c>
      <c r="H263" s="27" t="s">
        <v>128</v>
      </c>
      <c r="I263" s="27" t="s">
        <v>129</v>
      </c>
      <c r="J263" s="27" t="s">
        <v>133</v>
      </c>
    </row>
    <row r="264" spans="1:10">
      <c r="A264" s="1"/>
      <c r="B264" s="1"/>
      <c r="C264" s="1"/>
      <c r="D264" s="1"/>
      <c r="E264" s="1"/>
      <c r="F264" s="1"/>
      <c r="G264" s="29">
        <v>47405.464583333334</v>
      </c>
      <c r="H264" s="27" t="s">
        <v>120</v>
      </c>
      <c r="I264" s="27" t="s">
        <v>121</v>
      </c>
      <c r="J264" s="27" t="s">
        <v>133</v>
      </c>
    </row>
    <row r="265" spans="1:10">
      <c r="A265" s="1"/>
      <c r="B265" s="1"/>
      <c r="C265" s="1"/>
      <c r="D265" s="1"/>
      <c r="E265" s="1"/>
      <c r="F265" s="1"/>
      <c r="G265" s="29">
        <v>47413.393750000003</v>
      </c>
      <c r="H265" s="27" t="s">
        <v>124</v>
      </c>
      <c r="I265" s="27" t="s">
        <v>125</v>
      </c>
      <c r="J265" s="27" t="s">
        <v>133</v>
      </c>
    </row>
    <row r="266" spans="1:10">
      <c r="A266" s="1"/>
      <c r="B266" s="1"/>
      <c r="C266" s="1"/>
      <c r="D266" s="1"/>
      <c r="E266" s="1"/>
      <c r="F266" s="1"/>
      <c r="G266" s="29">
        <v>47421.480555555558</v>
      </c>
      <c r="H266" s="27" t="s">
        <v>126</v>
      </c>
      <c r="I266" s="27" t="s">
        <v>127</v>
      </c>
      <c r="J266" s="27" t="s">
        <v>133</v>
      </c>
    </row>
    <row r="267" spans="1:10">
      <c r="A267" s="1"/>
      <c r="B267" s="1"/>
      <c r="C267" s="1"/>
      <c r="D267" s="1"/>
      <c r="E267" s="1"/>
      <c r="F267" s="1"/>
      <c r="G267" s="29">
        <v>47428.183333333334</v>
      </c>
      <c r="H267" s="27" t="s">
        <v>128</v>
      </c>
      <c r="I267" s="27" t="s">
        <v>129</v>
      </c>
      <c r="J267" s="27" t="s">
        <v>133</v>
      </c>
    </row>
    <row r="268" spans="1:10">
      <c r="A268" s="1"/>
      <c r="B268" s="1"/>
      <c r="C268" s="1"/>
      <c r="D268" s="1"/>
      <c r="E268" s="1"/>
      <c r="F268" s="1"/>
      <c r="G268" s="29">
        <v>47435.024305555555</v>
      </c>
      <c r="H268" s="27" t="s">
        <v>120</v>
      </c>
      <c r="I268" s="27" t="s">
        <v>121</v>
      </c>
      <c r="J268" s="27" t="s">
        <v>133</v>
      </c>
    </row>
    <row r="269" spans="1:10">
      <c r="A269" s="1"/>
      <c r="B269" s="1"/>
      <c r="C269" s="1"/>
      <c r="D269" s="1"/>
      <c r="E269" s="1"/>
      <c r="F269" s="1"/>
      <c r="G269" s="29">
        <v>47443.168749999997</v>
      </c>
      <c r="H269" s="27" t="s">
        <v>124</v>
      </c>
      <c r="I269" s="27" t="s">
        <v>125</v>
      </c>
      <c r="J269" s="27" t="s">
        <v>133</v>
      </c>
    </row>
    <row r="270" spans="1:10">
      <c r="A270" s="1"/>
      <c r="B270" s="1"/>
      <c r="C270" s="1"/>
      <c r="D270" s="1"/>
      <c r="E270" s="1"/>
      <c r="F270" s="1"/>
      <c r="G270" s="29">
        <v>47450.991666666669</v>
      </c>
      <c r="H270" s="27" t="s">
        <v>126</v>
      </c>
      <c r="I270" s="27" t="s">
        <v>127</v>
      </c>
      <c r="J270" s="27" t="s">
        <v>133</v>
      </c>
    </row>
    <row r="271" spans="1:10">
      <c r="A271" s="1"/>
      <c r="B271" s="1"/>
      <c r="C271" s="1"/>
      <c r="D271" s="1"/>
      <c r="E271" s="1"/>
      <c r="F271" s="1"/>
      <c r="G271" s="29">
        <v>47457.619444444441</v>
      </c>
      <c r="H271" s="27" t="s">
        <v>128</v>
      </c>
      <c r="I271" s="27" t="s">
        <v>129</v>
      </c>
      <c r="J271" s="27" t="s">
        <v>133</v>
      </c>
    </row>
    <row r="272" spans="1:10">
      <c r="A272" s="1"/>
      <c r="B272" s="1"/>
      <c r="C272" s="1"/>
      <c r="D272" s="1"/>
      <c r="E272" s="1"/>
      <c r="F272" s="1"/>
      <c r="G272" s="29">
        <v>47464.742361111108</v>
      </c>
      <c r="H272" s="27" t="s">
        <v>120</v>
      </c>
      <c r="I272" s="27" t="s">
        <v>121</v>
      </c>
      <c r="J272" s="27" t="s">
        <v>133</v>
      </c>
    </row>
    <row r="273" spans="1:10">
      <c r="A273" s="1"/>
      <c r="B273" s="1"/>
      <c r="C273" s="1"/>
      <c r="D273" s="1"/>
      <c r="E273" s="1"/>
      <c r="F273" s="1"/>
      <c r="G273" s="29">
        <v>47472.948611111111</v>
      </c>
      <c r="H273" s="27" t="s">
        <v>124</v>
      </c>
      <c r="I273" s="27" t="s">
        <v>125</v>
      </c>
      <c r="J273" s="27" t="s">
        <v>133</v>
      </c>
    </row>
    <row r="274" spans="1:10">
      <c r="A274" s="1"/>
      <c r="B274" s="1"/>
      <c r="C274" s="1"/>
      <c r="D274" s="1"/>
      <c r="E274" s="1"/>
      <c r="F274" s="1"/>
      <c r="G274" s="29">
        <v>47480.40902777778</v>
      </c>
      <c r="H274" s="27" t="s">
        <v>126</v>
      </c>
      <c r="I274" s="27" t="s">
        <v>127</v>
      </c>
      <c r="J274" s="27" t="s">
        <v>133</v>
      </c>
    </row>
    <row r="275" spans="1:10">
      <c r="A275" s="1"/>
      <c r="B275" s="1"/>
      <c r="C275" s="1"/>
      <c r="D275" s="1"/>
      <c r="E275" s="1"/>
      <c r="F275" s="1"/>
      <c r="G275" s="1"/>
      <c r="H275" s="1"/>
      <c r="I275" s="1"/>
      <c r="J275" s="1"/>
    </row>
    <row r="276" spans="1:10">
      <c r="A276" s="1"/>
      <c r="B276" s="1"/>
      <c r="C276" s="1"/>
      <c r="D276" s="1"/>
      <c r="E276" s="1"/>
      <c r="F276" s="1"/>
      <c r="G276" s="1"/>
      <c r="H276" s="1"/>
      <c r="I276" s="1"/>
      <c r="J276" s="1"/>
    </row>
    <row r="277" spans="1:10">
      <c r="A277" s="1"/>
      <c r="B277" s="1"/>
      <c r="C277" s="1"/>
      <c r="D277" s="1"/>
      <c r="E277" s="1"/>
      <c r="F277" s="1"/>
      <c r="G277" s="1"/>
      <c r="H277" s="1"/>
      <c r="I277" s="1"/>
      <c r="J277" s="1"/>
    </row>
    <row r="278" spans="1:10">
      <c r="A278" s="1"/>
      <c r="B278" s="1"/>
      <c r="C278" s="1"/>
      <c r="D278" s="1"/>
      <c r="E278" s="1"/>
      <c r="F278" s="1"/>
      <c r="G278" s="1"/>
      <c r="H278" s="1"/>
      <c r="I278" s="1"/>
      <c r="J278" s="1"/>
    </row>
    <row r="279" spans="1:10">
      <c r="A279" s="1"/>
      <c r="B279" s="1"/>
      <c r="C279" s="1"/>
      <c r="D279" s="1"/>
      <c r="E279" s="1"/>
      <c r="F279" s="1"/>
      <c r="G279" s="1"/>
      <c r="H279" s="1"/>
      <c r="I279" s="1"/>
      <c r="J279" s="1"/>
    </row>
    <row r="280" spans="1:10">
      <c r="A280" s="1"/>
      <c r="B280" s="1"/>
      <c r="C280" s="1"/>
      <c r="D280" s="1"/>
      <c r="E280" s="1"/>
      <c r="F280" s="1"/>
      <c r="G280" s="1"/>
      <c r="H280" s="1"/>
      <c r="I280" s="1"/>
      <c r="J280" s="1"/>
    </row>
    <row r="281" spans="1:10">
      <c r="A281" s="1"/>
      <c r="B281" s="1"/>
      <c r="C281" s="1"/>
      <c r="D281" s="1"/>
      <c r="E281" s="1"/>
      <c r="F281" s="1"/>
      <c r="G281" s="1"/>
      <c r="H281" s="1"/>
      <c r="I281" s="1"/>
      <c r="J281" s="1"/>
    </row>
    <row r="282" spans="1:10">
      <c r="A282" s="1"/>
      <c r="B282" s="1"/>
      <c r="C282" s="1"/>
      <c r="D282" s="1"/>
      <c r="E282" s="1"/>
      <c r="F282" s="1"/>
      <c r="G282" s="1"/>
      <c r="H282" s="1"/>
      <c r="I282" s="1"/>
      <c r="J282" s="1"/>
    </row>
    <row r="283" spans="1:10">
      <c r="A283" s="1"/>
      <c r="B283" s="1"/>
      <c r="C283" s="1"/>
      <c r="D283" s="1"/>
      <c r="E283" s="1"/>
      <c r="F283" s="1"/>
      <c r="G283" s="1"/>
      <c r="H283" s="1"/>
      <c r="I283" s="1"/>
      <c r="J283" s="1"/>
    </row>
    <row r="284" spans="1:10">
      <c r="A284" s="1"/>
      <c r="B284" s="1"/>
      <c r="C284" s="1"/>
      <c r="D284" s="1"/>
      <c r="E284" s="1"/>
      <c r="F284" s="1"/>
      <c r="G284" s="1"/>
      <c r="H284" s="1"/>
      <c r="I284" s="1"/>
      <c r="J284" s="1"/>
    </row>
    <row r="285" spans="1:10">
      <c r="A285" s="1"/>
      <c r="B285" s="1"/>
      <c r="C285" s="1"/>
      <c r="D285" s="1"/>
      <c r="E285" s="1"/>
      <c r="F285" s="1"/>
      <c r="G285" s="1"/>
      <c r="H285" s="1"/>
      <c r="I285" s="1"/>
      <c r="J285" s="1"/>
    </row>
    <row r="286" spans="1:10">
      <c r="A286" s="1"/>
      <c r="B286" s="1"/>
      <c r="C286" s="1"/>
      <c r="D286" s="1"/>
      <c r="E286" s="1"/>
      <c r="F286" s="1"/>
      <c r="G286" s="1"/>
      <c r="H286" s="1"/>
      <c r="I286" s="1"/>
      <c r="J286" s="1"/>
    </row>
    <row r="287" spans="1:10">
      <c r="A287" s="1"/>
      <c r="B287" s="1"/>
      <c r="C287" s="1"/>
      <c r="D287" s="1"/>
      <c r="E287" s="1"/>
      <c r="F287" s="1"/>
      <c r="G287" s="1"/>
      <c r="H287" s="1"/>
      <c r="I287" s="1"/>
      <c r="J287" s="1"/>
    </row>
    <row r="288" spans="1:10">
      <c r="A288" s="1"/>
      <c r="B288" s="1"/>
      <c r="C288" s="1"/>
      <c r="D288" s="1"/>
      <c r="E288" s="1"/>
      <c r="F288" s="1"/>
      <c r="G288" s="1"/>
      <c r="H288" s="1"/>
      <c r="I288" s="1"/>
      <c r="J288" s="1"/>
    </row>
    <row r="289" spans="1:10">
      <c r="A289" s="1"/>
      <c r="B289" s="1"/>
      <c r="C289" s="1"/>
      <c r="D289" s="1"/>
      <c r="E289" s="1"/>
      <c r="F289" s="1"/>
      <c r="G289" s="1"/>
      <c r="H289" s="1"/>
      <c r="I289" s="1"/>
      <c r="J289" s="1"/>
    </row>
    <row r="290" spans="1:10">
      <c r="A290" s="1"/>
      <c r="B290" s="1"/>
      <c r="C290" s="1"/>
      <c r="D290" s="1"/>
      <c r="E290" s="1"/>
      <c r="F290" s="1"/>
      <c r="G290" s="1"/>
      <c r="H290" s="1"/>
      <c r="I290" s="1"/>
      <c r="J290" s="1"/>
    </row>
  </sheetData>
  <WedgeCells count="11">
    <WedgeCell ref="A1:J1"/>
    <WedgeCell ref="A2:J2"/>
    <WedgeCell ref="B3:J3"/>
    <WedgeCell ref="B4:J4"/>
    <WedgeCell ref="A26:E26"/>
    <WedgeCell ref="G26:J26"/>
    <WedgeCell ref="A6:J6"/>
    <WedgeCell ref="A16:J16"/>
    <WedgeCell ref="A17:J17"/>
    <WedgeCell ref="A18:J18"/>
    <WedgeCell ref="A19:J19"/>
  </WedgeCells>
  <phoneticPr fontId="14" type="noConversion"/>
  <pagemargins left="0.7" right="0.7" top="0.75" bottom="0.75" header="0.3" footer="0.3"/>
  <pageSetup paperSize="9" orientation="portrait" r:id="rId1"/>
  <tableParts count="3">
    <tablePart r:id="rId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Tue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594A0"/>
  </sheetPr>
  <dimension ref="A1:M676"/>
  <sheetViews>
    <sheetView showGridLines="0" topLeftCell="A42" zoomScale="90" zoomScaleNormal="90" workbookViewId="0">
      <selection sqref="A1:H1"/>
    </sheetView>
  </sheetViews>
  <sheetFormatPr defaultRowHeight="13.5"/>
  <cols>
    <col min="1" max="1" width="42.875" bestFit="1" customWidth="1"/>
    <col min="2" max="2" width="25" customWidth="1"/>
    <col min="3" max="4" width="31" customWidth="1"/>
    <col min="5" max="8" width="16" customWidth="1"/>
    <col min="10" max="10" width="42.875" bestFit="1" customWidth="1"/>
    <col min="11" max="12" width="23" customWidth="1"/>
    <col min="13" max="13" width="12" customWidth="1"/>
  </cols>
  <sheetData>
    <row r="1" spans="1:13" ht="21.4">
      <c r="A1" s="83" t="s">
        <v>134</v>
      </c>
      <c r="B1" s="82"/>
      <c r="C1" s="82"/>
      <c r="D1" s="82"/>
      <c r="E1" s="82"/>
      <c r="F1" s="82"/>
      <c r="G1" s="82"/>
      <c r="H1" s="82"/>
      <c r="I1" s="1"/>
      <c r="J1" s="1"/>
      <c r="K1" s="1"/>
      <c r="L1" s="1"/>
      <c r="M1" s="1"/>
    </row>
    <row r="2" spans="1:13">
      <c r="A2" s="82" t="s">
        <v>135</v>
      </c>
      <c r="B2" s="82"/>
      <c r="C2" s="82"/>
      <c r="D2" s="82"/>
      <c r="E2" s="82"/>
      <c r="F2" s="82"/>
      <c r="G2" s="82"/>
      <c r="H2" s="82"/>
      <c r="I2" s="1"/>
      <c r="J2" s="1"/>
      <c r="K2" s="1"/>
      <c r="L2" s="1"/>
      <c r="M2" s="1"/>
    </row>
    <row r="3" spans="1:13">
      <c r="A3" s="82" t="s">
        <v>136</v>
      </c>
      <c r="B3" s="82"/>
      <c r="C3" s="82"/>
      <c r="D3" s="82"/>
      <c r="E3" s="82"/>
      <c r="F3" s="82"/>
      <c r="G3" s="82"/>
      <c r="H3" s="82"/>
      <c r="I3" s="1"/>
      <c r="J3" s="1"/>
      <c r="K3" s="1"/>
      <c r="L3" s="1"/>
      <c r="M3" s="1"/>
    </row>
    <row r="4" spans="1:13">
      <c r="A4" s="1"/>
      <c r="B4" s="1"/>
      <c r="C4" s="1"/>
      <c r="D4" s="1"/>
      <c r="E4" s="1"/>
      <c r="F4" s="1"/>
      <c r="G4" s="1"/>
      <c r="H4" s="1"/>
      <c r="I4" s="1"/>
      <c r="J4" s="1"/>
      <c r="K4" s="1"/>
      <c r="L4" s="1"/>
      <c r="M4" s="1"/>
    </row>
    <row r="5" spans="1:13" ht="13.9">
      <c r="A5" s="3" t="s">
        <v>137</v>
      </c>
      <c r="B5" s="28" t="s">
        <v>138</v>
      </c>
      <c r="C5" s="28" t="s">
        <v>139</v>
      </c>
      <c r="D5" s="28" t="s">
        <v>140</v>
      </c>
      <c r="E5" t="s">
        <v>1100</v>
      </c>
      <c r="F5" t="s">
        <v>1101</v>
      </c>
      <c r="G5" t="s">
        <v>1102</v>
      </c>
      <c r="H5" s="1"/>
      <c r="I5" s="1"/>
      <c r="J5" s="3" t="s">
        <v>137</v>
      </c>
      <c r="K5" s="28" t="s">
        <v>141</v>
      </c>
      <c r="L5" s="28" t="s">
        <v>142</v>
      </c>
      <c r="M5" s="28" t="s">
        <v>143</v>
      </c>
    </row>
    <row r="6" spans="1:13">
      <c r="A6" s="27" t="s">
        <v>26</v>
      </c>
      <c r="B6" s="27" t="s">
        <v>25</v>
      </c>
      <c r="C6" s="27" t="s">
        <v>144</v>
      </c>
      <c r="D6" s="27" t="s">
        <v>145</v>
      </c>
      <c r="E6">
        <v>21.0245</v>
      </c>
      <c r="F6">
        <v>105.84117000000001</v>
      </c>
      <c r="G6" t="s">
        <v>27</v>
      </c>
      <c r="H6" s="1"/>
      <c r="I6" s="1"/>
      <c r="J6" s="27" t="s">
        <v>158</v>
      </c>
      <c r="K6" s="29">
        <v>46023</v>
      </c>
      <c r="L6" s="29">
        <v>47119</v>
      </c>
      <c r="M6" s="27">
        <v>4</v>
      </c>
    </row>
    <row r="7" spans="1:13">
      <c r="A7" s="27" t="s">
        <v>29</v>
      </c>
      <c r="B7" s="27" t="s">
        <v>28</v>
      </c>
      <c r="C7" s="27" t="s">
        <v>146</v>
      </c>
      <c r="D7" s="27" t="s">
        <v>147</v>
      </c>
      <c r="E7">
        <v>19.072825927739999</v>
      </c>
      <c r="F7">
        <v>72.882614135742188</v>
      </c>
      <c r="G7" t="s">
        <v>30</v>
      </c>
      <c r="H7" s="1"/>
      <c r="I7" s="1"/>
      <c r="J7" s="27" t="s">
        <v>162</v>
      </c>
      <c r="K7" s="29">
        <v>46023</v>
      </c>
      <c r="L7" s="29">
        <v>47119</v>
      </c>
      <c r="M7" s="27">
        <v>1</v>
      </c>
    </row>
    <row r="8" spans="1:13">
      <c r="A8" s="27" t="s">
        <v>32</v>
      </c>
      <c r="B8" s="27" t="s">
        <v>31</v>
      </c>
      <c r="C8" s="27" t="s">
        <v>148</v>
      </c>
      <c r="D8" s="27" t="s">
        <v>149</v>
      </c>
      <c r="E8">
        <v>53.900190000000002</v>
      </c>
      <c r="F8">
        <v>27.56653</v>
      </c>
      <c r="G8" t="s">
        <v>33</v>
      </c>
      <c r="H8" s="1"/>
      <c r="I8" s="1"/>
      <c r="J8" s="27" t="s">
        <v>166</v>
      </c>
      <c r="K8" s="29">
        <v>46023</v>
      </c>
      <c r="L8" s="29">
        <v>47119</v>
      </c>
      <c r="M8" s="27">
        <v>0</v>
      </c>
    </row>
    <row r="9" spans="1:13">
      <c r="A9" s="27" t="s">
        <v>35</v>
      </c>
      <c r="B9" s="27" t="s">
        <v>34</v>
      </c>
      <c r="C9" s="27" t="s">
        <v>150</v>
      </c>
      <c r="D9" s="27" t="s">
        <v>151</v>
      </c>
      <c r="E9">
        <v>41.891930000000002</v>
      </c>
      <c r="F9">
        <v>12.511329999999999</v>
      </c>
      <c r="G9" t="s">
        <v>36</v>
      </c>
      <c r="H9" s="1"/>
      <c r="I9" s="1"/>
      <c r="J9" s="27" t="s">
        <v>170</v>
      </c>
      <c r="K9" s="29">
        <v>46023</v>
      </c>
      <c r="L9" s="29">
        <v>47119</v>
      </c>
      <c r="M9" s="27">
        <v>3</v>
      </c>
    </row>
    <row r="10" spans="1:13">
      <c r="A10" s="27" t="s">
        <v>38</v>
      </c>
      <c r="B10" s="27" t="s">
        <v>37</v>
      </c>
      <c r="C10" s="27" t="s">
        <v>152</v>
      </c>
      <c r="D10" s="27" t="s">
        <v>153</v>
      </c>
      <c r="E10">
        <v>51.50853</v>
      </c>
      <c r="F10">
        <v>-0.12573999999999999</v>
      </c>
      <c r="G10" t="s">
        <v>1103</v>
      </c>
      <c r="H10" s="1"/>
      <c r="I10" s="1"/>
      <c r="J10" s="27" t="s">
        <v>174</v>
      </c>
      <c r="K10" s="29">
        <v>46023</v>
      </c>
      <c r="L10" s="29">
        <v>46116.6875</v>
      </c>
      <c r="M10" s="27">
        <v>10.5</v>
      </c>
    </row>
    <row r="11" spans="1:13">
      <c r="A11" s="27" t="s">
        <v>41</v>
      </c>
      <c r="B11" s="27" t="s">
        <v>40</v>
      </c>
      <c r="C11" s="27" t="s">
        <v>154</v>
      </c>
      <c r="D11" s="27" t="s">
        <v>155</v>
      </c>
      <c r="E11">
        <v>40.714269100000003</v>
      </c>
      <c r="F11">
        <v>-74.005972900000003</v>
      </c>
      <c r="G11" t="s">
        <v>42</v>
      </c>
      <c r="H11" s="1"/>
      <c r="I11" s="1"/>
      <c r="J11" s="27" t="s">
        <v>174</v>
      </c>
      <c r="K11" s="29">
        <v>46116.6875</v>
      </c>
      <c r="L11" s="29">
        <v>46298.6875</v>
      </c>
      <c r="M11" s="27">
        <v>9.5</v>
      </c>
    </row>
    <row r="12" spans="1:13">
      <c r="A12" s="27" t="s">
        <v>44</v>
      </c>
      <c r="B12" s="27" t="s">
        <v>43</v>
      </c>
      <c r="C12" s="27" t="s">
        <v>156</v>
      </c>
      <c r="D12" s="27" t="s">
        <v>157</v>
      </c>
      <c r="E12">
        <v>34.052230000000002</v>
      </c>
      <c r="F12">
        <v>-118.24368</v>
      </c>
      <c r="G12" t="s">
        <v>42</v>
      </c>
      <c r="H12" s="1"/>
      <c r="I12" s="1"/>
      <c r="J12" s="27" t="s">
        <v>174</v>
      </c>
      <c r="K12" s="29">
        <v>46298.6875</v>
      </c>
      <c r="L12" s="29">
        <v>46480.6875</v>
      </c>
      <c r="M12" s="27">
        <v>10.5</v>
      </c>
    </row>
    <row r="13" spans="1:13">
      <c r="A13" s="27" t="s">
        <v>158</v>
      </c>
      <c r="B13" s="27" t="s">
        <v>159</v>
      </c>
      <c r="C13" s="27" t="s">
        <v>160</v>
      </c>
      <c r="D13" s="27" t="s">
        <v>161</v>
      </c>
      <c r="E13">
        <v>24.451180000000001</v>
      </c>
      <c r="F13">
        <v>54.39696</v>
      </c>
      <c r="G13" t="s">
        <v>1104</v>
      </c>
      <c r="H13" s="1"/>
      <c r="I13" s="1"/>
      <c r="J13" s="27" t="s">
        <v>174</v>
      </c>
      <c r="K13" s="29">
        <v>46480.6875</v>
      </c>
      <c r="L13" s="29">
        <v>46662.6875</v>
      </c>
      <c r="M13" s="27">
        <v>9.5</v>
      </c>
    </row>
    <row r="14" spans="1:13">
      <c r="A14" s="27" t="s">
        <v>162</v>
      </c>
      <c r="B14" s="27" t="s">
        <v>163</v>
      </c>
      <c r="C14" s="27" t="s">
        <v>164</v>
      </c>
      <c r="D14" s="27" t="s">
        <v>165</v>
      </c>
      <c r="E14">
        <v>9.0578500000000002</v>
      </c>
      <c r="F14">
        <v>7.4950799999999997</v>
      </c>
      <c r="G14" t="s">
        <v>1105</v>
      </c>
      <c r="H14" s="1"/>
      <c r="I14" s="1"/>
      <c r="J14" s="27" t="s">
        <v>174</v>
      </c>
      <c r="K14" s="29">
        <v>46662.6875</v>
      </c>
      <c r="L14" s="29">
        <v>46844.6875</v>
      </c>
      <c r="M14" s="27">
        <v>10.5</v>
      </c>
    </row>
    <row r="15" spans="1:13">
      <c r="A15" s="27" t="s">
        <v>166</v>
      </c>
      <c r="B15" s="27" t="s">
        <v>167</v>
      </c>
      <c r="C15" s="27" t="s">
        <v>168</v>
      </c>
      <c r="D15" s="27" t="s">
        <v>169</v>
      </c>
      <c r="E15">
        <v>5.5560200000000002</v>
      </c>
      <c r="F15">
        <v>-0.19689999999999999</v>
      </c>
      <c r="G15" t="s">
        <v>1106</v>
      </c>
      <c r="H15" s="1"/>
      <c r="I15" s="1"/>
      <c r="J15" s="27" t="s">
        <v>174</v>
      </c>
      <c r="K15" s="29">
        <v>46844.6875</v>
      </c>
      <c r="L15" s="29">
        <v>47026.6875</v>
      </c>
      <c r="M15" s="27">
        <v>9.5</v>
      </c>
    </row>
    <row r="16" spans="1:13">
      <c r="A16" s="27" t="s">
        <v>170</v>
      </c>
      <c r="B16" s="27" t="s">
        <v>171</v>
      </c>
      <c r="C16" s="27" t="s">
        <v>172</v>
      </c>
      <c r="D16" s="27" t="s">
        <v>173</v>
      </c>
      <c r="E16">
        <v>9.0249699999999997</v>
      </c>
      <c r="F16">
        <v>38.74689</v>
      </c>
      <c r="G16" t="s">
        <v>1107</v>
      </c>
      <c r="H16" s="1"/>
      <c r="I16" s="1"/>
      <c r="J16" s="27" t="s">
        <v>174</v>
      </c>
      <c r="K16" s="29">
        <v>47026.6875</v>
      </c>
      <c r="L16" s="29">
        <v>47119</v>
      </c>
      <c r="M16" s="27">
        <v>10.5</v>
      </c>
    </row>
    <row r="17" spans="1:13">
      <c r="A17" s="27" t="s">
        <v>174</v>
      </c>
      <c r="B17" s="27" t="s">
        <v>175</v>
      </c>
      <c r="C17" s="27" t="s">
        <v>176</v>
      </c>
      <c r="D17" s="27" t="s">
        <v>177</v>
      </c>
      <c r="E17">
        <v>-34.928660000000001</v>
      </c>
      <c r="F17">
        <v>138.59863000000001</v>
      </c>
      <c r="G17" t="s">
        <v>1108</v>
      </c>
      <c r="H17" s="1"/>
      <c r="I17" s="1"/>
      <c r="J17" s="27" t="s">
        <v>178</v>
      </c>
      <c r="K17" s="29">
        <v>46023</v>
      </c>
      <c r="L17" s="29">
        <v>47119</v>
      </c>
      <c r="M17" s="27">
        <v>1</v>
      </c>
    </row>
    <row r="18" spans="1:13">
      <c r="A18" s="27" t="s">
        <v>178</v>
      </c>
      <c r="B18" s="27" t="s">
        <v>179</v>
      </c>
      <c r="C18" s="27" t="s">
        <v>164</v>
      </c>
      <c r="D18" s="27" t="s">
        <v>180</v>
      </c>
      <c r="E18">
        <v>36.732250000000001</v>
      </c>
      <c r="F18">
        <v>3.0874600000000001</v>
      </c>
      <c r="G18" t="s">
        <v>1109</v>
      </c>
      <c r="H18" s="1"/>
      <c r="I18" s="1"/>
      <c r="J18" s="27" t="s">
        <v>181</v>
      </c>
      <c r="K18" s="29">
        <v>46023</v>
      </c>
      <c r="L18" s="29">
        <v>47119</v>
      </c>
      <c r="M18" s="27">
        <v>3</v>
      </c>
    </row>
    <row r="19" spans="1:13">
      <c r="A19" s="27" t="s">
        <v>181</v>
      </c>
      <c r="B19" s="27" t="s">
        <v>182</v>
      </c>
      <c r="C19" s="27" t="s">
        <v>183</v>
      </c>
      <c r="D19" s="27" t="s">
        <v>184</v>
      </c>
      <c r="E19">
        <v>31.955220000000001</v>
      </c>
      <c r="F19">
        <v>35.945030000000003</v>
      </c>
      <c r="G19" t="s">
        <v>1110</v>
      </c>
      <c r="H19" s="1"/>
      <c r="I19" s="1"/>
      <c r="J19" s="27" t="s">
        <v>185</v>
      </c>
      <c r="K19" s="29">
        <v>46023</v>
      </c>
      <c r="L19" s="29">
        <v>46110.041666666664</v>
      </c>
      <c r="M19" s="27">
        <v>1</v>
      </c>
    </row>
    <row r="20" spans="1:13">
      <c r="A20" s="27" t="s">
        <v>185</v>
      </c>
      <c r="B20" s="27" t="s">
        <v>186</v>
      </c>
      <c r="C20" s="27" t="s">
        <v>150</v>
      </c>
      <c r="D20" s="27" t="s">
        <v>187</v>
      </c>
      <c r="E20">
        <v>52.374029999999998</v>
      </c>
      <c r="F20">
        <v>4.8896899999999999</v>
      </c>
      <c r="G20" t="s">
        <v>1111</v>
      </c>
      <c r="H20" s="1"/>
      <c r="I20" s="1"/>
      <c r="J20" s="27" t="s">
        <v>185</v>
      </c>
      <c r="K20" s="29">
        <v>46110.041666666664</v>
      </c>
      <c r="L20" s="29">
        <v>46320.041666666664</v>
      </c>
      <c r="M20" s="27">
        <v>2</v>
      </c>
    </row>
    <row r="21" spans="1:13">
      <c r="A21" s="27" t="s">
        <v>188</v>
      </c>
      <c r="B21" s="27" t="s">
        <v>189</v>
      </c>
      <c r="C21" s="27" t="s">
        <v>150</v>
      </c>
      <c r="D21" s="27" t="s">
        <v>190</v>
      </c>
      <c r="E21">
        <v>42.50779</v>
      </c>
      <c r="F21">
        <v>1.5210900000000001</v>
      </c>
      <c r="G21" t="s">
        <v>1112</v>
      </c>
      <c r="H21" s="1"/>
      <c r="I21" s="1"/>
      <c r="J21" s="27" t="s">
        <v>185</v>
      </c>
      <c r="K21" s="29">
        <v>46320.041666666664</v>
      </c>
      <c r="L21" s="29">
        <v>46474.041666666664</v>
      </c>
      <c r="M21" s="27">
        <v>1</v>
      </c>
    </row>
    <row r="22" spans="1:13">
      <c r="A22" s="27" t="s">
        <v>191</v>
      </c>
      <c r="B22" s="27" t="s">
        <v>192</v>
      </c>
      <c r="C22" s="27" t="s">
        <v>193</v>
      </c>
      <c r="D22" s="27" t="s">
        <v>194</v>
      </c>
      <c r="E22">
        <v>39.919870000000003</v>
      </c>
      <c r="F22">
        <v>32.85427</v>
      </c>
      <c r="G22" t="s">
        <v>1113</v>
      </c>
      <c r="H22" s="1"/>
      <c r="I22" s="1"/>
      <c r="J22" s="27" t="s">
        <v>185</v>
      </c>
      <c r="K22" s="29">
        <v>46474.041666666664</v>
      </c>
      <c r="L22" s="29">
        <v>46691.041666666664</v>
      </c>
      <c r="M22" s="27">
        <v>2</v>
      </c>
    </row>
    <row r="23" spans="1:13">
      <c r="A23" s="27" t="s">
        <v>195</v>
      </c>
      <c r="B23" s="27" t="s">
        <v>196</v>
      </c>
      <c r="C23" s="27" t="s">
        <v>172</v>
      </c>
      <c r="D23" s="27" t="s">
        <v>197</v>
      </c>
      <c r="E23">
        <v>-18.913679999999999</v>
      </c>
      <c r="F23">
        <v>47.53613</v>
      </c>
      <c r="G23" t="s">
        <v>1114</v>
      </c>
      <c r="H23" s="1"/>
      <c r="I23" s="1"/>
      <c r="J23" s="27" t="s">
        <v>185</v>
      </c>
      <c r="K23" s="29">
        <v>46691.041666666664</v>
      </c>
      <c r="L23" s="29">
        <v>46838.041666666664</v>
      </c>
      <c r="M23" s="27">
        <v>1</v>
      </c>
    </row>
    <row r="24" spans="1:13">
      <c r="A24" s="27" t="s">
        <v>198</v>
      </c>
      <c r="B24" s="27" t="s">
        <v>199</v>
      </c>
      <c r="C24" s="27" t="s">
        <v>200</v>
      </c>
      <c r="D24" s="27" t="s">
        <v>201</v>
      </c>
      <c r="E24">
        <v>-16.398990000000001</v>
      </c>
      <c r="F24">
        <v>-71.537469999999999</v>
      </c>
      <c r="G24" t="s">
        <v>1115</v>
      </c>
      <c r="H24" s="1"/>
      <c r="I24" s="1"/>
      <c r="J24" s="27" t="s">
        <v>185</v>
      </c>
      <c r="K24" s="29">
        <v>46838.041666666664</v>
      </c>
      <c r="L24" s="29">
        <v>47055.041666666664</v>
      </c>
      <c r="M24" s="27">
        <v>2</v>
      </c>
    </row>
    <row r="25" spans="1:13">
      <c r="A25" s="27" t="s">
        <v>202</v>
      </c>
      <c r="B25" s="27" t="s">
        <v>203</v>
      </c>
      <c r="C25" s="27" t="s">
        <v>204</v>
      </c>
      <c r="D25" s="27" t="s">
        <v>205</v>
      </c>
      <c r="E25">
        <v>37.950000000000003</v>
      </c>
      <c r="F25">
        <v>58.383330000000001</v>
      </c>
      <c r="G25" t="s">
        <v>1116</v>
      </c>
      <c r="H25" s="1"/>
      <c r="I25" s="1"/>
      <c r="J25" s="27" t="s">
        <v>185</v>
      </c>
      <c r="K25" s="29">
        <v>47055.041666666664</v>
      </c>
      <c r="L25" s="29">
        <v>47119</v>
      </c>
      <c r="M25" s="27">
        <v>1</v>
      </c>
    </row>
    <row r="26" spans="1:13">
      <c r="A26" s="27" t="s">
        <v>206</v>
      </c>
      <c r="B26" s="27" t="s">
        <v>207</v>
      </c>
      <c r="C26" s="27" t="s">
        <v>208</v>
      </c>
      <c r="D26" s="27" t="s">
        <v>209</v>
      </c>
      <c r="E26">
        <v>51.180100000000003</v>
      </c>
      <c r="F26">
        <v>71.445980000000006</v>
      </c>
      <c r="G26" t="s">
        <v>1117</v>
      </c>
      <c r="H26" s="1"/>
      <c r="I26" s="1"/>
      <c r="J26" s="27" t="s">
        <v>188</v>
      </c>
      <c r="K26" s="29">
        <v>46023</v>
      </c>
      <c r="L26" s="29">
        <v>46110.041666666664</v>
      </c>
      <c r="M26" s="27">
        <v>1</v>
      </c>
    </row>
    <row r="27" spans="1:13">
      <c r="A27" s="27" t="s">
        <v>210</v>
      </c>
      <c r="B27" s="27" t="s">
        <v>211</v>
      </c>
      <c r="C27" s="27" t="s">
        <v>212</v>
      </c>
      <c r="D27" s="27" t="s">
        <v>213</v>
      </c>
      <c r="E27">
        <v>-25.286460000000002</v>
      </c>
      <c r="F27">
        <v>-57.646999999999998</v>
      </c>
      <c r="G27" t="s">
        <v>1118</v>
      </c>
      <c r="H27" s="1"/>
      <c r="I27" s="1"/>
      <c r="J27" s="27" t="s">
        <v>188</v>
      </c>
      <c r="K27" s="29">
        <v>46110.041666666664</v>
      </c>
      <c r="L27" s="29">
        <v>46320.041666666664</v>
      </c>
      <c r="M27" s="27">
        <v>2</v>
      </c>
    </row>
    <row r="28" spans="1:13">
      <c r="A28" s="27" t="s">
        <v>214</v>
      </c>
      <c r="B28" s="27" t="s">
        <v>215</v>
      </c>
      <c r="C28" s="27" t="s">
        <v>216</v>
      </c>
      <c r="D28" s="27" t="s">
        <v>217</v>
      </c>
      <c r="E28">
        <v>37.983759999999997</v>
      </c>
      <c r="F28">
        <v>23.72784</v>
      </c>
      <c r="G28" t="s">
        <v>1119</v>
      </c>
      <c r="H28" s="1"/>
      <c r="I28" s="1"/>
      <c r="J28" s="27" t="s">
        <v>188</v>
      </c>
      <c r="K28" s="29">
        <v>46320.041666666664</v>
      </c>
      <c r="L28" s="29">
        <v>46474.041666666664</v>
      </c>
      <c r="M28" s="27">
        <v>1</v>
      </c>
    </row>
    <row r="29" spans="1:13">
      <c r="A29" s="27" t="s">
        <v>218</v>
      </c>
      <c r="B29" s="27" t="s">
        <v>219</v>
      </c>
      <c r="C29" s="27" t="s">
        <v>220</v>
      </c>
      <c r="D29" s="27" t="s">
        <v>221</v>
      </c>
      <c r="E29">
        <v>33.340580000000003</v>
      </c>
      <c r="F29">
        <v>44.400880000000001</v>
      </c>
      <c r="G29" t="s">
        <v>1120</v>
      </c>
      <c r="H29" s="1"/>
      <c r="I29" s="1"/>
      <c r="J29" s="27" t="s">
        <v>188</v>
      </c>
      <c r="K29" s="29">
        <v>46474.041666666664</v>
      </c>
      <c r="L29" s="29">
        <v>46691.041666666664</v>
      </c>
      <c r="M29" s="27">
        <v>2</v>
      </c>
    </row>
    <row r="30" spans="1:13">
      <c r="A30" s="27" t="s">
        <v>222</v>
      </c>
      <c r="B30" s="27" t="s">
        <v>223</v>
      </c>
      <c r="C30" s="27" t="s">
        <v>224</v>
      </c>
      <c r="D30" s="27" t="s">
        <v>225</v>
      </c>
      <c r="E30">
        <v>40.377670000000002</v>
      </c>
      <c r="F30">
        <v>49.892009999999999</v>
      </c>
      <c r="G30" t="s">
        <v>1121</v>
      </c>
      <c r="H30" s="1"/>
      <c r="I30" s="1"/>
      <c r="J30" s="27" t="s">
        <v>188</v>
      </c>
      <c r="K30" s="29">
        <v>46691.041666666664</v>
      </c>
      <c r="L30" s="29">
        <v>46838.041666666664</v>
      </c>
      <c r="M30" s="27">
        <v>1</v>
      </c>
    </row>
    <row r="31" spans="1:13">
      <c r="A31" s="27" t="s">
        <v>226</v>
      </c>
      <c r="B31" s="27" t="s">
        <v>227</v>
      </c>
      <c r="C31" s="27" t="s">
        <v>168</v>
      </c>
      <c r="D31" s="27" t="s">
        <v>228</v>
      </c>
      <c r="E31">
        <v>12.60915</v>
      </c>
      <c r="F31">
        <v>-7.9752200000000002</v>
      </c>
      <c r="G31" t="s">
        <v>1122</v>
      </c>
      <c r="H31" s="1"/>
      <c r="I31" s="1"/>
      <c r="J31" s="27" t="s">
        <v>188</v>
      </c>
      <c r="K31" s="29">
        <v>46838.041666666664</v>
      </c>
      <c r="L31" s="29">
        <v>47055.041666666664</v>
      </c>
      <c r="M31" s="27">
        <v>2</v>
      </c>
    </row>
    <row r="32" spans="1:13">
      <c r="A32" s="27" t="s">
        <v>229</v>
      </c>
      <c r="B32" s="27" t="s">
        <v>230</v>
      </c>
      <c r="C32" s="27" t="s">
        <v>144</v>
      </c>
      <c r="D32" s="27" t="s">
        <v>231</v>
      </c>
      <c r="E32">
        <v>-6.9222200000000003</v>
      </c>
      <c r="F32">
        <v>107.60693999999999</v>
      </c>
      <c r="G32" t="s">
        <v>1123</v>
      </c>
      <c r="H32" s="1"/>
      <c r="I32" s="1"/>
      <c r="J32" s="27" t="s">
        <v>188</v>
      </c>
      <c r="K32" s="29">
        <v>47055.041666666664</v>
      </c>
      <c r="L32" s="29">
        <v>47119</v>
      </c>
      <c r="M32" s="27">
        <v>1</v>
      </c>
    </row>
    <row r="33" spans="1:13">
      <c r="A33" s="27" t="s">
        <v>232</v>
      </c>
      <c r="B33" s="27" t="s">
        <v>233</v>
      </c>
      <c r="C33" s="27" t="s">
        <v>144</v>
      </c>
      <c r="D33" s="27" t="s">
        <v>145</v>
      </c>
      <c r="E33">
        <v>13.75398</v>
      </c>
      <c r="F33">
        <v>100.50144</v>
      </c>
      <c r="G33" t="s">
        <v>1124</v>
      </c>
      <c r="H33" s="1"/>
      <c r="I33" s="1"/>
      <c r="J33" s="27" t="s">
        <v>191</v>
      </c>
      <c r="K33" s="29">
        <v>46023</v>
      </c>
      <c r="L33" s="29">
        <v>47119</v>
      </c>
      <c r="M33" s="27">
        <v>3</v>
      </c>
    </row>
    <row r="34" spans="1:13">
      <c r="A34" s="27" t="s">
        <v>234</v>
      </c>
      <c r="B34" s="27" t="s">
        <v>235</v>
      </c>
      <c r="C34" s="27" t="s">
        <v>236</v>
      </c>
      <c r="D34" s="27" t="s">
        <v>237</v>
      </c>
      <c r="E34">
        <v>41.38879</v>
      </c>
      <c r="F34">
        <v>2.1589900000000002</v>
      </c>
      <c r="G34" t="s">
        <v>1125</v>
      </c>
      <c r="H34" s="1"/>
      <c r="I34" s="1"/>
      <c r="J34" s="27" t="s">
        <v>195</v>
      </c>
      <c r="K34" s="29">
        <v>46023</v>
      </c>
      <c r="L34" s="29">
        <v>47119</v>
      </c>
      <c r="M34" s="27">
        <v>3</v>
      </c>
    </row>
    <row r="35" spans="1:13">
      <c r="A35" s="27" t="s">
        <v>238</v>
      </c>
      <c r="B35" s="27" t="s">
        <v>239</v>
      </c>
      <c r="C35" s="27" t="s">
        <v>240</v>
      </c>
      <c r="D35" s="27" t="s">
        <v>241</v>
      </c>
      <c r="E35">
        <v>39.907499999999999</v>
      </c>
      <c r="F35">
        <v>116.39722999999999</v>
      </c>
      <c r="G35" t="s">
        <v>898</v>
      </c>
      <c r="H35" s="1"/>
      <c r="I35" s="1"/>
      <c r="J35" s="27" t="s">
        <v>198</v>
      </c>
      <c r="K35" s="29">
        <v>46023</v>
      </c>
      <c r="L35" s="29">
        <v>47119</v>
      </c>
      <c r="M35" s="27">
        <v>-5</v>
      </c>
    </row>
    <row r="36" spans="1:13">
      <c r="A36" s="27" t="s">
        <v>242</v>
      </c>
      <c r="B36" s="27" t="s">
        <v>243</v>
      </c>
      <c r="C36" s="27" t="s">
        <v>244</v>
      </c>
      <c r="D36" s="27" t="s">
        <v>245</v>
      </c>
      <c r="E36">
        <v>33.893320000000003</v>
      </c>
      <c r="F36">
        <v>35.501570000000001</v>
      </c>
      <c r="G36" t="s">
        <v>1126</v>
      </c>
      <c r="H36" s="1"/>
      <c r="I36" s="1"/>
      <c r="J36" s="27" t="s">
        <v>202</v>
      </c>
      <c r="K36" s="29">
        <v>46023</v>
      </c>
      <c r="L36" s="29">
        <v>47119</v>
      </c>
      <c r="M36" s="27">
        <v>5</v>
      </c>
    </row>
    <row r="37" spans="1:13">
      <c r="A37" s="27" t="s">
        <v>246</v>
      </c>
      <c r="B37" s="27" t="s">
        <v>247</v>
      </c>
      <c r="C37" s="27" t="s">
        <v>144</v>
      </c>
      <c r="D37" s="27" t="s">
        <v>231</v>
      </c>
      <c r="E37">
        <v>-6.2348999999999997</v>
      </c>
      <c r="F37">
        <v>106.9896</v>
      </c>
      <c r="G37" t="s">
        <v>1123</v>
      </c>
      <c r="H37" s="1"/>
      <c r="I37" s="1"/>
      <c r="J37" s="27" t="s">
        <v>206</v>
      </c>
      <c r="K37" s="29">
        <v>46023</v>
      </c>
      <c r="L37" s="29">
        <v>47119</v>
      </c>
      <c r="M37" s="27">
        <v>6</v>
      </c>
    </row>
    <row r="38" spans="1:13">
      <c r="A38" s="27" t="s">
        <v>248</v>
      </c>
      <c r="B38" s="27" t="s">
        <v>249</v>
      </c>
      <c r="C38" s="27" t="s">
        <v>250</v>
      </c>
      <c r="D38" s="27" t="s">
        <v>251</v>
      </c>
      <c r="E38">
        <v>44.804009999999998</v>
      </c>
      <c r="F38">
        <v>20.465129999999998</v>
      </c>
      <c r="G38" t="s">
        <v>1127</v>
      </c>
      <c r="H38" s="1"/>
      <c r="I38" s="1"/>
      <c r="J38" s="27" t="s">
        <v>210</v>
      </c>
      <c r="K38" s="29">
        <v>46023</v>
      </c>
      <c r="L38" s="29">
        <v>47119</v>
      </c>
      <c r="M38" s="27">
        <v>-3</v>
      </c>
    </row>
    <row r="39" spans="1:13">
      <c r="A39" s="27" t="s">
        <v>252</v>
      </c>
      <c r="B39" s="27" t="s">
        <v>253</v>
      </c>
      <c r="C39" s="27" t="s">
        <v>254</v>
      </c>
      <c r="D39" s="27" t="s">
        <v>255</v>
      </c>
      <c r="E39">
        <v>-1.45583</v>
      </c>
      <c r="F39">
        <v>-48.504440000000002</v>
      </c>
      <c r="G39" t="s">
        <v>1128</v>
      </c>
      <c r="H39" s="1"/>
      <c r="I39" s="1"/>
      <c r="J39" s="27" t="s">
        <v>214</v>
      </c>
      <c r="K39" s="29">
        <v>46023</v>
      </c>
      <c r="L39" s="29">
        <v>46110.041666666664</v>
      </c>
      <c r="M39" s="27">
        <v>2</v>
      </c>
    </row>
    <row r="40" spans="1:13">
      <c r="A40" s="27" t="s">
        <v>256</v>
      </c>
      <c r="B40" s="27" t="s">
        <v>257</v>
      </c>
      <c r="C40" s="27" t="s">
        <v>150</v>
      </c>
      <c r="D40" s="27" t="s">
        <v>258</v>
      </c>
      <c r="E40">
        <v>52.524369999999998</v>
      </c>
      <c r="F40">
        <v>13.41053</v>
      </c>
      <c r="G40" t="s">
        <v>1129</v>
      </c>
      <c r="H40" s="1"/>
      <c r="I40" s="1"/>
      <c r="J40" s="27" t="s">
        <v>214</v>
      </c>
      <c r="K40" s="29">
        <v>46110.041666666664</v>
      </c>
      <c r="L40" s="29">
        <v>46320.041666666664</v>
      </c>
      <c r="M40" s="27">
        <v>3</v>
      </c>
    </row>
    <row r="41" spans="1:13">
      <c r="A41" s="27" t="s">
        <v>259</v>
      </c>
      <c r="B41" s="27" t="s">
        <v>260</v>
      </c>
      <c r="C41" s="27" t="s">
        <v>150</v>
      </c>
      <c r="D41" s="27" t="s">
        <v>261</v>
      </c>
      <c r="E41">
        <v>46.948090000000001</v>
      </c>
      <c r="F41">
        <v>7.4474400000000003</v>
      </c>
      <c r="G41" t="s">
        <v>1130</v>
      </c>
      <c r="H41" s="1"/>
      <c r="I41" s="1"/>
      <c r="J41" s="27" t="s">
        <v>214</v>
      </c>
      <c r="K41" s="29">
        <v>46320.041666666664</v>
      </c>
      <c r="L41" s="29">
        <v>46474.041666666664</v>
      </c>
      <c r="M41" s="27">
        <v>2</v>
      </c>
    </row>
    <row r="42" spans="1:13">
      <c r="A42" s="27" t="s">
        <v>262</v>
      </c>
      <c r="B42" s="27" t="s">
        <v>263</v>
      </c>
      <c r="C42" s="27" t="s">
        <v>144</v>
      </c>
      <c r="D42" s="27" t="s">
        <v>264</v>
      </c>
      <c r="E42">
        <v>10.94469</v>
      </c>
      <c r="F42">
        <v>106.82432</v>
      </c>
      <c r="G42" t="s">
        <v>27</v>
      </c>
      <c r="H42" s="1"/>
      <c r="I42" s="1"/>
      <c r="J42" s="27" t="s">
        <v>214</v>
      </c>
      <c r="K42" s="29">
        <v>46474.041666666664</v>
      </c>
      <c r="L42" s="29">
        <v>46691.041666666664</v>
      </c>
      <c r="M42" s="27">
        <v>3</v>
      </c>
    </row>
    <row r="43" spans="1:13">
      <c r="A43" s="27" t="s">
        <v>265</v>
      </c>
      <c r="B43" s="27" t="s">
        <v>266</v>
      </c>
      <c r="C43" s="27" t="s">
        <v>200</v>
      </c>
      <c r="D43" s="27" t="s">
        <v>267</v>
      </c>
      <c r="E43">
        <v>4.6097099999999998</v>
      </c>
      <c r="F43">
        <v>-74.08175</v>
      </c>
      <c r="G43" t="s">
        <v>1131</v>
      </c>
      <c r="H43" s="1"/>
      <c r="I43" s="1"/>
      <c r="J43" s="27" t="s">
        <v>214</v>
      </c>
      <c r="K43" s="29">
        <v>46691.041666666664</v>
      </c>
      <c r="L43" s="29">
        <v>46838.041666666664</v>
      </c>
      <c r="M43" s="27">
        <v>2</v>
      </c>
    </row>
    <row r="44" spans="1:13">
      <c r="A44" s="27" t="s">
        <v>268</v>
      </c>
      <c r="B44" s="27" t="s">
        <v>269</v>
      </c>
      <c r="C44" s="27" t="s">
        <v>150</v>
      </c>
      <c r="D44" s="27" t="s">
        <v>151</v>
      </c>
      <c r="E44">
        <v>44.493810000000003</v>
      </c>
      <c r="F44">
        <v>11.338749999999999</v>
      </c>
      <c r="G44" t="s">
        <v>36</v>
      </c>
      <c r="H44" s="1"/>
      <c r="I44" s="1"/>
      <c r="J44" s="27" t="s">
        <v>214</v>
      </c>
      <c r="K44" s="29">
        <v>46838.041666666664</v>
      </c>
      <c r="L44" s="29">
        <v>47055.041666666664</v>
      </c>
      <c r="M44" s="27">
        <v>3</v>
      </c>
    </row>
    <row r="45" spans="1:13">
      <c r="A45" s="27" t="s">
        <v>270</v>
      </c>
      <c r="B45" s="27" t="s">
        <v>271</v>
      </c>
      <c r="C45" s="27" t="s">
        <v>272</v>
      </c>
      <c r="D45" s="27" t="s">
        <v>273</v>
      </c>
      <c r="E45">
        <v>-15.779719999999999</v>
      </c>
      <c r="F45">
        <v>-47.929720000000003</v>
      </c>
      <c r="G45" t="s">
        <v>1128</v>
      </c>
      <c r="H45" s="1"/>
      <c r="I45" s="1"/>
      <c r="J45" s="27" t="s">
        <v>214</v>
      </c>
      <c r="K45" s="29">
        <v>47055.041666666664</v>
      </c>
      <c r="L45" s="29">
        <v>47119</v>
      </c>
      <c r="M45" s="27">
        <v>2</v>
      </c>
    </row>
    <row r="46" spans="1:13">
      <c r="A46" s="27" t="s">
        <v>274</v>
      </c>
      <c r="B46" s="27" t="s">
        <v>275</v>
      </c>
      <c r="C46" s="27" t="s">
        <v>250</v>
      </c>
      <c r="D46" s="27" t="s">
        <v>276</v>
      </c>
      <c r="E46">
        <v>48.148159999999997</v>
      </c>
      <c r="F46">
        <v>17.106739999999999</v>
      </c>
      <c r="G46" t="s">
        <v>1132</v>
      </c>
      <c r="H46" s="1"/>
      <c r="I46" s="1"/>
      <c r="J46" s="27" t="s">
        <v>218</v>
      </c>
      <c r="K46" s="29">
        <v>46023</v>
      </c>
      <c r="L46" s="29">
        <v>47119</v>
      </c>
      <c r="M46" s="27">
        <v>3</v>
      </c>
    </row>
    <row r="47" spans="1:13">
      <c r="A47" s="27" t="s">
        <v>277</v>
      </c>
      <c r="B47" s="27" t="s">
        <v>278</v>
      </c>
      <c r="C47" s="27" t="s">
        <v>164</v>
      </c>
      <c r="D47" s="27" t="s">
        <v>279</v>
      </c>
      <c r="E47">
        <v>-4.2661300000000004</v>
      </c>
      <c r="F47">
        <v>15.28318</v>
      </c>
      <c r="G47" t="s">
        <v>1133</v>
      </c>
      <c r="H47" s="1"/>
      <c r="I47" s="1"/>
      <c r="J47" s="27" t="s">
        <v>222</v>
      </c>
      <c r="K47" s="29">
        <v>46023</v>
      </c>
      <c r="L47" s="29">
        <v>47119</v>
      </c>
      <c r="M47" s="27">
        <v>4</v>
      </c>
    </row>
    <row r="48" spans="1:13">
      <c r="A48" s="27" t="s">
        <v>280</v>
      </c>
      <c r="B48" s="27" t="s">
        <v>281</v>
      </c>
      <c r="C48" s="27" t="s">
        <v>282</v>
      </c>
      <c r="D48" s="27" t="s">
        <v>283</v>
      </c>
      <c r="E48">
        <v>-27.467939999999999</v>
      </c>
      <c r="F48">
        <v>153.02808999999999</v>
      </c>
      <c r="G48" t="s">
        <v>1108</v>
      </c>
      <c r="H48" s="1"/>
      <c r="I48" s="1"/>
      <c r="J48" s="27" t="s">
        <v>226</v>
      </c>
      <c r="K48" s="29">
        <v>46023</v>
      </c>
      <c r="L48" s="29">
        <v>47119</v>
      </c>
      <c r="M48" s="27">
        <v>0</v>
      </c>
    </row>
    <row r="49" spans="1:13">
      <c r="A49" s="27" t="s">
        <v>284</v>
      </c>
      <c r="B49" s="27" t="s">
        <v>285</v>
      </c>
      <c r="C49" s="27" t="s">
        <v>250</v>
      </c>
      <c r="D49" s="27" t="s">
        <v>286</v>
      </c>
      <c r="E49">
        <v>49.195219999999999</v>
      </c>
      <c r="F49">
        <v>16.607959999999999</v>
      </c>
      <c r="G49" t="s">
        <v>1134</v>
      </c>
      <c r="H49" s="1"/>
      <c r="I49" s="1"/>
      <c r="J49" s="27" t="s">
        <v>229</v>
      </c>
      <c r="K49" s="29">
        <v>46023</v>
      </c>
      <c r="L49" s="29">
        <v>47119</v>
      </c>
      <c r="M49" s="27">
        <v>7</v>
      </c>
    </row>
    <row r="50" spans="1:13">
      <c r="A50" s="27" t="s">
        <v>287</v>
      </c>
      <c r="B50" s="27" t="s">
        <v>288</v>
      </c>
      <c r="C50" s="27" t="s">
        <v>236</v>
      </c>
      <c r="D50" s="27" t="s">
        <v>289</v>
      </c>
      <c r="E50">
        <v>51.208919999999999</v>
      </c>
      <c r="F50">
        <v>3.22424</v>
      </c>
      <c r="G50" t="s">
        <v>1135</v>
      </c>
      <c r="H50" s="1"/>
      <c r="I50" s="1"/>
      <c r="J50" s="27" t="s">
        <v>232</v>
      </c>
      <c r="K50" s="29">
        <v>46023</v>
      </c>
      <c r="L50" s="29">
        <v>47119</v>
      </c>
      <c r="M50" s="27">
        <v>7</v>
      </c>
    </row>
    <row r="51" spans="1:13">
      <c r="A51" s="27" t="s">
        <v>290</v>
      </c>
      <c r="B51" s="27" t="s">
        <v>291</v>
      </c>
      <c r="C51" s="27" t="s">
        <v>236</v>
      </c>
      <c r="D51" s="27" t="s">
        <v>289</v>
      </c>
      <c r="E51">
        <v>50.850450000000002</v>
      </c>
      <c r="F51">
        <v>4.3487799999999996</v>
      </c>
      <c r="G51" t="s">
        <v>1135</v>
      </c>
      <c r="H51" s="1"/>
      <c r="I51" s="1"/>
      <c r="J51" s="27" t="s">
        <v>234</v>
      </c>
      <c r="K51" s="29">
        <v>46023</v>
      </c>
      <c r="L51" s="29">
        <v>46110.041666666664</v>
      </c>
      <c r="M51" s="27">
        <v>1</v>
      </c>
    </row>
    <row r="52" spans="1:13">
      <c r="A52" s="27" t="s">
        <v>292</v>
      </c>
      <c r="B52" s="27" t="s">
        <v>293</v>
      </c>
      <c r="C52" s="27" t="s">
        <v>216</v>
      </c>
      <c r="D52" s="27" t="s">
        <v>294</v>
      </c>
      <c r="E52">
        <v>44.432250000000003</v>
      </c>
      <c r="F52">
        <v>26.106259999999999</v>
      </c>
      <c r="G52" t="s">
        <v>1136</v>
      </c>
      <c r="H52" s="1"/>
      <c r="I52" s="1"/>
      <c r="J52" s="27" t="s">
        <v>234</v>
      </c>
      <c r="K52" s="29">
        <v>46110.041666666664</v>
      </c>
      <c r="L52" s="29">
        <v>46320.041666666664</v>
      </c>
      <c r="M52" s="27">
        <v>2</v>
      </c>
    </row>
    <row r="53" spans="1:13">
      <c r="A53" s="27" t="s">
        <v>295</v>
      </c>
      <c r="B53" s="27" t="s">
        <v>296</v>
      </c>
      <c r="C53" s="27" t="s">
        <v>250</v>
      </c>
      <c r="D53" s="27" t="s">
        <v>297</v>
      </c>
      <c r="E53">
        <v>47.498350000000002</v>
      </c>
      <c r="F53">
        <v>19.04045</v>
      </c>
      <c r="G53" t="s">
        <v>1137</v>
      </c>
      <c r="H53" s="1"/>
      <c r="I53" s="1"/>
      <c r="J53" s="27" t="s">
        <v>234</v>
      </c>
      <c r="K53" s="29">
        <v>46320.041666666664</v>
      </c>
      <c r="L53" s="29">
        <v>46474.041666666664</v>
      </c>
      <c r="M53" s="27">
        <v>1</v>
      </c>
    </row>
    <row r="54" spans="1:13">
      <c r="A54" s="27" t="s">
        <v>298</v>
      </c>
      <c r="B54" s="27" t="s">
        <v>299</v>
      </c>
      <c r="C54" s="27" t="s">
        <v>300</v>
      </c>
      <c r="D54" s="27" t="s">
        <v>301</v>
      </c>
      <c r="E54">
        <v>-34.613149999999997</v>
      </c>
      <c r="F54">
        <v>-58.377229999999997</v>
      </c>
      <c r="G54" t="s">
        <v>1138</v>
      </c>
      <c r="H54" s="1"/>
      <c r="I54" s="1"/>
      <c r="J54" s="27" t="s">
        <v>234</v>
      </c>
      <c r="K54" s="29">
        <v>46474.041666666664</v>
      </c>
      <c r="L54" s="29">
        <v>46691.041666666664</v>
      </c>
      <c r="M54" s="27">
        <v>2</v>
      </c>
    </row>
    <row r="55" spans="1:13">
      <c r="A55" s="27" t="s">
        <v>302</v>
      </c>
      <c r="B55" s="27" t="s">
        <v>303</v>
      </c>
      <c r="C55" s="27" t="s">
        <v>304</v>
      </c>
      <c r="D55" s="27" t="s">
        <v>305</v>
      </c>
      <c r="E55">
        <v>30.062629999999999</v>
      </c>
      <c r="F55">
        <v>31.249669999999998</v>
      </c>
      <c r="G55" t="s">
        <v>1139</v>
      </c>
      <c r="H55" s="1"/>
      <c r="I55" s="1"/>
      <c r="J55" s="27" t="s">
        <v>234</v>
      </c>
      <c r="K55" s="29">
        <v>46691.041666666664</v>
      </c>
      <c r="L55" s="29">
        <v>46838.041666666664</v>
      </c>
      <c r="M55" s="27">
        <v>1</v>
      </c>
    </row>
    <row r="56" spans="1:13">
      <c r="A56" s="27" t="s">
        <v>306</v>
      </c>
      <c r="B56" s="27" t="s">
        <v>307</v>
      </c>
      <c r="C56" s="27" t="s">
        <v>200</v>
      </c>
      <c r="D56" s="27" t="s">
        <v>267</v>
      </c>
      <c r="E56">
        <v>3.4305400000000001</v>
      </c>
      <c r="F56">
        <v>-76.519900000000007</v>
      </c>
      <c r="G56" t="s">
        <v>1131</v>
      </c>
      <c r="H56" s="1"/>
      <c r="I56" s="1"/>
      <c r="J56" s="27" t="s">
        <v>234</v>
      </c>
      <c r="K56" s="29">
        <v>46838.041666666664</v>
      </c>
      <c r="L56" s="29">
        <v>47055.041666666664</v>
      </c>
      <c r="M56" s="27">
        <v>2</v>
      </c>
    </row>
    <row r="57" spans="1:13">
      <c r="A57" s="27" t="s">
        <v>308</v>
      </c>
      <c r="B57" s="27" t="s">
        <v>309</v>
      </c>
      <c r="C57" s="27" t="s">
        <v>310</v>
      </c>
      <c r="D57" s="27" t="s">
        <v>311</v>
      </c>
      <c r="E57">
        <v>-35.283459999999998</v>
      </c>
      <c r="F57">
        <v>149.12807000000001</v>
      </c>
      <c r="G57" t="s">
        <v>1108</v>
      </c>
      <c r="H57" s="1"/>
      <c r="I57" s="1"/>
      <c r="J57" s="27" t="s">
        <v>234</v>
      </c>
      <c r="K57" s="29">
        <v>47055.041666666664</v>
      </c>
      <c r="L57" s="29">
        <v>47119</v>
      </c>
      <c r="M57" s="27">
        <v>1</v>
      </c>
    </row>
    <row r="58" spans="1:13">
      <c r="A58" s="27" t="s">
        <v>312</v>
      </c>
      <c r="B58" s="27" t="s">
        <v>313</v>
      </c>
      <c r="C58" s="27" t="s">
        <v>314</v>
      </c>
      <c r="D58" s="27" t="s">
        <v>315</v>
      </c>
      <c r="E58">
        <v>10.488009999999999</v>
      </c>
      <c r="F58">
        <v>-66.879189999999994</v>
      </c>
      <c r="G58" t="s">
        <v>1140</v>
      </c>
      <c r="H58" s="1"/>
      <c r="I58" s="1"/>
      <c r="J58" s="27" t="s">
        <v>238</v>
      </c>
      <c r="K58" s="29">
        <v>46023</v>
      </c>
      <c r="L58" s="29">
        <v>47119</v>
      </c>
      <c r="M58" s="27">
        <v>8</v>
      </c>
    </row>
    <row r="59" spans="1:13">
      <c r="A59" s="27" t="s">
        <v>316</v>
      </c>
      <c r="B59" s="27" t="s">
        <v>317</v>
      </c>
      <c r="C59" s="27" t="s">
        <v>200</v>
      </c>
      <c r="D59" s="27" t="s">
        <v>267</v>
      </c>
      <c r="E59">
        <v>10.39817</v>
      </c>
      <c r="F59">
        <v>-75.493279999999999</v>
      </c>
      <c r="G59" t="s">
        <v>1131</v>
      </c>
      <c r="H59" s="1"/>
      <c r="I59" s="1"/>
      <c r="J59" s="27" t="s">
        <v>242</v>
      </c>
      <c r="K59" s="29">
        <v>46023</v>
      </c>
      <c r="L59" s="29">
        <v>46109.916666666664</v>
      </c>
      <c r="M59" s="27">
        <v>2</v>
      </c>
    </row>
    <row r="60" spans="1:13">
      <c r="A60" s="27" t="s">
        <v>318</v>
      </c>
      <c r="B60" s="27" t="s">
        <v>319</v>
      </c>
      <c r="C60" s="27" t="s">
        <v>320</v>
      </c>
      <c r="D60" s="27" t="s">
        <v>321</v>
      </c>
      <c r="E60">
        <v>55.161099999999998</v>
      </c>
      <c r="F60">
        <v>61.42877</v>
      </c>
      <c r="G60" t="s">
        <v>1141</v>
      </c>
      <c r="H60" s="1"/>
      <c r="I60" s="1"/>
      <c r="J60" s="27" t="s">
        <v>242</v>
      </c>
      <c r="K60" s="29">
        <v>46109.916666666664</v>
      </c>
      <c r="L60" s="29">
        <v>46319.875</v>
      </c>
      <c r="M60" s="27">
        <v>3</v>
      </c>
    </row>
    <row r="61" spans="1:13">
      <c r="A61" s="27" t="s">
        <v>322</v>
      </c>
      <c r="B61" s="27" t="s">
        <v>323</v>
      </c>
      <c r="C61" s="27" t="s">
        <v>324</v>
      </c>
      <c r="D61" s="27" t="s">
        <v>325</v>
      </c>
      <c r="E61">
        <v>41.850029999999997</v>
      </c>
      <c r="F61">
        <v>-87.650049999999993</v>
      </c>
      <c r="G61" t="s">
        <v>42</v>
      </c>
      <c r="H61" s="1"/>
      <c r="I61" s="1"/>
      <c r="J61" s="27" t="s">
        <v>242</v>
      </c>
      <c r="K61" s="29">
        <v>46319.875</v>
      </c>
      <c r="L61" s="29">
        <v>46473.916666666664</v>
      </c>
      <c r="M61" s="27">
        <v>2</v>
      </c>
    </row>
    <row r="62" spans="1:13">
      <c r="A62" s="27" t="s">
        <v>326</v>
      </c>
      <c r="B62" s="27" t="s">
        <v>327</v>
      </c>
      <c r="C62" s="27" t="s">
        <v>328</v>
      </c>
      <c r="D62" s="27" t="s">
        <v>329</v>
      </c>
      <c r="E62">
        <v>47.00902</v>
      </c>
      <c r="F62">
        <v>28.859380000000002</v>
      </c>
      <c r="G62" t="s">
        <v>1142</v>
      </c>
      <c r="H62" s="1"/>
      <c r="I62" s="1"/>
      <c r="J62" s="27" t="s">
        <v>242</v>
      </c>
      <c r="K62" s="29">
        <v>46473.916666666664</v>
      </c>
      <c r="L62" s="29">
        <v>46690.875</v>
      </c>
      <c r="M62" s="27">
        <v>3</v>
      </c>
    </row>
    <row r="63" spans="1:13">
      <c r="A63" s="27" t="s">
        <v>330</v>
      </c>
      <c r="B63" s="27" t="s">
        <v>331</v>
      </c>
      <c r="C63" s="27" t="s">
        <v>168</v>
      </c>
      <c r="D63" s="27" t="s">
        <v>332</v>
      </c>
      <c r="E63">
        <v>9.5379500000000004</v>
      </c>
      <c r="F63">
        <v>-13.677289999999999</v>
      </c>
      <c r="G63" t="s">
        <v>1143</v>
      </c>
      <c r="H63" s="1"/>
      <c r="I63" s="1"/>
      <c r="J63" s="27" t="s">
        <v>242</v>
      </c>
      <c r="K63" s="29">
        <v>46690.875</v>
      </c>
      <c r="L63" s="29">
        <v>46837.916666666664</v>
      </c>
      <c r="M63" s="27">
        <v>2</v>
      </c>
    </row>
    <row r="64" spans="1:13">
      <c r="A64" s="27" t="s">
        <v>333</v>
      </c>
      <c r="B64" s="27" t="s">
        <v>334</v>
      </c>
      <c r="C64" s="27" t="s">
        <v>236</v>
      </c>
      <c r="D64" s="27" t="s">
        <v>335</v>
      </c>
      <c r="E64">
        <v>55.675939999999997</v>
      </c>
      <c r="F64">
        <v>12.565530000000001</v>
      </c>
      <c r="G64" t="s">
        <v>1144</v>
      </c>
      <c r="H64" s="1"/>
      <c r="I64" s="1"/>
      <c r="J64" s="27" t="s">
        <v>242</v>
      </c>
      <c r="K64" s="29">
        <v>46837.916666666664</v>
      </c>
      <c r="L64" s="29">
        <v>47054.875</v>
      </c>
      <c r="M64" s="27">
        <v>3</v>
      </c>
    </row>
    <row r="65" spans="1:13">
      <c r="A65" s="27" t="s">
        <v>336</v>
      </c>
      <c r="B65" s="27" t="s">
        <v>337</v>
      </c>
      <c r="C65" s="27" t="s">
        <v>272</v>
      </c>
      <c r="D65" s="27" t="s">
        <v>273</v>
      </c>
      <c r="E65">
        <v>-25.427779999999998</v>
      </c>
      <c r="F65">
        <v>-49.273060000000001</v>
      </c>
      <c r="G65" t="s">
        <v>1128</v>
      </c>
      <c r="H65" s="1"/>
      <c r="I65" s="1"/>
      <c r="J65" s="27" t="s">
        <v>242</v>
      </c>
      <c r="K65" s="29">
        <v>47054.875</v>
      </c>
      <c r="L65" s="29">
        <v>47119</v>
      </c>
      <c r="M65" s="27">
        <v>2</v>
      </c>
    </row>
    <row r="66" spans="1:13">
      <c r="A66" s="27" t="s">
        <v>338</v>
      </c>
      <c r="B66" s="27" t="s">
        <v>339</v>
      </c>
      <c r="C66" s="27" t="s">
        <v>200</v>
      </c>
      <c r="D66" s="27" t="s">
        <v>201</v>
      </c>
      <c r="E66">
        <v>-13.531879999999999</v>
      </c>
      <c r="F66">
        <v>-71.967010000000002</v>
      </c>
      <c r="G66" t="s">
        <v>1115</v>
      </c>
      <c r="H66" s="1"/>
      <c r="I66" s="1"/>
      <c r="J66" s="27" t="s">
        <v>246</v>
      </c>
      <c r="K66" s="29">
        <v>46023</v>
      </c>
      <c r="L66" s="29">
        <v>47119</v>
      </c>
      <c r="M66" s="27">
        <v>7</v>
      </c>
    </row>
    <row r="67" spans="1:13">
      <c r="A67" s="27" t="s">
        <v>340</v>
      </c>
      <c r="B67" s="27" t="s">
        <v>341</v>
      </c>
      <c r="C67" s="27" t="s">
        <v>300</v>
      </c>
      <c r="D67" s="27" t="s">
        <v>342</v>
      </c>
      <c r="E67">
        <v>-31.406479999999998</v>
      </c>
      <c r="F67">
        <v>-64.18853</v>
      </c>
      <c r="G67" t="s">
        <v>1138</v>
      </c>
      <c r="H67" s="1"/>
      <c r="I67" s="1"/>
      <c r="J67" s="27" t="s">
        <v>252</v>
      </c>
      <c r="K67" s="29">
        <v>46023</v>
      </c>
      <c r="L67" s="29">
        <v>47119</v>
      </c>
      <c r="M67" s="27">
        <v>-3</v>
      </c>
    </row>
    <row r="68" spans="1:13">
      <c r="A68" s="27" t="s">
        <v>343</v>
      </c>
      <c r="B68" s="27" t="s">
        <v>344</v>
      </c>
      <c r="C68" s="27" t="s">
        <v>144</v>
      </c>
      <c r="D68" s="27" t="s">
        <v>264</v>
      </c>
      <c r="E68">
        <v>10.03711</v>
      </c>
      <c r="F68">
        <v>105.78825000000001</v>
      </c>
      <c r="G68" t="s">
        <v>27</v>
      </c>
      <c r="H68" s="1"/>
      <c r="I68" s="1"/>
      <c r="J68" s="27" t="s">
        <v>248</v>
      </c>
      <c r="K68" s="29">
        <v>46023</v>
      </c>
      <c r="L68" s="29">
        <v>46110.041666666664</v>
      </c>
      <c r="M68" s="27">
        <v>1</v>
      </c>
    </row>
    <row r="69" spans="1:13">
      <c r="A69" s="27" t="s">
        <v>345</v>
      </c>
      <c r="B69" s="27" t="s">
        <v>346</v>
      </c>
      <c r="C69" s="27" t="s">
        <v>144</v>
      </c>
      <c r="D69" s="27" t="s">
        <v>264</v>
      </c>
      <c r="E69">
        <v>16.067779999999999</v>
      </c>
      <c r="F69">
        <v>108.22083000000001</v>
      </c>
      <c r="G69" t="s">
        <v>27</v>
      </c>
      <c r="H69" s="1"/>
      <c r="I69" s="1"/>
      <c r="J69" s="27" t="s">
        <v>248</v>
      </c>
      <c r="K69" s="29">
        <v>46110.041666666664</v>
      </c>
      <c r="L69" s="29">
        <v>46320.041666666664</v>
      </c>
      <c r="M69" s="27">
        <v>2</v>
      </c>
    </row>
    <row r="70" spans="1:13">
      <c r="A70" s="27" t="s">
        <v>347</v>
      </c>
      <c r="B70" s="27" t="s">
        <v>348</v>
      </c>
      <c r="C70" s="27" t="s">
        <v>168</v>
      </c>
      <c r="D70" s="27" t="s">
        <v>349</v>
      </c>
      <c r="E70">
        <v>14.6937</v>
      </c>
      <c r="F70">
        <v>-17.44406</v>
      </c>
      <c r="G70" t="s">
        <v>1145</v>
      </c>
      <c r="H70" s="1"/>
      <c r="I70" s="1"/>
      <c r="J70" s="27" t="s">
        <v>248</v>
      </c>
      <c r="K70" s="29">
        <v>46320.041666666664</v>
      </c>
      <c r="L70" s="29">
        <v>46474.041666666664</v>
      </c>
      <c r="M70" s="27">
        <v>1</v>
      </c>
    </row>
    <row r="71" spans="1:13">
      <c r="A71" s="27" t="s">
        <v>350</v>
      </c>
      <c r="B71" s="27" t="s">
        <v>351</v>
      </c>
      <c r="C71" s="27" t="s">
        <v>324</v>
      </c>
      <c r="D71" s="27" t="s">
        <v>325</v>
      </c>
      <c r="E71">
        <v>32.783059999999999</v>
      </c>
      <c r="F71">
        <v>-96.806669999999997</v>
      </c>
      <c r="G71" t="s">
        <v>42</v>
      </c>
      <c r="H71" s="1"/>
      <c r="I71" s="1"/>
      <c r="J71" s="27" t="s">
        <v>248</v>
      </c>
      <c r="K71" s="29">
        <v>46474.041666666664</v>
      </c>
      <c r="L71" s="29">
        <v>46691.041666666664</v>
      </c>
      <c r="M71" s="27">
        <v>2</v>
      </c>
    </row>
    <row r="72" spans="1:13">
      <c r="A72" s="27" t="s">
        <v>352</v>
      </c>
      <c r="B72" s="27" t="s">
        <v>353</v>
      </c>
      <c r="C72" s="27" t="s">
        <v>354</v>
      </c>
      <c r="D72" s="27" t="s">
        <v>355</v>
      </c>
      <c r="E72">
        <v>33.510199999999998</v>
      </c>
      <c r="F72">
        <v>36.29128</v>
      </c>
      <c r="G72" t="s">
        <v>1146</v>
      </c>
      <c r="H72" s="1"/>
      <c r="I72" s="1"/>
      <c r="J72" s="27" t="s">
        <v>248</v>
      </c>
      <c r="K72" s="29">
        <v>46691.041666666664</v>
      </c>
      <c r="L72" s="29">
        <v>46838.041666666664</v>
      </c>
      <c r="M72" s="27">
        <v>1</v>
      </c>
    </row>
    <row r="73" spans="1:13">
      <c r="A73" s="27" t="s">
        <v>356</v>
      </c>
      <c r="B73" s="27" t="s">
        <v>357</v>
      </c>
      <c r="C73" s="27" t="s">
        <v>358</v>
      </c>
      <c r="D73" s="27" t="s">
        <v>359</v>
      </c>
      <c r="E73">
        <v>-12.461130000000001</v>
      </c>
      <c r="F73">
        <v>130.84184999999999</v>
      </c>
      <c r="G73" t="s">
        <v>1108</v>
      </c>
      <c r="H73" s="1"/>
      <c r="I73" s="1"/>
      <c r="J73" s="27" t="s">
        <v>248</v>
      </c>
      <c r="K73" s="29">
        <v>46838.041666666664</v>
      </c>
      <c r="L73" s="29">
        <v>47055.041666666664</v>
      </c>
      <c r="M73" s="27">
        <v>2</v>
      </c>
    </row>
    <row r="74" spans="1:13">
      <c r="A74" s="27" t="s">
        <v>360</v>
      </c>
      <c r="B74" s="27" t="s">
        <v>361</v>
      </c>
      <c r="C74" s="27" t="s">
        <v>362</v>
      </c>
      <c r="D74" s="27" t="s">
        <v>363</v>
      </c>
      <c r="E74">
        <v>-8.65</v>
      </c>
      <c r="F74">
        <v>115.21666999999999</v>
      </c>
      <c r="G74" t="s">
        <v>1123</v>
      </c>
      <c r="H74" s="1"/>
      <c r="I74" s="1"/>
      <c r="J74" s="27" t="s">
        <v>248</v>
      </c>
      <c r="K74" s="29">
        <v>47055.041666666664</v>
      </c>
      <c r="L74" s="29">
        <v>47119</v>
      </c>
      <c r="M74" s="27">
        <v>1</v>
      </c>
    </row>
    <row r="75" spans="1:13">
      <c r="A75" s="27" t="s">
        <v>364</v>
      </c>
      <c r="B75" s="27" t="s">
        <v>365</v>
      </c>
      <c r="C75" s="27" t="s">
        <v>144</v>
      </c>
      <c r="D75" s="27" t="s">
        <v>231</v>
      </c>
      <c r="E75">
        <v>-6.4</v>
      </c>
      <c r="F75">
        <v>106.81861000000001</v>
      </c>
      <c r="G75" t="s">
        <v>1123</v>
      </c>
      <c r="H75" s="1"/>
      <c r="I75" s="1"/>
      <c r="J75" s="27" t="s">
        <v>256</v>
      </c>
      <c r="K75" s="29">
        <v>46023</v>
      </c>
      <c r="L75" s="29">
        <v>46110.041666666664</v>
      </c>
      <c r="M75" s="27">
        <v>1</v>
      </c>
    </row>
    <row r="76" spans="1:13">
      <c r="A76" s="27" t="s">
        <v>366</v>
      </c>
      <c r="B76" s="27" t="s">
        <v>367</v>
      </c>
      <c r="C76" s="27" t="s">
        <v>368</v>
      </c>
      <c r="D76" s="27" t="s">
        <v>369</v>
      </c>
      <c r="E76">
        <v>23.7104</v>
      </c>
      <c r="F76">
        <v>90.407439999999994</v>
      </c>
      <c r="G76" t="s">
        <v>88</v>
      </c>
      <c r="H76" s="1"/>
      <c r="I76" s="1"/>
      <c r="J76" s="27" t="s">
        <v>256</v>
      </c>
      <c r="K76" s="29">
        <v>46110.041666666664</v>
      </c>
      <c r="L76" s="29">
        <v>46320.041666666664</v>
      </c>
      <c r="M76" s="27">
        <v>2</v>
      </c>
    </row>
    <row r="77" spans="1:13">
      <c r="A77" s="27" t="s">
        <v>370</v>
      </c>
      <c r="B77" s="27" t="s">
        <v>371</v>
      </c>
      <c r="C77" s="27" t="s">
        <v>150</v>
      </c>
      <c r="D77" s="27" t="s">
        <v>151</v>
      </c>
      <c r="E77">
        <v>46.456659999999999</v>
      </c>
      <c r="F77">
        <v>12.40724</v>
      </c>
      <c r="G77" t="s">
        <v>36</v>
      </c>
      <c r="H77" s="1"/>
      <c r="I77" s="1"/>
      <c r="J77" s="27" t="s">
        <v>256</v>
      </c>
      <c r="K77" s="29">
        <v>46320.041666666664</v>
      </c>
      <c r="L77" s="29">
        <v>46474.041666666664</v>
      </c>
      <c r="M77" s="27">
        <v>1</v>
      </c>
    </row>
    <row r="78" spans="1:13">
      <c r="A78" s="27" t="s">
        <v>372</v>
      </c>
      <c r="B78" s="27" t="s">
        <v>373</v>
      </c>
      <c r="C78" s="27" t="s">
        <v>152</v>
      </c>
      <c r="D78" s="27" t="s">
        <v>374</v>
      </c>
      <c r="E78">
        <v>53.333060000000003</v>
      </c>
      <c r="F78">
        <v>-6.2488900000000003</v>
      </c>
      <c r="G78" t="s">
        <v>1147</v>
      </c>
      <c r="H78" s="1"/>
      <c r="I78" s="1"/>
      <c r="J78" s="27" t="s">
        <v>256</v>
      </c>
      <c r="K78" s="29">
        <v>46474.041666666664</v>
      </c>
      <c r="L78" s="29">
        <v>46691.041666666664</v>
      </c>
      <c r="M78" s="27">
        <v>2</v>
      </c>
    </row>
    <row r="79" spans="1:13">
      <c r="A79" s="27" t="s">
        <v>375</v>
      </c>
      <c r="B79" s="27" t="s">
        <v>376</v>
      </c>
      <c r="C79" s="27" t="s">
        <v>152</v>
      </c>
      <c r="D79" s="27" t="s">
        <v>153</v>
      </c>
      <c r="E79">
        <v>55.952060000000003</v>
      </c>
      <c r="F79">
        <v>-3.1964800000000002</v>
      </c>
      <c r="G79" t="s">
        <v>1103</v>
      </c>
      <c r="H79" s="1"/>
      <c r="I79" s="1"/>
      <c r="J79" s="27" t="s">
        <v>256</v>
      </c>
      <c r="K79" s="29">
        <v>46691.041666666664</v>
      </c>
      <c r="L79" s="29">
        <v>46838.041666666664</v>
      </c>
      <c r="M79" s="27">
        <v>1</v>
      </c>
    </row>
    <row r="80" spans="1:13">
      <c r="A80" s="27" t="s">
        <v>377</v>
      </c>
      <c r="B80" s="27" t="s">
        <v>378</v>
      </c>
      <c r="C80" s="27" t="s">
        <v>150</v>
      </c>
      <c r="D80" s="27" t="s">
        <v>151</v>
      </c>
      <c r="E80">
        <v>44.838039999999999</v>
      </c>
      <c r="F80">
        <v>11.620570000000001</v>
      </c>
      <c r="G80" t="s">
        <v>36</v>
      </c>
      <c r="H80" s="1"/>
      <c r="I80" s="1"/>
      <c r="J80" s="27" t="s">
        <v>256</v>
      </c>
      <c r="K80" s="29">
        <v>46838.041666666664</v>
      </c>
      <c r="L80" s="29">
        <v>47055.041666666664</v>
      </c>
      <c r="M80" s="27">
        <v>2</v>
      </c>
    </row>
    <row r="81" spans="1:13">
      <c r="A81" s="27" t="s">
        <v>379</v>
      </c>
      <c r="B81" s="27" t="s">
        <v>380</v>
      </c>
      <c r="C81" s="27" t="s">
        <v>150</v>
      </c>
      <c r="D81" s="27" t="s">
        <v>151</v>
      </c>
      <c r="E81">
        <v>43.779249999999998</v>
      </c>
      <c r="F81">
        <v>11.246259999999999</v>
      </c>
      <c r="G81" t="s">
        <v>36</v>
      </c>
      <c r="H81" s="1"/>
      <c r="I81" s="1"/>
      <c r="J81" s="27" t="s">
        <v>256</v>
      </c>
      <c r="K81" s="29">
        <v>47055.041666666664</v>
      </c>
      <c r="L81" s="29">
        <v>47119</v>
      </c>
      <c r="M81" s="27">
        <v>1</v>
      </c>
    </row>
    <row r="82" spans="1:13">
      <c r="A82" s="27" t="s">
        <v>381</v>
      </c>
      <c r="B82" s="27" t="s">
        <v>382</v>
      </c>
      <c r="C82" s="27" t="s">
        <v>254</v>
      </c>
      <c r="D82" s="27" t="s">
        <v>383</v>
      </c>
      <c r="E82">
        <v>-3.7172200000000002</v>
      </c>
      <c r="F82">
        <v>-38.543059999999997</v>
      </c>
      <c r="G82" t="s">
        <v>1128</v>
      </c>
      <c r="H82" s="1"/>
      <c r="I82" s="1"/>
      <c r="J82" s="27" t="s">
        <v>259</v>
      </c>
      <c r="K82" s="29">
        <v>46023</v>
      </c>
      <c r="L82" s="29">
        <v>46110.041666666664</v>
      </c>
      <c r="M82" s="27">
        <v>1</v>
      </c>
    </row>
    <row r="83" spans="1:13">
      <c r="A83" s="27" t="s">
        <v>384</v>
      </c>
      <c r="B83" s="27" t="s">
        <v>385</v>
      </c>
      <c r="C83" s="27" t="s">
        <v>282</v>
      </c>
      <c r="D83" s="27" t="s">
        <v>283</v>
      </c>
      <c r="E83">
        <v>-28.00029</v>
      </c>
      <c r="F83">
        <v>153.43088</v>
      </c>
      <c r="G83" t="s">
        <v>1108</v>
      </c>
      <c r="H83" s="1"/>
      <c r="I83" s="1"/>
      <c r="J83" s="27" t="s">
        <v>259</v>
      </c>
      <c r="K83" s="29">
        <v>46110.041666666664</v>
      </c>
      <c r="L83" s="29">
        <v>46320.041666666664</v>
      </c>
      <c r="M83" s="27">
        <v>2</v>
      </c>
    </row>
    <row r="84" spans="1:13">
      <c r="A84" s="27" t="s">
        <v>386</v>
      </c>
      <c r="B84" s="27" t="s">
        <v>387</v>
      </c>
      <c r="C84" s="27" t="s">
        <v>388</v>
      </c>
      <c r="D84" s="27" t="s">
        <v>389</v>
      </c>
      <c r="E84">
        <v>14.64072</v>
      </c>
      <c r="F84">
        <v>-90.513270000000006</v>
      </c>
      <c r="G84" t="s">
        <v>1148</v>
      </c>
      <c r="H84" s="1"/>
      <c r="I84" s="1"/>
      <c r="J84" s="27" t="s">
        <v>259</v>
      </c>
      <c r="K84" s="29">
        <v>46320.041666666664</v>
      </c>
      <c r="L84" s="29">
        <v>46474.041666666664</v>
      </c>
      <c r="M84" s="27">
        <v>1</v>
      </c>
    </row>
    <row r="85" spans="1:13">
      <c r="A85" s="27" t="s">
        <v>390</v>
      </c>
      <c r="B85" s="27" t="s">
        <v>391</v>
      </c>
      <c r="C85" s="27" t="s">
        <v>144</v>
      </c>
      <c r="D85" s="27" t="s">
        <v>145</v>
      </c>
      <c r="E85">
        <v>20.864809999999999</v>
      </c>
      <c r="F85">
        <v>106.68344999999999</v>
      </c>
      <c r="G85" t="s">
        <v>27</v>
      </c>
      <c r="H85" s="1"/>
      <c r="I85" s="1"/>
      <c r="J85" s="27" t="s">
        <v>259</v>
      </c>
      <c r="K85" s="29">
        <v>46474.041666666664</v>
      </c>
      <c r="L85" s="29">
        <v>46691.041666666664</v>
      </c>
      <c r="M85" s="27">
        <v>2</v>
      </c>
    </row>
    <row r="86" spans="1:13">
      <c r="A86" s="27" t="s">
        <v>392</v>
      </c>
      <c r="B86" s="27" t="s">
        <v>393</v>
      </c>
      <c r="C86" s="27" t="s">
        <v>394</v>
      </c>
      <c r="D86" s="27" t="s">
        <v>395</v>
      </c>
      <c r="E86">
        <v>-17.827719999999999</v>
      </c>
      <c r="F86">
        <v>31.053370000000001</v>
      </c>
      <c r="G86" t="s">
        <v>1149</v>
      </c>
      <c r="H86" s="1"/>
      <c r="I86" s="1"/>
      <c r="J86" s="27" t="s">
        <v>259</v>
      </c>
      <c r="K86" s="29">
        <v>46691.041666666664</v>
      </c>
      <c r="L86" s="29">
        <v>46838.041666666664</v>
      </c>
      <c r="M86" s="27">
        <v>1</v>
      </c>
    </row>
    <row r="87" spans="1:13">
      <c r="A87" s="27" t="s">
        <v>396</v>
      </c>
      <c r="B87" s="27" t="s">
        <v>397</v>
      </c>
      <c r="C87" s="27" t="s">
        <v>398</v>
      </c>
      <c r="D87" s="27" t="s">
        <v>399</v>
      </c>
      <c r="E87">
        <v>23.133019999999998</v>
      </c>
      <c r="F87">
        <v>-82.383039999999994</v>
      </c>
      <c r="G87" t="s">
        <v>1150</v>
      </c>
      <c r="H87" s="1"/>
      <c r="I87" s="1"/>
      <c r="J87" s="27" t="s">
        <v>259</v>
      </c>
      <c r="K87" s="29">
        <v>46838.041666666664</v>
      </c>
      <c r="L87" s="29">
        <v>47055.041666666664</v>
      </c>
      <c r="M87" s="27">
        <v>2</v>
      </c>
    </row>
    <row r="88" spans="1:13">
      <c r="A88" s="27" t="s">
        <v>400</v>
      </c>
      <c r="B88" s="27" t="s">
        <v>401</v>
      </c>
      <c r="C88" s="27" t="s">
        <v>402</v>
      </c>
      <c r="D88" s="27" t="s">
        <v>403</v>
      </c>
      <c r="E88">
        <v>60.169519999999999</v>
      </c>
      <c r="F88">
        <v>24.935449999999999</v>
      </c>
      <c r="G88" t="s">
        <v>1151</v>
      </c>
      <c r="H88" s="1"/>
      <c r="I88" s="1"/>
      <c r="J88" s="27" t="s">
        <v>259</v>
      </c>
      <c r="K88" s="29">
        <v>47055.041666666664</v>
      </c>
      <c r="L88" s="29">
        <v>47119</v>
      </c>
      <c r="M88" s="27">
        <v>1</v>
      </c>
    </row>
    <row r="89" spans="1:13">
      <c r="A89" s="27" t="s">
        <v>404</v>
      </c>
      <c r="B89" s="27" t="s">
        <v>405</v>
      </c>
      <c r="C89" s="27" t="s">
        <v>144</v>
      </c>
      <c r="D89" s="27" t="s">
        <v>264</v>
      </c>
      <c r="E89">
        <v>10.82302</v>
      </c>
      <c r="F89">
        <v>106.62965</v>
      </c>
      <c r="G89" t="s">
        <v>27</v>
      </c>
      <c r="H89" s="1"/>
      <c r="I89" s="1"/>
      <c r="J89" s="27" t="s">
        <v>262</v>
      </c>
      <c r="K89" s="29">
        <v>46023</v>
      </c>
      <c r="L89" s="29">
        <v>47119</v>
      </c>
      <c r="M89" s="27">
        <v>7</v>
      </c>
    </row>
    <row r="90" spans="1:13">
      <c r="A90" s="27" t="s">
        <v>406</v>
      </c>
      <c r="B90" s="27" t="s">
        <v>407</v>
      </c>
      <c r="C90" s="27" t="s">
        <v>408</v>
      </c>
      <c r="D90" s="27" t="s">
        <v>409</v>
      </c>
      <c r="E90">
        <v>-42.879359999999998</v>
      </c>
      <c r="F90">
        <v>147.32941</v>
      </c>
      <c r="G90" t="s">
        <v>1108</v>
      </c>
      <c r="H90" s="1"/>
      <c r="I90" s="1"/>
      <c r="J90" s="27" t="s">
        <v>265</v>
      </c>
      <c r="K90" s="29">
        <v>46023</v>
      </c>
      <c r="L90" s="29">
        <v>47119</v>
      </c>
      <c r="M90" s="27">
        <v>-5</v>
      </c>
    </row>
    <row r="91" spans="1:13">
      <c r="A91" s="27" t="s">
        <v>410</v>
      </c>
      <c r="B91" s="27" t="s">
        <v>411</v>
      </c>
      <c r="C91" s="27" t="s">
        <v>240</v>
      </c>
      <c r="D91" s="27" t="s">
        <v>412</v>
      </c>
      <c r="E91">
        <v>22.278320000000001</v>
      </c>
      <c r="F91">
        <v>114.17469</v>
      </c>
      <c r="G91" t="s">
        <v>1152</v>
      </c>
      <c r="H91" s="1"/>
      <c r="I91" s="1"/>
      <c r="J91" s="27" t="s">
        <v>268</v>
      </c>
      <c r="K91" s="29">
        <v>46023</v>
      </c>
      <c r="L91" s="29">
        <v>46110.041666666664</v>
      </c>
      <c r="M91" s="27">
        <v>1</v>
      </c>
    </row>
    <row r="92" spans="1:13">
      <c r="A92" s="27" t="s">
        <v>413</v>
      </c>
      <c r="B92" s="27" t="s">
        <v>414</v>
      </c>
      <c r="C92" s="27" t="s">
        <v>324</v>
      </c>
      <c r="D92" s="27" t="s">
        <v>325</v>
      </c>
      <c r="E92">
        <v>29.763280000000002</v>
      </c>
      <c r="F92">
        <v>-95.36327</v>
      </c>
      <c r="G92" t="s">
        <v>42</v>
      </c>
      <c r="H92" s="1"/>
      <c r="I92" s="1"/>
      <c r="J92" s="27" t="s">
        <v>268</v>
      </c>
      <c r="K92" s="29">
        <v>46110.041666666664</v>
      </c>
      <c r="L92" s="29">
        <v>46320.041666666664</v>
      </c>
      <c r="M92" s="27">
        <v>2</v>
      </c>
    </row>
    <row r="93" spans="1:13">
      <c r="A93" s="27" t="s">
        <v>415</v>
      </c>
      <c r="B93" s="27" t="s">
        <v>416</v>
      </c>
      <c r="C93" s="27" t="s">
        <v>144</v>
      </c>
      <c r="D93" s="27" t="s">
        <v>145</v>
      </c>
      <c r="E93">
        <v>16.4619</v>
      </c>
      <c r="F93">
        <v>107.59546</v>
      </c>
      <c r="G93" t="s">
        <v>27</v>
      </c>
      <c r="H93" s="1"/>
      <c r="I93" s="1"/>
      <c r="J93" s="27" t="s">
        <v>268</v>
      </c>
      <c r="K93" s="29">
        <v>46320.041666666664</v>
      </c>
      <c r="L93" s="29">
        <v>46474.041666666664</v>
      </c>
      <c r="M93" s="27">
        <v>1</v>
      </c>
    </row>
    <row r="94" spans="1:13">
      <c r="A94" s="27" t="s">
        <v>417</v>
      </c>
      <c r="B94" s="27" t="s">
        <v>418</v>
      </c>
      <c r="C94" s="27" t="s">
        <v>144</v>
      </c>
      <c r="D94" s="27" t="s">
        <v>231</v>
      </c>
      <c r="E94">
        <v>-6.21462</v>
      </c>
      <c r="F94">
        <v>106.84513</v>
      </c>
      <c r="G94" t="s">
        <v>1123</v>
      </c>
      <c r="H94" s="1"/>
      <c r="I94" s="1"/>
      <c r="J94" s="27" t="s">
        <v>268</v>
      </c>
      <c r="K94" s="29">
        <v>46474.041666666664</v>
      </c>
      <c r="L94" s="29">
        <v>46691.041666666664</v>
      </c>
      <c r="M94" s="27">
        <v>2</v>
      </c>
    </row>
    <row r="95" spans="1:13">
      <c r="A95" s="27" t="s">
        <v>419</v>
      </c>
      <c r="B95" s="27" t="s">
        <v>420</v>
      </c>
      <c r="C95" s="27" t="s">
        <v>421</v>
      </c>
      <c r="D95" s="27" t="s">
        <v>422</v>
      </c>
      <c r="E95">
        <v>34.528129999999997</v>
      </c>
      <c r="F95">
        <v>69.172330000000002</v>
      </c>
      <c r="G95" t="s">
        <v>1153</v>
      </c>
      <c r="H95" s="1"/>
      <c r="I95" s="1"/>
      <c r="J95" s="27" t="s">
        <v>268</v>
      </c>
      <c r="K95" s="29">
        <v>46691.041666666664</v>
      </c>
      <c r="L95" s="29">
        <v>46838.041666666664</v>
      </c>
      <c r="M95" s="27">
        <v>1</v>
      </c>
    </row>
    <row r="96" spans="1:13">
      <c r="A96" s="27" t="s">
        <v>423</v>
      </c>
      <c r="B96" s="27" t="s">
        <v>424</v>
      </c>
      <c r="C96" s="27" t="s">
        <v>172</v>
      </c>
      <c r="D96" s="27" t="s">
        <v>425</v>
      </c>
      <c r="E96">
        <v>0.31628000000000001</v>
      </c>
      <c r="F96">
        <v>32.582189999999997</v>
      </c>
      <c r="G96" t="s">
        <v>1154</v>
      </c>
      <c r="H96" s="1"/>
      <c r="I96" s="1"/>
      <c r="J96" s="27" t="s">
        <v>268</v>
      </c>
      <c r="K96" s="29">
        <v>46838.041666666664</v>
      </c>
      <c r="L96" s="29">
        <v>47055.041666666664</v>
      </c>
      <c r="M96" s="27">
        <v>2</v>
      </c>
    </row>
    <row r="97" spans="1:13">
      <c r="A97" s="27" t="s">
        <v>426</v>
      </c>
      <c r="B97" s="27" t="s">
        <v>427</v>
      </c>
      <c r="C97" s="27" t="s">
        <v>428</v>
      </c>
      <c r="D97" s="27" t="s">
        <v>429</v>
      </c>
      <c r="E97">
        <v>27.701689999999999</v>
      </c>
      <c r="F97">
        <v>85.320599999999999</v>
      </c>
      <c r="G97" t="s">
        <v>1155</v>
      </c>
      <c r="H97" s="1"/>
      <c r="I97" s="1"/>
      <c r="J97" s="27" t="s">
        <v>268</v>
      </c>
      <c r="K97" s="29">
        <v>47055.041666666664</v>
      </c>
      <c r="L97" s="29">
        <v>47119</v>
      </c>
      <c r="M97" s="27">
        <v>1</v>
      </c>
    </row>
    <row r="98" spans="1:13">
      <c r="A98" s="27" t="s">
        <v>430</v>
      </c>
      <c r="B98" s="27" t="s">
        <v>431</v>
      </c>
      <c r="C98" s="27" t="s">
        <v>432</v>
      </c>
      <c r="D98" s="27" t="s">
        <v>433</v>
      </c>
      <c r="E98">
        <v>55.788739999999997</v>
      </c>
      <c r="F98">
        <v>49.122140000000002</v>
      </c>
      <c r="G98" t="s">
        <v>1141</v>
      </c>
      <c r="H98" s="1"/>
      <c r="I98" s="1"/>
      <c r="J98" s="27" t="s">
        <v>270</v>
      </c>
      <c r="K98" s="29">
        <v>46023</v>
      </c>
      <c r="L98" s="29">
        <v>47119</v>
      </c>
      <c r="M98" s="27">
        <v>-3</v>
      </c>
    </row>
    <row r="99" spans="1:13">
      <c r="A99" s="27" t="s">
        <v>434</v>
      </c>
      <c r="B99" s="27" t="s">
        <v>435</v>
      </c>
      <c r="C99" s="27" t="s">
        <v>436</v>
      </c>
      <c r="D99" s="27" t="s">
        <v>437</v>
      </c>
      <c r="E99">
        <v>15.551769999999999</v>
      </c>
      <c r="F99">
        <v>32.532409999999999</v>
      </c>
      <c r="G99" t="s">
        <v>1156</v>
      </c>
      <c r="H99" s="1"/>
      <c r="I99" s="1"/>
      <c r="J99" s="27" t="s">
        <v>274</v>
      </c>
      <c r="K99" s="29">
        <v>46023</v>
      </c>
      <c r="L99" s="29">
        <v>46110.041666666664</v>
      </c>
      <c r="M99" s="27">
        <v>1</v>
      </c>
    </row>
    <row r="100" spans="1:13">
      <c r="A100" s="27" t="s">
        <v>438</v>
      </c>
      <c r="B100" s="27" t="s">
        <v>439</v>
      </c>
      <c r="C100" s="27" t="s">
        <v>394</v>
      </c>
      <c r="D100" s="27" t="s">
        <v>440</v>
      </c>
      <c r="E100">
        <v>-1.9499500000000001</v>
      </c>
      <c r="F100">
        <v>30.05885</v>
      </c>
      <c r="G100" t="s">
        <v>1157</v>
      </c>
      <c r="H100" s="1"/>
      <c r="I100" s="1"/>
      <c r="J100" s="27" t="s">
        <v>274</v>
      </c>
      <c r="K100" s="29">
        <v>46110.041666666664</v>
      </c>
      <c r="L100" s="29">
        <v>46320.041666666664</v>
      </c>
      <c r="M100" s="27">
        <v>2</v>
      </c>
    </row>
    <row r="101" spans="1:13">
      <c r="A101" s="27" t="s">
        <v>441</v>
      </c>
      <c r="B101" s="27" t="s">
        <v>442</v>
      </c>
      <c r="C101" s="27" t="s">
        <v>200</v>
      </c>
      <c r="D101" s="27" t="s">
        <v>443</v>
      </c>
      <c r="E101">
        <v>17.997019999999999</v>
      </c>
      <c r="F101">
        <v>-76.793580000000006</v>
      </c>
      <c r="G101" t="s">
        <v>1158</v>
      </c>
      <c r="H101" s="1"/>
      <c r="I101" s="1"/>
      <c r="J101" s="27" t="s">
        <v>274</v>
      </c>
      <c r="K101" s="29">
        <v>46320.041666666664</v>
      </c>
      <c r="L101" s="29">
        <v>46474.041666666664</v>
      </c>
      <c r="M101" s="27">
        <v>1</v>
      </c>
    </row>
    <row r="102" spans="1:13">
      <c r="A102" s="27" t="s">
        <v>444</v>
      </c>
      <c r="B102" s="27" t="s">
        <v>445</v>
      </c>
      <c r="C102" s="27" t="s">
        <v>164</v>
      </c>
      <c r="D102" s="27" t="s">
        <v>446</v>
      </c>
      <c r="E102">
        <v>-4.3275800000000002</v>
      </c>
      <c r="F102">
        <v>15.31357</v>
      </c>
      <c r="G102" t="s">
        <v>1159</v>
      </c>
      <c r="H102" s="1"/>
      <c r="I102" s="1"/>
      <c r="J102" s="27" t="s">
        <v>274</v>
      </c>
      <c r="K102" s="29">
        <v>46474.041666666664</v>
      </c>
      <c r="L102" s="29">
        <v>46691.041666666664</v>
      </c>
      <c r="M102" s="27">
        <v>2</v>
      </c>
    </row>
    <row r="103" spans="1:13">
      <c r="A103" s="27" t="s">
        <v>447</v>
      </c>
      <c r="B103" s="27" t="s">
        <v>448</v>
      </c>
      <c r="C103" s="27" t="s">
        <v>449</v>
      </c>
      <c r="D103" s="27" t="s">
        <v>450</v>
      </c>
      <c r="E103">
        <v>50.061430000000001</v>
      </c>
      <c r="F103">
        <v>19.936579999999999</v>
      </c>
      <c r="G103" t="s">
        <v>1160</v>
      </c>
      <c r="H103" s="1"/>
      <c r="I103" s="1"/>
      <c r="J103" s="27" t="s">
        <v>274</v>
      </c>
      <c r="K103" s="29">
        <v>46691.041666666664</v>
      </c>
      <c r="L103" s="29">
        <v>46838.041666666664</v>
      </c>
      <c r="M103" s="27">
        <v>1</v>
      </c>
    </row>
    <row r="104" spans="1:13">
      <c r="A104" s="27" t="s">
        <v>451</v>
      </c>
      <c r="B104" s="27" t="s">
        <v>452</v>
      </c>
      <c r="C104" s="27" t="s">
        <v>453</v>
      </c>
      <c r="D104" s="27" t="s">
        <v>454</v>
      </c>
      <c r="E104">
        <v>56.037419999999997</v>
      </c>
      <c r="F104">
        <v>92.931359999999998</v>
      </c>
      <c r="G104" t="s">
        <v>1141</v>
      </c>
      <c r="H104" s="1"/>
      <c r="I104" s="1"/>
      <c r="J104" s="27" t="s">
        <v>274</v>
      </c>
      <c r="K104" s="29">
        <v>46838.041666666664</v>
      </c>
      <c r="L104" s="29">
        <v>47055.041666666664</v>
      </c>
      <c r="M104" s="27">
        <v>2</v>
      </c>
    </row>
    <row r="105" spans="1:13">
      <c r="A105" s="27" t="s">
        <v>455</v>
      </c>
      <c r="B105" s="27" t="s">
        <v>456</v>
      </c>
      <c r="C105" s="27" t="s">
        <v>362</v>
      </c>
      <c r="D105" s="27" t="s">
        <v>457</v>
      </c>
      <c r="E105">
        <v>3.1412</v>
      </c>
      <c r="F105">
        <v>101.68653</v>
      </c>
      <c r="G105" t="s">
        <v>1161</v>
      </c>
      <c r="H105" s="1"/>
      <c r="I105" s="1"/>
      <c r="J105" s="27" t="s">
        <v>274</v>
      </c>
      <c r="K105" s="29">
        <v>47055.041666666664</v>
      </c>
      <c r="L105" s="29">
        <v>47119</v>
      </c>
      <c r="M105" s="27">
        <v>1</v>
      </c>
    </row>
    <row r="106" spans="1:13">
      <c r="A106" s="27" t="s">
        <v>458</v>
      </c>
      <c r="B106" s="27" t="s">
        <v>459</v>
      </c>
      <c r="C106" s="27" t="s">
        <v>402</v>
      </c>
      <c r="D106" s="27" t="s">
        <v>460</v>
      </c>
      <c r="E106">
        <v>50.454659999999997</v>
      </c>
      <c r="F106">
        <v>30.523800000000001</v>
      </c>
      <c r="G106" t="s">
        <v>1162</v>
      </c>
      <c r="H106" s="1"/>
      <c r="I106" s="1"/>
      <c r="J106" s="27" t="s">
        <v>277</v>
      </c>
      <c r="K106" s="29">
        <v>46023</v>
      </c>
      <c r="L106" s="29">
        <v>47119</v>
      </c>
      <c r="M106" s="27">
        <v>1</v>
      </c>
    </row>
    <row r="107" spans="1:13">
      <c r="A107" s="27" t="s">
        <v>461</v>
      </c>
      <c r="B107" s="27" t="s">
        <v>462</v>
      </c>
      <c r="C107" s="27" t="s">
        <v>463</v>
      </c>
      <c r="D107" s="27" t="s">
        <v>464</v>
      </c>
      <c r="E107">
        <v>-16.5</v>
      </c>
      <c r="F107">
        <v>-68.150000000000006</v>
      </c>
      <c r="G107" t="s">
        <v>1163</v>
      </c>
      <c r="H107" s="1"/>
      <c r="I107" s="1"/>
      <c r="J107" s="27" t="s">
        <v>280</v>
      </c>
      <c r="K107" s="29">
        <v>46023</v>
      </c>
      <c r="L107" s="29">
        <v>47119</v>
      </c>
      <c r="M107" s="27">
        <v>10</v>
      </c>
    </row>
    <row r="108" spans="1:13">
      <c r="A108" s="27" t="s">
        <v>465</v>
      </c>
      <c r="B108" s="27" t="s">
        <v>466</v>
      </c>
      <c r="C108" s="27" t="s">
        <v>394</v>
      </c>
      <c r="D108" s="27" t="s">
        <v>467</v>
      </c>
      <c r="E108">
        <v>-13.96692</v>
      </c>
      <c r="F108">
        <v>33.78725</v>
      </c>
      <c r="G108" t="s">
        <v>1164</v>
      </c>
      <c r="H108" s="1"/>
      <c r="I108" s="1"/>
      <c r="J108" s="27" t="s">
        <v>284</v>
      </c>
      <c r="K108" s="29">
        <v>46023</v>
      </c>
      <c r="L108" s="29">
        <v>46110.041666666664</v>
      </c>
      <c r="M108" s="27">
        <v>1</v>
      </c>
    </row>
    <row r="109" spans="1:13">
      <c r="A109" s="27" t="s">
        <v>468</v>
      </c>
      <c r="B109" s="27" t="s">
        <v>469</v>
      </c>
      <c r="C109" s="27" t="s">
        <v>200</v>
      </c>
      <c r="D109" s="27" t="s">
        <v>201</v>
      </c>
      <c r="E109">
        <v>-12.04318</v>
      </c>
      <c r="F109">
        <v>-77.028239999999997</v>
      </c>
      <c r="G109" t="s">
        <v>1115</v>
      </c>
      <c r="H109" s="1"/>
      <c r="I109" s="1"/>
      <c r="J109" s="27" t="s">
        <v>284</v>
      </c>
      <c r="K109" s="29">
        <v>46110.041666666664</v>
      </c>
      <c r="L109" s="29">
        <v>46320.041666666664</v>
      </c>
      <c r="M109" s="27">
        <v>2</v>
      </c>
    </row>
    <row r="110" spans="1:13">
      <c r="A110" s="27" t="s">
        <v>470</v>
      </c>
      <c r="B110" s="27" t="s">
        <v>471</v>
      </c>
      <c r="C110" s="27" t="s">
        <v>152</v>
      </c>
      <c r="D110" s="27" t="s">
        <v>472</v>
      </c>
      <c r="E110">
        <v>38.725090000000002</v>
      </c>
      <c r="F110">
        <v>-9.1498000000000008</v>
      </c>
      <c r="G110" t="s">
        <v>1165</v>
      </c>
      <c r="H110" s="1"/>
      <c r="I110" s="1"/>
      <c r="J110" s="27" t="s">
        <v>284</v>
      </c>
      <c r="K110" s="29">
        <v>46320.041666666664</v>
      </c>
      <c r="L110" s="29">
        <v>46474.041666666664</v>
      </c>
      <c r="M110" s="27">
        <v>1</v>
      </c>
    </row>
    <row r="111" spans="1:13">
      <c r="A111" s="27" t="s">
        <v>473</v>
      </c>
      <c r="B111" s="27" t="s">
        <v>474</v>
      </c>
      <c r="C111" s="27" t="s">
        <v>250</v>
      </c>
      <c r="D111" s="27" t="s">
        <v>475</v>
      </c>
      <c r="E111">
        <v>46.051079999999999</v>
      </c>
      <c r="F111">
        <v>14.505129999999999</v>
      </c>
      <c r="G111" t="s">
        <v>1166</v>
      </c>
      <c r="H111" s="1"/>
      <c r="I111" s="1"/>
      <c r="J111" s="27" t="s">
        <v>284</v>
      </c>
      <c r="K111" s="29">
        <v>46474.041666666664</v>
      </c>
      <c r="L111" s="29">
        <v>46691.041666666664</v>
      </c>
      <c r="M111" s="27">
        <v>2</v>
      </c>
    </row>
    <row r="112" spans="1:13">
      <c r="A112" s="27" t="s">
        <v>476</v>
      </c>
      <c r="B112" s="27" t="s">
        <v>477</v>
      </c>
      <c r="C112" s="27" t="s">
        <v>168</v>
      </c>
      <c r="D112" s="27" t="s">
        <v>478</v>
      </c>
      <c r="E112">
        <v>6.1287399999999996</v>
      </c>
      <c r="F112">
        <v>1.2215400000000001</v>
      </c>
      <c r="G112" t="s">
        <v>1167</v>
      </c>
      <c r="H112" s="1"/>
      <c r="I112" s="1"/>
      <c r="J112" s="27" t="s">
        <v>284</v>
      </c>
      <c r="K112" s="29">
        <v>46691.041666666664</v>
      </c>
      <c r="L112" s="29">
        <v>46838.041666666664</v>
      </c>
      <c r="M112" s="27">
        <v>1</v>
      </c>
    </row>
    <row r="113" spans="1:13">
      <c r="A113" s="27" t="s">
        <v>479</v>
      </c>
      <c r="B113" s="27" t="s">
        <v>480</v>
      </c>
      <c r="C113" s="27" t="s">
        <v>164</v>
      </c>
      <c r="D113" s="27" t="s">
        <v>481</v>
      </c>
      <c r="E113">
        <v>-8.8368199999999995</v>
      </c>
      <c r="F113">
        <v>13.23432</v>
      </c>
      <c r="G113" t="s">
        <v>1168</v>
      </c>
      <c r="H113" s="1"/>
      <c r="I113" s="1"/>
      <c r="J113" s="27" t="s">
        <v>284</v>
      </c>
      <c r="K113" s="29">
        <v>46838.041666666664</v>
      </c>
      <c r="L113" s="29">
        <v>47055.041666666664</v>
      </c>
      <c r="M113" s="27">
        <v>2</v>
      </c>
    </row>
    <row r="114" spans="1:13">
      <c r="A114" s="27" t="s">
        <v>482</v>
      </c>
      <c r="B114" s="27" t="s">
        <v>483</v>
      </c>
      <c r="C114" s="27" t="s">
        <v>394</v>
      </c>
      <c r="D114" s="27" t="s">
        <v>484</v>
      </c>
      <c r="E114">
        <v>-15.406689999999999</v>
      </c>
      <c r="F114">
        <v>28.287130000000001</v>
      </c>
      <c r="G114" t="s">
        <v>1169</v>
      </c>
      <c r="H114" s="1"/>
      <c r="I114" s="1"/>
      <c r="J114" s="27" t="s">
        <v>284</v>
      </c>
      <c r="K114" s="29">
        <v>47055.041666666664</v>
      </c>
      <c r="L114" s="29">
        <v>47119</v>
      </c>
      <c r="M114" s="27">
        <v>1</v>
      </c>
    </row>
    <row r="115" spans="1:13">
      <c r="A115" s="27" t="s">
        <v>485</v>
      </c>
      <c r="B115" s="27" t="s">
        <v>486</v>
      </c>
      <c r="C115" s="27" t="s">
        <v>150</v>
      </c>
      <c r="D115" s="27" t="s">
        <v>487</v>
      </c>
      <c r="E115">
        <v>49.609819999999999</v>
      </c>
      <c r="F115">
        <v>6.1326799999999997</v>
      </c>
      <c r="G115" t="s">
        <v>1170</v>
      </c>
      <c r="H115" s="1"/>
      <c r="I115" s="1"/>
      <c r="J115" s="27" t="s">
        <v>287</v>
      </c>
      <c r="K115" s="29">
        <v>46023</v>
      </c>
      <c r="L115" s="29">
        <v>46110.041666666664</v>
      </c>
      <c r="M115" s="27">
        <v>1</v>
      </c>
    </row>
    <row r="116" spans="1:13">
      <c r="A116" s="27" t="s">
        <v>488</v>
      </c>
      <c r="B116" s="27" t="s">
        <v>489</v>
      </c>
      <c r="C116" s="27" t="s">
        <v>236</v>
      </c>
      <c r="D116" s="27" t="s">
        <v>490</v>
      </c>
      <c r="E116">
        <v>45.74906</v>
      </c>
      <c r="F116">
        <v>4.8478899999999996</v>
      </c>
      <c r="G116" t="s">
        <v>905</v>
      </c>
      <c r="H116" s="1"/>
      <c r="I116" s="1"/>
      <c r="J116" s="27" t="s">
        <v>287</v>
      </c>
      <c r="K116" s="29">
        <v>46110.041666666664</v>
      </c>
      <c r="L116" s="29">
        <v>46320.041666666664</v>
      </c>
      <c r="M116" s="27">
        <v>2</v>
      </c>
    </row>
    <row r="117" spans="1:13">
      <c r="A117" s="27" t="s">
        <v>491</v>
      </c>
      <c r="B117" s="27" t="s">
        <v>492</v>
      </c>
      <c r="C117" s="27" t="s">
        <v>236</v>
      </c>
      <c r="D117" s="27" t="s">
        <v>237</v>
      </c>
      <c r="E117">
        <v>40.416499999999999</v>
      </c>
      <c r="F117">
        <v>-3.7025600000000001</v>
      </c>
      <c r="G117" t="s">
        <v>1125</v>
      </c>
      <c r="H117" s="1"/>
      <c r="I117" s="1"/>
      <c r="J117" s="27" t="s">
        <v>287</v>
      </c>
      <c r="K117" s="29">
        <v>46320.041666666664</v>
      </c>
      <c r="L117" s="29">
        <v>46474.041666666664</v>
      </c>
      <c r="M117" s="27">
        <v>1</v>
      </c>
    </row>
    <row r="118" spans="1:13">
      <c r="A118" s="27" t="s">
        <v>493</v>
      </c>
      <c r="B118" s="27" t="s">
        <v>494</v>
      </c>
      <c r="C118" s="27" t="s">
        <v>388</v>
      </c>
      <c r="D118" s="27" t="s">
        <v>495</v>
      </c>
      <c r="E118">
        <v>12.132820000000001</v>
      </c>
      <c r="F118">
        <v>-86.250399999999999</v>
      </c>
      <c r="G118" t="s">
        <v>1171</v>
      </c>
      <c r="H118" s="1"/>
      <c r="I118" s="1"/>
      <c r="J118" s="27" t="s">
        <v>287</v>
      </c>
      <c r="K118" s="29">
        <v>46474.041666666664</v>
      </c>
      <c r="L118" s="29">
        <v>46691.041666666664</v>
      </c>
      <c r="M118" s="27">
        <v>2</v>
      </c>
    </row>
    <row r="119" spans="1:13">
      <c r="A119" s="27" t="s">
        <v>496</v>
      </c>
      <c r="B119" s="27" t="s">
        <v>497</v>
      </c>
      <c r="C119" s="27" t="s">
        <v>463</v>
      </c>
      <c r="D119" s="27" t="s">
        <v>498</v>
      </c>
      <c r="E119">
        <v>-3.1019399999999999</v>
      </c>
      <c r="F119">
        <v>-60.024999999999999</v>
      </c>
      <c r="G119" t="s">
        <v>1128</v>
      </c>
      <c r="H119" s="1"/>
      <c r="I119" s="1"/>
      <c r="J119" s="27" t="s">
        <v>287</v>
      </c>
      <c r="K119" s="29">
        <v>46691.041666666664</v>
      </c>
      <c r="L119" s="29">
        <v>46838.041666666664</v>
      </c>
      <c r="M119" s="27">
        <v>1</v>
      </c>
    </row>
    <row r="120" spans="1:13">
      <c r="A120" s="27" t="s">
        <v>499</v>
      </c>
      <c r="B120" s="27" t="s">
        <v>500</v>
      </c>
      <c r="C120" s="27" t="s">
        <v>362</v>
      </c>
      <c r="D120" s="27" t="s">
        <v>501</v>
      </c>
      <c r="E120">
        <v>14.604200000000001</v>
      </c>
      <c r="F120">
        <v>120.98220000000001</v>
      </c>
      <c r="G120" t="s">
        <v>1172</v>
      </c>
      <c r="H120" s="1"/>
      <c r="I120" s="1"/>
      <c r="J120" s="27" t="s">
        <v>287</v>
      </c>
      <c r="K120" s="29">
        <v>46838.041666666664</v>
      </c>
      <c r="L120" s="29">
        <v>47055.041666666664</v>
      </c>
      <c r="M120" s="27">
        <v>2</v>
      </c>
    </row>
    <row r="121" spans="1:13">
      <c r="A121" s="27" t="s">
        <v>502</v>
      </c>
      <c r="B121" s="27" t="s">
        <v>503</v>
      </c>
      <c r="C121" s="27" t="s">
        <v>394</v>
      </c>
      <c r="D121" s="27" t="s">
        <v>504</v>
      </c>
      <c r="E121">
        <v>-25.965530000000001</v>
      </c>
      <c r="F121">
        <v>32.583219999999997</v>
      </c>
      <c r="G121" t="s">
        <v>1173</v>
      </c>
      <c r="H121" s="1"/>
      <c r="I121" s="1"/>
      <c r="J121" s="27" t="s">
        <v>287</v>
      </c>
      <c r="K121" s="29">
        <v>47055.041666666664</v>
      </c>
      <c r="L121" s="29">
        <v>47119</v>
      </c>
      <c r="M121" s="27">
        <v>1</v>
      </c>
    </row>
    <row r="122" spans="1:13">
      <c r="A122" s="27" t="s">
        <v>505</v>
      </c>
      <c r="B122" s="27" t="s">
        <v>506</v>
      </c>
      <c r="C122" s="27" t="s">
        <v>144</v>
      </c>
      <c r="D122" s="27" t="s">
        <v>231</v>
      </c>
      <c r="E122">
        <v>3.5833300000000001</v>
      </c>
      <c r="F122">
        <v>98.666669999999996</v>
      </c>
      <c r="G122" t="s">
        <v>1123</v>
      </c>
      <c r="H122" s="1"/>
      <c r="I122" s="1"/>
      <c r="J122" s="27" t="s">
        <v>290</v>
      </c>
      <c r="K122" s="29">
        <v>46023</v>
      </c>
      <c r="L122" s="29">
        <v>46110.041666666664</v>
      </c>
      <c r="M122" s="27">
        <v>1</v>
      </c>
    </row>
    <row r="123" spans="1:13">
      <c r="A123" s="27" t="s">
        <v>507</v>
      </c>
      <c r="B123" s="27" t="s">
        <v>508</v>
      </c>
      <c r="C123" s="27" t="s">
        <v>200</v>
      </c>
      <c r="D123" s="27" t="s">
        <v>267</v>
      </c>
      <c r="E123">
        <v>6.2450000000000001</v>
      </c>
      <c r="F123">
        <v>-75.571510000000004</v>
      </c>
      <c r="G123" t="s">
        <v>1131</v>
      </c>
      <c r="H123" s="1"/>
      <c r="I123" s="1"/>
      <c r="J123" s="27" t="s">
        <v>290</v>
      </c>
      <c r="K123" s="29">
        <v>46110.041666666664</v>
      </c>
      <c r="L123" s="29">
        <v>46320.041666666664</v>
      </c>
      <c r="M123" s="27">
        <v>2</v>
      </c>
    </row>
    <row r="124" spans="1:13">
      <c r="A124" s="27" t="s">
        <v>509</v>
      </c>
      <c r="B124" s="27" t="s">
        <v>510</v>
      </c>
      <c r="C124" s="27" t="s">
        <v>310</v>
      </c>
      <c r="D124" s="27" t="s">
        <v>511</v>
      </c>
      <c r="E124">
        <v>-37.814</v>
      </c>
      <c r="F124">
        <v>144.96332000000001</v>
      </c>
      <c r="G124" t="s">
        <v>1108</v>
      </c>
      <c r="H124" s="1"/>
      <c r="I124" s="1"/>
      <c r="J124" s="27" t="s">
        <v>290</v>
      </c>
      <c r="K124" s="29">
        <v>46320.041666666664</v>
      </c>
      <c r="L124" s="29">
        <v>46474.041666666664</v>
      </c>
      <c r="M124" s="27">
        <v>1</v>
      </c>
    </row>
    <row r="125" spans="1:13">
      <c r="A125" s="27" t="s">
        <v>512</v>
      </c>
      <c r="B125" s="27" t="s">
        <v>513</v>
      </c>
      <c r="C125" s="27" t="s">
        <v>300</v>
      </c>
      <c r="D125" s="27" t="s">
        <v>514</v>
      </c>
      <c r="E125">
        <v>-32.88946</v>
      </c>
      <c r="F125">
        <v>-68.845820000000003</v>
      </c>
      <c r="G125" t="s">
        <v>1138</v>
      </c>
      <c r="H125" s="1"/>
      <c r="I125" s="1"/>
      <c r="J125" s="27" t="s">
        <v>290</v>
      </c>
      <c r="K125" s="29">
        <v>46474.041666666664</v>
      </c>
      <c r="L125" s="29">
        <v>46691.041666666664</v>
      </c>
      <c r="M125" s="27">
        <v>2</v>
      </c>
    </row>
    <row r="126" spans="1:13">
      <c r="A126" s="27" t="s">
        <v>515</v>
      </c>
      <c r="B126" s="27" t="s">
        <v>516</v>
      </c>
      <c r="C126" s="27" t="s">
        <v>517</v>
      </c>
      <c r="D126" s="27" t="s">
        <v>518</v>
      </c>
      <c r="E126">
        <v>19.428470000000001</v>
      </c>
      <c r="F126">
        <v>-99.127660000000006</v>
      </c>
      <c r="G126" t="s">
        <v>1174</v>
      </c>
      <c r="H126" s="1"/>
      <c r="I126" s="1"/>
      <c r="J126" s="27" t="s">
        <v>290</v>
      </c>
      <c r="K126" s="29">
        <v>46691.041666666664</v>
      </c>
      <c r="L126" s="29">
        <v>46838.041666666664</v>
      </c>
      <c r="M126" s="27">
        <v>1</v>
      </c>
    </row>
    <row r="127" spans="1:13">
      <c r="A127" s="27" t="s">
        <v>519</v>
      </c>
      <c r="B127" s="27" t="s">
        <v>520</v>
      </c>
      <c r="C127" s="27" t="s">
        <v>172</v>
      </c>
      <c r="D127" s="27" t="s">
        <v>521</v>
      </c>
      <c r="E127">
        <v>2.0371100000000002</v>
      </c>
      <c r="F127">
        <v>45.34375</v>
      </c>
      <c r="G127" t="s">
        <v>1175</v>
      </c>
      <c r="H127" s="1"/>
      <c r="I127" s="1"/>
      <c r="J127" s="27" t="s">
        <v>290</v>
      </c>
      <c r="K127" s="29">
        <v>46838.041666666664</v>
      </c>
      <c r="L127" s="29">
        <v>47055.041666666664</v>
      </c>
      <c r="M127" s="27">
        <v>2</v>
      </c>
    </row>
    <row r="128" spans="1:13">
      <c r="A128" s="27" t="s">
        <v>522</v>
      </c>
      <c r="B128" s="27" t="s">
        <v>523</v>
      </c>
      <c r="C128" s="27" t="s">
        <v>150</v>
      </c>
      <c r="D128" s="27" t="s">
        <v>524</v>
      </c>
      <c r="E128">
        <v>43.737180000000002</v>
      </c>
      <c r="F128">
        <v>7.4214500000000001</v>
      </c>
      <c r="G128" t="s">
        <v>1176</v>
      </c>
      <c r="H128" s="1"/>
      <c r="I128" s="1"/>
      <c r="J128" s="27" t="s">
        <v>290</v>
      </c>
      <c r="K128" s="29">
        <v>47055.041666666664</v>
      </c>
      <c r="L128" s="29">
        <v>47119</v>
      </c>
      <c r="M128" s="27">
        <v>1</v>
      </c>
    </row>
    <row r="129" spans="1:13">
      <c r="A129" s="27" t="s">
        <v>525</v>
      </c>
      <c r="B129" s="27" t="s">
        <v>526</v>
      </c>
      <c r="C129" s="27" t="s">
        <v>168</v>
      </c>
      <c r="D129" s="27" t="s">
        <v>527</v>
      </c>
      <c r="E129">
        <v>6.3005399999999998</v>
      </c>
      <c r="F129">
        <v>-10.796900000000001</v>
      </c>
      <c r="G129" t="s">
        <v>1177</v>
      </c>
      <c r="H129" s="1"/>
      <c r="I129" s="1"/>
      <c r="J129" s="27" t="s">
        <v>292</v>
      </c>
      <c r="K129" s="29">
        <v>46023</v>
      </c>
      <c r="L129" s="29">
        <v>46110.041666666664</v>
      </c>
      <c r="M129" s="27">
        <v>2</v>
      </c>
    </row>
    <row r="130" spans="1:13">
      <c r="A130" s="27" t="s">
        <v>528</v>
      </c>
      <c r="B130" s="27" t="s">
        <v>529</v>
      </c>
      <c r="C130" s="27" t="s">
        <v>530</v>
      </c>
      <c r="D130" s="27" t="s">
        <v>531</v>
      </c>
      <c r="E130">
        <v>-34.903280000000002</v>
      </c>
      <c r="F130">
        <v>-56.188160000000003</v>
      </c>
      <c r="G130" t="s">
        <v>1178</v>
      </c>
      <c r="H130" s="1"/>
      <c r="I130" s="1"/>
      <c r="J130" s="27" t="s">
        <v>292</v>
      </c>
      <c r="K130" s="29">
        <v>46110.041666666664</v>
      </c>
      <c r="L130" s="29">
        <v>46320.041666666664</v>
      </c>
      <c r="M130" s="27">
        <v>3</v>
      </c>
    </row>
    <row r="131" spans="1:13">
      <c r="A131" s="27" t="s">
        <v>532</v>
      </c>
      <c r="B131" s="27" t="s">
        <v>533</v>
      </c>
      <c r="C131" s="27" t="s">
        <v>432</v>
      </c>
      <c r="D131" s="27" t="s">
        <v>433</v>
      </c>
      <c r="E131">
        <v>55.752040000000001</v>
      </c>
      <c r="F131">
        <v>37.617809999999999</v>
      </c>
      <c r="G131" t="s">
        <v>1141</v>
      </c>
      <c r="H131" s="1"/>
      <c r="I131" s="1"/>
      <c r="J131" s="27" t="s">
        <v>292</v>
      </c>
      <c r="K131" s="29">
        <v>46320.041666666664</v>
      </c>
      <c r="L131" s="29">
        <v>46474.041666666664</v>
      </c>
      <c r="M131" s="27">
        <v>2</v>
      </c>
    </row>
    <row r="132" spans="1:13">
      <c r="A132" s="27" t="s">
        <v>534</v>
      </c>
      <c r="B132" s="27" t="s">
        <v>535</v>
      </c>
      <c r="C132" s="27" t="s">
        <v>150</v>
      </c>
      <c r="D132" s="27" t="s">
        <v>258</v>
      </c>
      <c r="E132">
        <v>48.137430000000002</v>
      </c>
      <c r="F132">
        <v>11.57549</v>
      </c>
      <c r="G132" t="s">
        <v>1129</v>
      </c>
      <c r="H132" s="1"/>
      <c r="I132" s="1"/>
      <c r="J132" s="27" t="s">
        <v>292</v>
      </c>
      <c r="K132" s="29">
        <v>46474.041666666664</v>
      </c>
      <c r="L132" s="29">
        <v>46691.041666666664</v>
      </c>
      <c r="M132" s="27">
        <v>3</v>
      </c>
    </row>
    <row r="133" spans="1:13">
      <c r="A133" s="27" t="s">
        <v>536</v>
      </c>
      <c r="B133" s="27" t="s">
        <v>537</v>
      </c>
      <c r="C133" s="27" t="s">
        <v>164</v>
      </c>
      <c r="D133" s="27" t="s">
        <v>538</v>
      </c>
      <c r="E133">
        <v>12.106719999999999</v>
      </c>
      <c r="F133">
        <v>15.0444</v>
      </c>
      <c r="G133" t="s">
        <v>1179</v>
      </c>
      <c r="H133" s="1"/>
      <c r="I133" s="1"/>
      <c r="J133" s="27" t="s">
        <v>292</v>
      </c>
      <c r="K133" s="29">
        <v>46691.041666666664</v>
      </c>
      <c r="L133" s="29">
        <v>46838.041666666664</v>
      </c>
      <c r="M133" s="27">
        <v>2</v>
      </c>
    </row>
    <row r="134" spans="1:13">
      <c r="A134" s="27" t="s">
        <v>539</v>
      </c>
      <c r="B134" s="27" t="s">
        <v>540</v>
      </c>
      <c r="C134" s="27" t="s">
        <v>172</v>
      </c>
      <c r="D134" s="27" t="s">
        <v>541</v>
      </c>
      <c r="E134">
        <v>-1.2833300000000001</v>
      </c>
      <c r="F134">
        <v>36.816670000000002</v>
      </c>
      <c r="G134" t="s">
        <v>1180</v>
      </c>
      <c r="H134" s="1"/>
      <c r="I134" s="1"/>
      <c r="J134" s="27" t="s">
        <v>292</v>
      </c>
      <c r="K134" s="29">
        <v>46838.041666666664</v>
      </c>
      <c r="L134" s="29">
        <v>47055.041666666664</v>
      </c>
      <c r="M134" s="27">
        <v>3</v>
      </c>
    </row>
    <row r="135" spans="1:13">
      <c r="A135" s="27" t="s">
        <v>542</v>
      </c>
      <c r="B135" s="27" t="s">
        <v>543</v>
      </c>
      <c r="C135" s="27" t="s">
        <v>544</v>
      </c>
      <c r="D135" s="27" t="s">
        <v>545</v>
      </c>
      <c r="E135">
        <v>19.745000000000001</v>
      </c>
      <c r="F135">
        <v>96.129720000000006</v>
      </c>
      <c r="G135" t="s">
        <v>1181</v>
      </c>
      <c r="H135" s="1"/>
      <c r="I135" s="1"/>
      <c r="J135" s="27" t="s">
        <v>292</v>
      </c>
      <c r="K135" s="29">
        <v>47055.041666666664</v>
      </c>
      <c r="L135" s="29">
        <v>47119</v>
      </c>
      <c r="M135" s="27">
        <v>2</v>
      </c>
    </row>
    <row r="136" spans="1:13">
      <c r="A136" s="27" t="s">
        <v>546</v>
      </c>
      <c r="B136" s="27" t="s">
        <v>547</v>
      </c>
      <c r="C136" s="27" t="s">
        <v>310</v>
      </c>
      <c r="D136" s="27" t="s">
        <v>311</v>
      </c>
      <c r="E136">
        <v>-32.92953</v>
      </c>
      <c r="F136">
        <v>151.7801</v>
      </c>
      <c r="G136" t="s">
        <v>1108</v>
      </c>
      <c r="H136" s="1"/>
      <c r="I136" s="1"/>
      <c r="J136" s="27" t="s">
        <v>295</v>
      </c>
      <c r="K136" s="29">
        <v>46023</v>
      </c>
      <c r="L136" s="29">
        <v>46110.041666666664</v>
      </c>
      <c r="M136" s="27">
        <v>1</v>
      </c>
    </row>
    <row r="137" spans="1:13">
      <c r="A137" s="27" t="s">
        <v>548</v>
      </c>
      <c r="B137" s="27" t="s">
        <v>549</v>
      </c>
      <c r="C137" s="27" t="s">
        <v>164</v>
      </c>
      <c r="D137" s="27" t="s">
        <v>550</v>
      </c>
      <c r="E137">
        <v>13.51366</v>
      </c>
      <c r="F137">
        <v>2.1097999999999999</v>
      </c>
      <c r="G137" t="s">
        <v>1182</v>
      </c>
      <c r="H137" s="1"/>
      <c r="I137" s="1"/>
      <c r="J137" s="27" t="s">
        <v>295</v>
      </c>
      <c r="K137" s="29">
        <v>46110.041666666664</v>
      </c>
      <c r="L137" s="29">
        <v>46320.041666666664</v>
      </c>
      <c r="M137" s="27">
        <v>2</v>
      </c>
    </row>
    <row r="138" spans="1:13">
      <c r="A138" s="27" t="s">
        <v>551</v>
      </c>
      <c r="B138" s="27" t="s">
        <v>552</v>
      </c>
      <c r="C138" s="27" t="s">
        <v>432</v>
      </c>
      <c r="D138" s="27" t="s">
        <v>433</v>
      </c>
      <c r="E138">
        <v>56.328670000000002</v>
      </c>
      <c r="F138">
        <v>44.002049999999997</v>
      </c>
      <c r="G138" t="s">
        <v>1141</v>
      </c>
      <c r="H138" s="1"/>
      <c r="I138" s="1"/>
      <c r="J138" s="27" t="s">
        <v>295</v>
      </c>
      <c r="K138" s="29">
        <v>46320.041666666664</v>
      </c>
      <c r="L138" s="29">
        <v>46474.041666666664</v>
      </c>
      <c r="M138" s="27">
        <v>1</v>
      </c>
    </row>
    <row r="139" spans="1:13">
      <c r="A139" s="27" t="s">
        <v>553</v>
      </c>
      <c r="B139" s="27" t="s">
        <v>554</v>
      </c>
      <c r="C139" s="27" t="s">
        <v>168</v>
      </c>
      <c r="D139" s="27" t="s">
        <v>555</v>
      </c>
      <c r="E139">
        <v>18.085809999999999</v>
      </c>
      <c r="F139">
        <v>-15.9785</v>
      </c>
      <c r="G139" t="s">
        <v>1183</v>
      </c>
      <c r="H139" s="1"/>
      <c r="I139" s="1"/>
      <c r="J139" s="27" t="s">
        <v>295</v>
      </c>
      <c r="K139" s="29">
        <v>46474.041666666664</v>
      </c>
      <c r="L139" s="29">
        <v>46691.041666666664</v>
      </c>
      <c r="M139" s="27">
        <v>2</v>
      </c>
    </row>
    <row r="140" spans="1:13">
      <c r="A140" s="27" t="s">
        <v>556</v>
      </c>
      <c r="B140" s="27" t="s">
        <v>557</v>
      </c>
      <c r="C140" s="27" t="s">
        <v>558</v>
      </c>
      <c r="D140" s="27" t="s">
        <v>559</v>
      </c>
      <c r="E140">
        <v>55.022590000000001</v>
      </c>
      <c r="F140">
        <v>82.931749999999994</v>
      </c>
      <c r="G140" t="s">
        <v>1141</v>
      </c>
      <c r="H140" s="1"/>
      <c r="I140" s="1"/>
      <c r="J140" s="27" t="s">
        <v>295</v>
      </c>
      <c r="K140" s="29">
        <v>46691.041666666664</v>
      </c>
      <c r="L140" s="29">
        <v>46838.041666666664</v>
      </c>
      <c r="M140" s="27">
        <v>1</v>
      </c>
    </row>
    <row r="141" spans="1:13">
      <c r="A141" s="27" t="s">
        <v>560</v>
      </c>
      <c r="B141" s="27" t="s">
        <v>561</v>
      </c>
      <c r="C141" s="27" t="s">
        <v>150</v>
      </c>
      <c r="D141" s="27" t="s">
        <v>562</v>
      </c>
      <c r="E141">
        <v>59.912730000000003</v>
      </c>
      <c r="F141">
        <v>10.746090000000001</v>
      </c>
      <c r="G141" t="s">
        <v>907</v>
      </c>
      <c r="H141" s="1"/>
      <c r="I141" s="1"/>
      <c r="J141" s="27" t="s">
        <v>295</v>
      </c>
      <c r="K141" s="29">
        <v>46838.041666666664</v>
      </c>
      <c r="L141" s="29">
        <v>47055.041666666664</v>
      </c>
      <c r="M141" s="27">
        <v>2</v>
      </c>
    </row>
    <row r="142" spans="1:13">
      <c r="A142" s="27" t="s">
        <v>563</v>
      </c>
      <c r="B142" s="27" t="s">
        <v>564</v>
      </c>
      <c r="C142" s="27" t="s">
        <v>154</v>
      </c>
      <c r="D142" s="27" t="s">
        <v>565</v>
      </c>
      <c r="E142">
        <v>45.411169999999998</v>
      </c>
      <c r="F142">
        <v>-75.698120000000003</v>
      </c>
      <c r="G142" t="s">
        <v>912</v>
      </c>
      <c r="H142" s="1"/>
      <c r="I142" s="1"/>
      <c r="J142" s="27" t="s">
        <v>295</v>
      </c>
      <c r="K142" s="29">
        <v>47055.041666666664</v>
      </c>
      <c r="L142" s="29">
        <v>47119</v>
      </c>
      <c r="M142" s="27">
        <v>1</v>
      </c>
    </row>
    <row r="143" spans="1:13">
      <c r="A143" s="27" t="s">
        <v>566</v>
      </c>
      <c r="B143" s="27" t="s">
        <v>567</v>
      </c>
      <c r="C143" s="27" t="s">
        <v>168</v>
      </c>
      <c r="D143" s="27" t="s">
        <v>568</v>
      </c>
      <c r="E143">
        <v>12.36566</v>
      </c>
      <c r="F143">
        <v>-1.5338799999999999</v>
      </c>
      <c r="G143" t="s">
        <v>1184</v>
      </c>
      <c r="H143" s="1"/>
      <c r="I143" s="1"/>
      <c r="J143" s="27" t="s">
        <v>298</v>
      </c>
      <c r="K143" s="29">
        <v>46023</v>
      </c>
      <c r="L143" s="29">
        <v>47119</v>
      </c>
      <c r="M143" s="27">
        <v>-3</v>
      </c>
    </row>
    <row r="144" spans="1:13">
      <c r="A144" s="27" t="s">
        <v>569</v>
      </c>
      <c r="B144" s="27" t="s">
        <v>570</v>
      </c>
      <c r="C144" s="27" t="s">
        <v>144</v>
      </c>
      <c r="D144" s="27" t="s">
        <v>231</v>
      </c>
      <c r="E144">
        <v>-2.9167299999999998</v>
      </c>
      <c r="F144">
        <v>104.7458</v>
      </c>
      <c r="G144" t="s">
        <v>1123</v>
      </c>
      <c r="H144" s="1"/>
      <c r="I144" s="1"/>
      <c r="J144" s="27" t="s">
        <v>302</v>
      </c>
      <c r="K144" s="29">
        <v>46023</v>
      </c>
      <c r="L144" s="29">
        <v>46135.916666666664</v>
      </c>
      <c r="M144" s="27">
        <v>2</v>
      </c>
    </row>
    <row r="145" spans="1:13">
      <c r="A145" s="27" t="s">
        <v>571</v>
      </c>
      <c r="B145" s="27" t="s">
        <v>572</v>
      </c>
      <c r="C145" s="27" t="s">
        <v>236</v>
      </c>
      <c r="D145" s="27" t="s">
        <v>490</v>
      </c>
      <c r="E145">
        <v>48.853409999999997</v>
      </c>
      <c r="F145">
        <v>2.3488000000000002</v>
      </c>
      <c r="G145" t="s">
        <v>905</v>
      </c>
      <c r="H145" s="1"/>
      <c r="I145" s="1"/>
      <c r="J145" s="27" t="s">
        <v>302</v>
      </c>
      <c r="K145" s="29">
        <v>46135.916666666664</v>
      </c>
      <c r="L145" s="29">
        <v>46324.875</v>
      </c>
      <c r="M145" s="27">
        <v>3</v>
      </c>
    </row>
    <row r="146" spans="1:13">
      <c r="A146" s="27" t="s">
        <v>573</v>
      </c>
      <c r="B146" s="27" t="s">
        <v>574</v>
      </c>
      <c r="C146" s="27" t="s">
        <v>575</v>
      </c>
      <c r="D146" s="27" t="s">
        <v>576</v>
      </c>
      <c r="E146">
        <v>-31.95224</v>
      </c>
      <c r="F146">
        <v>115.8614</v>
      </c>
      <c r="G146" t="s">
        <v>1108</v>
      </c>
      <c r="H146" s="1"/>
      <c r="I146" s="1"/>
      <c r="J146" s="27" t="s">
        <v>302</v>
      </c>
      <c r="K146" s="29">
        <v>46324.875</v>
      </c>
      <c r="L146" s="29">
        <v>46506.916666666664</v>
      </c>
      <c r="M146" s="27">
        <v>2</v>
      </c>
    </row>
    <row r="147" spans="1:13">
      <c r="A147" s="27" t="s">
        <v>577</v>
      </c>
      <c r="B147" s="27" t="s">
        <v>578</v>
      </c>
      <c r="C147" s="27" t="s">
        <v>154</v>
      </c>
      <c r="D147" s="27" t="s">
        <v>155</v>
      </c>
      <c r="E147">
        <v>39.952379999999998</v>
      </c>
      <c r="F147">
        <v>-75.163619999999995</v>
      </c>
      <c r="G147" t="s">
        <v>42</v>
      </c>
      <c r="H147" s="1"/>
      <c r="I147" s="1"/>
      <c r="J147" s="27" t="s">
        <v>302</v>
      </c>
      <c r="K147" s="29">
        <v>46506.916666666664</v>
      </c>
      <c r="L147" s="29">
        <v>46688.875</v>
      </c>
      <c r="M147" s="27">
        <v>3</v>
      </c>
    </row>
    <row r="148" spans="1:13">
      <c r="A148" s="27" t="s">
        <v>579</v>
      </c>
      <c r="B148" s="27" t="s">
        <v>580</v>
      </c>
      <c r="C148" s="27" t="s">
        <v>144</v>
      </c>
      <c r="D148" s="27" t="s">
        <v>581</v>
      </c>
      <c r="E148">
        <v>11.56245</v>
      </c>
      <c r="F148">
        <v>104.91601</v>
      </c>
      <c r="G148" t="s">
        <v>1185</v>
      </c>
      <c r="H148" s="1"/>
      <c r="I148" s="1"/>
      <c r="J148" s="27" t="s">
        <v>302</v>
      </c>
      <c r="K148" s="29">
        <v>46688.875</v>
      </c>
      <c r="L148" s="29">
        <v>46870.916666666664</v>
      </c>
      <c r="M148" s="27">
        <v>2</v>
      </c>
    </row>
    <row r="149" spans="1:13">
      <c r="A149" s="27" t="s">
        <v>582</v>
      </c>
      <c r="B149" s="27" t="s">
        <v>583</v>
      </c>
      <c r="C149" s="27" t="s">
        <v>584</v>
      </c>
      <c r="D149" s="27" t="s">
        <v>585</v>
      </c>
      <c r="E149">
        <v>33.44838</v>
      </c>
      <c r="F149">
        <v>-112.07404</v>
      </c>
      <c r="G149" t="s">
        <v>42</v>
      </c>
      <c r="H149" s="1"/>
      <c r="I149" s="1"/>
      <c r="J149" s="27" t="s">
        <v>302</v>
      </c>
      <c r="K149" s="29">
        <v>46870.916666666664</v>
      </c>
      <c r="L149" s="29">
        <v>47052.875</v>
      </c>
      <c r="M149" s="27">
        <v>3</v>
      </c>
    </row>
    <row r="150" spans="1:13">
      <c r="A150" s="27" t="s">
        <v>586</v>
      </c>
      <c r="B150" s="27" t="s">
        <v>587</v>
      </c>
      <c r="C150" s="27" t="s">
        <v>250</v>
      </c>
      <c r="D150" s="27" t="s">
        <v>588</v>
      </c>
      <c r="E150">
        <v>42.441240000000001</v>
      </c>
      <c r="F150">
        <v>19.263089999999998</v>
      </c>
      <c r="G150" t="s">
        <v>1186</v>
      </c>
      <c r="H150" s="1"/>
      <c r="I150" s="1"/>
      <c r="J150" s="27" t="s">
        <v>302</v>
      </c>
      <c r="K150" s="29">
        <v>47052.875</v>
      </c>
      <c r="L150" s="29">
        <v>47119</v>
      </c>
      <c r="M150" s="27">
        <v>2</v>
      </c>
    </row>
    <row r="151" spans="1:13">
      <c r="A151" s="27" t="s">
        <v>589</v>
      </c>
      <c r="B151" s="27" t="s">
        <v>590</v>
      </c>
      <c r="C151" s="27" t="s">
        <v>591</v>
      </c>
      <c r="D151" s="27" t="s">
        <v>592</v>
      </c>
      <c r="E151">
        <v>18.543489999999998</v>
      </c>
      <c r="F151">
        <v>-72.338809999999995</v>
      </c>
      <c r="G151" t="s">
        <v>1187</v>
      </c>
      <c r="H151" s="1"/>
      <c r="I151" s="1"/>
      <c r="J151" s="27" t="s">
        <v>306</v>
      </c>
      <c r="K151" s="29">
        <v>46023</v>
      </c>
      <c r="L151" s="29">
        <v>47119</v>
      </c>
      <c r="M151" s="27">
        <v>-5</v>
      </c>
    </row>
    <row r="152" spans="1:13">
      <c r="A152" s="27" t="s">
        <v>593</v>
      </c>
      <c r="B152" s="27" t="s">
        <v>594</v>
      </c>
      <c r="C152" s="27" t="s">
        <v>152</v>
      </c>
      <c r="D152" s="27" t="s">
        <v>472</v>
      </c>
      <c r="E152">
        <v>41.148499999999999</v>
      </c>
      <c r="F152">
        <v>-8.61097</v>
      </c>
      <c r="G152" t="s">
        <v>1165</v>
      </c>
      <c r="H152" s="1"/>
      <c r="I152" s="1"/>
      <c r="J152" s="27" t="s">
        <v>343</v>
      </c>
      <c r="K152" s="29">
        <v>46023</v>
      </c>
      <c r="L152" s="29">
        <v>47119</v>
      </c>
      <c r="M152" s="27">
        <v>7</v>
      </c>
    </row>
    <row r="153" spans="1:13">
      <c r="A153" s="27" t="s">
        <v>595</v>
      </c>
      <c r="B153" s="27" t="s">
        <v>596</v>
      </c>
      <c r="C153" s="27" t="s">
        <v>272</v>
      </c>
      <c r="D153" s="27" t="s">
        <v>273</v>
      </c>
      <c r="E153">
        <v>-30.032830000000001</v>
      </c>
      <c r="F153">
        <v>-51.23019</v>
      </c>
      <c r="G153" t="s">
        <v>1128</v>
      </c>
      <c r="H153" s="1"/>
      <c r="I153" s="1"/>
      <c r="J153" s="27" t="s">
        <v>308</v>
      </c>
      <c r="K153" s="29">
        <v>46023</v>
      </c>
      <c r="L153" s="29">
        <v>46116.666666666664</v>
      </c>
      <c r="M153" s="27">
        <v>11</v>
      </c>
    </row>
    <row r="154" spans="1:13">
      <c r="A154" s="27" t="s">
        <v>597</v>
      </c>
      <c r="B154" s="27" t="s">
        <v>598</v>
      </c>
      <c r="C154" s="27" t="s">
        <v>250</v>
      </c>
      <c r="D154" s="27" t="s">
        <v>286</v>
      </c>
      <c r="E154">
        <v>50.088039999999999</v>
      </c>
      <c r="F154">
        <v>14.42076</v>
      </c>
      <c r="G154" t="s">
        <v>1134</v>
      </c>
      <c r="H154" s="1"/>
      <c r="I154" s="1"/>
      <c r="J154" s="27" t="s">
        <v>308</v>
      </c>
      <c r="K154" s="29">
        <v>46116.666666666664</v>
      </c>
      <c r="L154" s="29">
        <v>46298.666666666664</v>
      </c>
      <c r="M154" s="27">
        <v>10</v>
      </c>
    </row>
    <row r="155" spans="1:13">
      <c r="A155" s="27" t="s">
        <v>599</v>
      </c>
      <c r="B155" s="27" t="s">
        <v>600</v>
      </c>
      <c r="C155" s="27" t="s">
        <v>394</v>
      </c>
      <c r="D155" s="27" t="s">
        <v>601</v>
      </c>
      <c r="E155">
        <v>-25.744859999999999</v>
      </c>
      <c r="F155">
        <v>28.187830000000002</v>
      </c>
      <c r="G155" t="s">
        <v>1188</v>
      </c>
      <c r="H155" s="1"/>
      <c r="I155" s="1"/>
      <c r="J155" s="27" t="s">
        <v>308</v>
      </c>
      <c r="K155" s="29">
        <v>46298.666666666664</v>
      </c>
      <c r="L155" s="29">
        <v>46480.666666666664</v>
      </c>
      <c r="M155" s="27">
        <v>11</v>
      </c>
    </row>
    <row r="156" spans="1:13">
      <c r="A156" s="27" t="s">
        <v>602</v>
      </c>
      <c r="B156" s="27" t="s">
        <v>603</v>
      </c>
      <c r="C156" s="27" t="s">
        <v>604</v>
      </c>
      <c r="D156" s="27" t="s">
        <v>605</v>
      </c>
      <c r="E156">
        <v>39.033850000000001</v>
      </c>
      <c r="F156">
        <v>125.75432000000001</v>
      </c>
      <c r="G156" t="s">
        <v>1189</v>
      </c>
      <c r="H156" s="1"/>
      <c r="I156" s="1"/>
      <c r="J156" s="27" t="s">
        <v>308</v>
      </c>
      <c r="K156" s="29">
        <v>46480.666666666664</v>
      </c>
      <c r="L156" s="29">
        <v>46662.666666666664</v>
      </c>
      <c r="M156" s="27">
        <v>10</v>
      </c>
    </row>
    <row r="157" spans="1:13">
      <c r="A157" s="27" t="s">
        <v>606</v>
      </c>
      <c r="B157" s="27" t="s">
        <v>607</v>
      </c>
      <c r="C157" s="27" t="s">
        <v>200</v>
      </c>
      <c r="D157" s="27" t="s">
        <v>608</v>
      </c>
      <c r="E157">
        <v>-0.22985</v>
      </c>
      <c r="F157">
        <v>-78.524950000000004</v>
      </c>
      <c r="G157" t="s">
        <v>1190</v>
      </c>
      <c r="H157" s="1"/>
      <c r="I157" s="1"/>
      <c r="J157" s="27" t="s">
        <v>308</v>
      </c>
      <c r="K157" s="29">
        <v>46662.666666666664</v>
      </c>
      <c r="L157" s="29">
        <v>46844.666666666664</v>
      </c>
      <c r="M157" s="27">
        <v>11</v>
      </c>
    </row>
    <row r="158" spans="1:13">
      <c r="A158" s="27" t="s">
        <v>609</v>
      </c>
      <c r="B158" s="27" t="s">
        <v>610</v>
      </c>
      <c r="C158" s="27" t="s">
        <v>611</v>
      </c>
      <c r="D158" s="27" t="s">
        <v>612</v>
      </c>
      <c r="E158">
        <v>34.013249999999999</v>
      </c>
      <c r="F158">
        <v>-6.8325500000000003</v>
      </c>
      <c r="G158" t="s">
        <v>1191</v>
      </c>
      <c r="H158" s="1"/>
      <c r="I158" s="1"/>
      <c r="J158" s="27" t="s">
        <v>308</v>
      </c>
      <c r="K158" s="29">
        <v>46844.666666666664</v>
      </c>
      <c r="L158" s="29">
        <v>47026.666666666664</v>
      </c>
      <c r="M158" s="27">
        <v>10</v>
      </c>
    </row>
    <row r="159" spans="1:13">
      <c r="A159" s="27" t="s">
        <v>613</v>
      </c>
      <c r="B159" s="27" t="s">
        <v>614</v>
      </c>
      <c r="C159" s="27" t="s">
        <v>254</v>
      </c>
      <c r="D159" s="27" t="s">
        <v>615</v>
      </c>
      <c r="E159">
        <v>-8.0538900000000009</v>
      </c>
      <c r="F159">
        <v>-34.88111</v>
      </c>
      <c r="G159" t="s">
        <v>1128</v>
      </c>
      <c r="H159" s="1"/>
      <c r="I159" s="1"/>
      <c r="J159" s="27" t="s">
        <v>308</v>
      </c>
      <c r="K159" s="29">
        <v>47026.666666666664</v>
      </c>
      <c r="L159" s="29">
        <v>47119</v>
      </c>
      <c r="M159" s="27">
        <v>11</v>
      </c>
    </row>
    <row r="160" spans="1:13">
      <c r="A160" s="27" t="s">
        <v>616</v>
      </c>
      <c r="B160" s="27" t="s">
        <v>617</v>
      </c>
      <c r="C160" s="27" t="s">
        <v>168</v>
      </c>
      <c r="D160" s="27" t="s">
        <v>618</v>
      </c>
      <c r="E160">
        <v>64.135480000000001</v>
      </c>
      <c r="F160">
        <v>-21.895409999999998</v>
      </c>
      <c r="G160" t="s">
        <v>1192</v>
      </c>
      <c r="H160" s="1"/>
      <c r="I160" s="1"/>
      <c r="J160" s="27" t="s">
        <v>312</v>
      </c>
      <c r="K160" s="29">
        <v>46023</v>
      </c>
      <c r="L160" s="29">
        <v>47119</v>
      </c>
      <c r="M160" s="27">
        <v>-4</v>
      </c>
    </row>
    <row r="161" spans="1:13">
      <c r="A161" s="27" t="s">
        <v>619</v>
      </c>
      <c r="B161" s="27" t="s">
        <v>620</v>
      </c>
      <c r="C161" s="27" t="s">
        <v>402</v>
      </c>
      <c r="D161" s="27" t="s">
        <v>621</v>
      </c>
      <c r="E161">
        <v>56.945999999999998</v>
      </c>
      <c r="F161">
        <v>24.105889999999999</v>
      </c>
      <c r="G161" t="s">
        <v>1193</v>
      </c>
      <c r="H161" s="1"/>
      <c r="I161" s="1"/>
      <c r="J161" s="27" t="s">
        <v>316</v>
      </c>
      <c r="K161" s="29">
        <v>46023</v>
      </c>
      <c r="L161" s="29">
        <v>47119</v>
      </c>
      <c r="M161" s="27">
        <v>-5</v>
      </c>
    </row>
    <row r="162" spans="1:13">
      <c r="A162" s="27" t="s">
        <v>622</v>
      </c>
      <c r="B162" s="27" t="s">
        <v>623</v>
      </c>
      <c r="C162" s="27" t="s">
        <v>272</v>
      </c>
      <c r="D162" s="27" t="s">
        <v>273</v>
      </c>
      <c r="E162">
        <v>-22.906420000000001</v>
      </c>
      <c r="F162">
        <v>-43.182229999999997</v>
      </c>
      <c r="G162" t="s">
        <v>1128</v>
      </c>
      <c r="H162" s="1"/>
      <c r="I162" s="1"/>
      <c r="J162" s="27" t="s">
        <v>318</v>
      </c>
      <c r="K162" s="29">
        <v>46023</v>
      </c>
      <c r="L162" s="29">
        <v>47119</v>
      </c>
      <c r="M162" s="27">
        <v>5</v>
      </c>
    </row>
    <row r="163" spans="1:13">
      <c r="A163" s="27" t="s">
        <v>624</v>
      </c>
      <c r="B163" s="27" t="s">
        <v>625</v>
      </c>
      <c r="C163" s="27" t="s">
        <v>626</v>
      </c>
      <c r="D163" s="27" t="s">
        <v>627</v>
      </c>
      <c r="E163">
        <v>24.687729999999998</v>
      </c>
      <c r="F163">
        <v>46.721850000000003</v>
      </c>
      <c r="G163" t="s">
        <v>1194</v>
      </c>
      <c r="H163" s="1"/>
      <c r="I163" s="1"/>
      <c r="J163" s="27" t="s">
        <v>322</v>
      </c>
      <c r="K163" s="29">
        <v>46023</v>
      </c>
      <c r="L163" s="29">
        <v>46089.333333333336</v>
      </c>
      <c r="M163" s="27">
        <v>-6</v>
      </c>
    </row>
    <row r="164" spans="1:13">
      <c r="A164" s="27" t="s">
        <v>628</v>
      </c>
      <c r="B164" s="27" t="s">
        <v>629</v>
      </c>
      <c r="C164" s="27" t="s">
        <v>300</v>
      </c>
      <c r="D164" s="27" t="s">
        <v>342</v>
      </c>
      <c r="E164">
        <v>-32.946820000000002</v>
      </c>
      <c r="F164">
        <v>-60.639319999999998</v>
      </c>
      <c r="G164" t="s">
        <v>1138</v>
      </c>
      <c r="H164" s="1"/>
      <c r="I164" s="1"/>
      <c r="J164" s="27" t="s">
        <v>322</v>
      </c>
      <c r="K164" s="29">
        <v>46089.333333333336</v>
      </c>
      <c r="L164" s="29">
        <v>46327.291666666664</v>
      </c>
      <c r="M164" s="27">
        <v>-5</v>
      </c>
    </row>
    <row r="165" spans="1:13">
      <c r="A165" s="27" t="s">
        <v>630</v>
      </c>
      <c r="B165" s="27" t="s">
        <v>631</v>
      </c>
      <c r="C165" s="27" t="s">
        <v>432</v>
      </c>
      <c r="D165" s="27" t="s">
        <v>433</v>
      </c>
      <c r="E165">
        <v>59.938630000000003</v>
      </c>
      <c r="F165">
        <v>30.314129999999999</v>
      </c>
      <c r="G165" t="s">
        <v>1141</v>
      </c>
      <c r="H165" s="1"/>
      <c r="I165" s="1"/>
      <c r="J165" s="27" t="s">
        <v>322</v>
      </c>
      <c r="K165" s="29">
        <v>46327.291666666664</v>
      </c>
      <c r="L165" s="29">
        <v>46460.333333333336</v>
      </c>
      <c r="M165" s="27">
        <v>-6</v>
      </c>
    </row>
    <row r="166" spans="1:13">
      <c r="A166" s="27" t="s">
        <v>632</v>
      </c>
      <c r="B166" s="27" t="s">
        <v>633</v>
      </c>
      <c r="C166" s="27" t="s">
        <v>634</v>
      </c>
      <c r="D166" s="27" t="s">
        <v>635</v>
      </c>
      <c r="E166">
        <v>-12.975630000000001</v>
      </c>
      <c r="F166">
        <v>-38.490960000000001</v>
      </c>
      <c r="G166" t="s">
        <v>1128</v>
      </c>
      <c r="H166" s="1"/>
      <c r="I166" s="1"/>
      <c r="J166" s="27" t="s">
        <v>322</v>
      </c>
      <c r="K166" s="29">
        <v>46460.333333333336</v>
      </c>
      <c r="L166" s="29">
        <v>46698.291666666664</v>
      </c>
      <c r="M166" s="27">
        <v>-5</v>
      </c>
    </row>
    <row r="167" spans="1:13">
      <c r="A167" s="27" t="s">
        <v>636</v>
      </c>
      <c r="B167" s="27" t="s">
        <v>637</v>
      </c>
      <c r="C167" s="27" t="s">
        <v>638</v>
      </c>
      <c r="D167" s="27" t="s">
        <v>639</v>
      </c>
      <c r="E167">
        <v>53.20767</v>
      </c>
      <c r="F167">
        <v>50.135530000000003</v>
      </c>
      <c r="G167" t="s">
        <v>1141</v>
      </c>
      <c r="H167" s="1"/>
      <c r="I167" s="1"/>
      <c r="J167" s="27" t="s">
        <v>322</v>
      </c>
      <c r="K167" s="29">
        <v>46698.291666666664</v>
      </c>
      <c r="L167" s="29">
        <v>46824.333333333336</v>
      </c>
      <c r="M167" s="27">
        <v>-6</v>
      </c>
    </row>
    <row r="168" spans="1:13">
      <c r="A168" s="27" t="s">
        <v>640</v>
      </c>
      <c r="B168" s="27" t="s">
        <v>641</v>
      </c>
      <c r="C168" s="27" t="s">
        <v>324</v>
      </c>
      <c r="D168" s="27" t="s">
        <v>325</v>
      </c>
      <c r="E168">
        <v>29.424119999999998</v>
      </c>
      <c r="F168">
        <v>-98.493629999999996</v>
      </c>
      <c r="G168" t="s">
        <v>42</v>
      </c>
      <c r="H168" s="1"/>
      <c r="I168" s="1"/>
      <c r="J168" s="27" t="s">
        <v>322</v>
      </c>
      <c r="K168" s="29">
        <v>46824.333333333336</v>
      </c>
      <c r="L168" s="29">
        <v>47062.291666666664</v>
      </c>
      <c r="M168" s="27">
        <v>-5</v>
      </c>
    </row>
    <row r="169" spans="1:13">
      <c r="A169" s="27" t="s">
        <v>642</v>
      </c>
      <c r="B169" s="27" t="s">
        <v>643</v>
      </c>
      <c r="C169" s="27" t="s">
        <v>156</v>
      </c>
      <c r="D169" s="27" t="s">
        <v>157</v>
      </c>
      <c r="E169">
        <v>32.715710000000001</v>
      </c>
      <c r="F169">
        <v>-117.16472</v>
      </c>
      <c r="G169" t="s">
        <v>42</v>
      </c>
      <c r="H169" s="1"/>
      <c r="I169" s="1"/>
      <c r="J169" s="27" t="s">
        <v>322</v>
      </c>
      <c r="K169" s="29">
        <v>47062.291666666664</v>
      </c>
      <c r="L169" s="29">
        <v>47119</v>
      </c>
      <c r="M169" s="27">
        <v>-6</v>
      </c>
    </row>
    <row r="170" spans="1:13">
      <c r="A170" s="27" t="s">
        <v>644</v>
      </c>
      <c r="B170" s="27" t="s">
        <v>645</v>
      </c>
      <c r="C170" s="27" t="s">
        <v>156</v>
      </c>
      <c r="D170" s="27" t="s">
        <v>157</v>
      </c>
      <c r="E170">
        <v>37.339390000000002</v>
      </c>
      <c r="F170">
        <v>-121.89496</v>
      </c>
      <c r="G170" t="s">
        <v>42</v>
      </c>
      <c r="H170" s="1"/>
      <c r="I170" s="1"/>
      <c r="J170" s="27" t="s">
        <v>326</v>
      </c>
      <c r="K170" s="29">
        <v>46023</v>
      </c>
      <c r="L170" s="29">
        <v>46110</v>
      </c>
      <c r="M170" s="27">
        <v>2</v>
      </c>
    </row>
    <row r="171" spans="1:13">
      <c r="A171" s="27" t="s">
        <v>646</v>
      </c>
      <c r="B171" s="27" t="s">
        <v>647</v>
      </c>
      <c r="C171" s="27" t="s">
        <v>150</v>
      </c>
      <c r="D171" s="27" t="s">
        <v>648</v>
      </c>
      <c r="E171">
        <v>43.936669999999999</v>
      </c>
      <c r="F171">
        <v>12.446389999999999</v>
      </c>
      <c r="G171" t="s">
        <v>1195</v>
      </c>
      <c r="H171" s="1"/>
      <c r="I171" s="1"/>
      <c r="J171" s="27" t="s">
        <v>326</v>
      </c>
      <c r="K171" s="29">
        <v>46110</v>
      </c>
      <c r="L171" s="29">
        <v>46320</v>
      </c>
      <c r="M171" s="27">
        <v>3</v>
      </c>
    </row>
    <row r="172" spans="1:13">
      <c r="A172" s="27" t="s">
        <v>649</v>
      </c>
      <c r="B172" s="27" t="s">
        <v>650</v>
      </c>
      <c r="C172" s="27" t="s">
        <v>626</v>
      </c>
      <c r="D172" s="27" t="s">
        <v>651</v>
      </c>
      <c r="E172">
        <v>15.354520000000001</v>
      </c>
      <c r="F172">
        <v>44.20646</v>
      </c>
      <c r="G172" t="s">
        <v>1196</v>
      </c>
      <c r="H172" s="1"/>
      <c r="I172" s="1"/>
      <c r="J172" s="27" t="s">
        <v>326</v>
      </c>
      <c r="K172" s="29">
        <v>46320</v>
      </c>
      <c r="L172" s="29">
        <v>46474</v>
      </c>
      <c r="M172" s="27">
        <v>2</v>
      </c>
    </row>
    <row r="173" spans="1:13">
      <c r="A173" s="27" t="s">
        <v>652</v>
      </c>
      <c r="B173" s="27" t="s">
        <v>653</v>
      </c>
      <c r="C173" s="27" t="s">
        <v>654</v>
      </c>
      <c r="D173" s="27" t="s">
        <v>655</v>
      </c>
      <c r="E173">
        <v>-33.456940000000003</v>
      </c>
      <c r="F173">
        <v>-70.648269999999997</v>
      </c>
      <c r="G173" t="s">
        <v>1197</v>
      </c>
      <c r="H173" s="1"/>
      <c r="I173" s="1"/>
      <c r="J173" s="27" t="s">
        <v>326</v>
      </c>
      <c r="K173" s="29">
        <v>46474</v>
      </c>
      <c r="L173" s="29">
        <v>46691</v>
      </c>
      <c r="M173" s="27">
        <v>3</v>
      </c>
    </row>
    <row r="174" spans="1:13">
      <c r="A174" s="27" t="s">
        <v>656</v>
      </c>
      <c r="B174" s="27" t="s">
        <v>657</v>
      </c>
      <c r="C174" s="27" t="s">
        <v>463</v>
      </c>
      <c r="D174" s="27" t="s">
        <v>658</v>
      </c>
      <c r="E174">
        <v>18.47186</v>
      </c>
      <c r="F174">
        <v>-69.892319999999998</v>
      </c>
      <c r="G174" t="s">
        <v>1198</v>
      </c>
      <c r="H174" s="1"/>
      <c r="I174" s="1"/>
      <c r="J174" s="27" t="s">
        <v>326</v>
      </c>
      <c r="K174" s="29">
        <v>46691</v>
      </c>
      <c r="L174" s="29">
        <v>46838</v>
      </c>
      <c r="M174" s="27">
        <v>2</v>
      </c>
    </row>
    <row r="175" spans="1:13">
      <c r="A175" s="27" t="s">
        <v>659</v>
      </c>
      <c r="B175" s="27" t="s">
        <v>660</v>
      </c>
      <c r="C175" s="27" t="s">
        <v>449</v>
      </c>
      <c r="D175" s="27" t="s">
        <v>661</v>
      </c>
      <c r="E175">
        <v>43.848640000000003</v>
      </c>
      <c r="F175">
        <v>18.356439999999999</v>
      </c>
      <c r="G175" t="s">
        <v>1199</v>
      </c>
      <c r="H175" s="1"/>
      <c r="I175" s="1"/>
      <c r="J175" s="27" t="s">
        <v>326</v>
      </c>
      <c r="K175" s="29">
        <v>46838</v>
      </c>
      <c r="L175" s="29">
        <v>47055</v>
      </c>
      <c r="M175" s="27">
        <v>3</v>
      </c>
    </row>
    <row r="176" spans="1:13">
      <c r="A176" s="27" t="s">
        <v>662</v>
      </c>
      <c r="B176" s="27" t="s">
        <v>663</v>
      </c>
      <c r="C176" s="27" t="s">
        <v>144</v>
      </c>
      <c r="D176" s="27" t="s">
        <v>231</v>
      </c>
      <c r="E176">
        <v>-6.9930599999999998</v>
      </c>
      <c r="F176">
        <v>110.42083</v>
      </c>
      <c r="G176" t="s">
        <v>1123</v>
      </c>
      <c r="H176" s="1"/>
      <c r="I176" s="1"/>
      <c r="J176" s="27" t="s">
        <v>326</v>
      </c>
      <c r="K176" s="29">
        <v>47055</v>
      </c>
      <c r="L176" s="29">
        <v>47119</v>
      </c>
      <c r="M176" s="27">
        <v>2</v>
      </c>
    </row>
    <row r="177" spans="1:13">
      <c r="A177" s="27" t="s">
        <v>664</v>
      </c>
      <c r="B177" s="27" t="s">
        <v>665</v>
      </c>
      <c r="C177" s="27" t="s">
        <v>666</v>
      </c>
      <c r="D177" s="27" t="s">
        <v>667</v>
      </c>
      <c r="E177">
        <v>37.566000000000003</v>
      </c>
      <c r="F177">
        <v>126.97839999999999</v>
      </c>
      <c r="G177" t="s">
        <v>901</v>
      </c>
      <c r="H177" s="1"/>
      <c r="I177" s="1"/>
      <c r="J177" s="27" t="s">
        <v>330</v>
      </c>
      <c r="K177" s="29">
        <v>46023</v>
      </c>
      <c r="L177" s="29">
        <v>47119</v>
      </c>
      <c r="M177" s="27">
        <v>0</v>
      </c>
    </row>
    <row r="178" spans="1:13">
      <c r="A178" s="27" t="s">
        <v>668</v>
      </c>
      <c r="B178" s="27" t="s">
        <v>669</v>
      </c>
      <c r="C178" s="27" t="s">
        <v>236</v>
      </c>
      <c r="D178" s="27" t="s">
        <v>237</v>
      </c>
      <c r="E178">
        <v>37.382829999999998</v>
      </c>
      <c r="F178">
        <v>-5.9731699999999996</v>
      </c>
      <c r="G178" t="s">
        <v>1125</v>
      </c>
      <c r="H178" s="1"/>
      <c r="I178" s="1"/>
      <c r="J178" s="27" t="s">
        <v>333</v>
      </c>
      <c r="K178" s="29">
        <v>46023</v>
      </c>
      <c r="L178" s="29">
        <v>46110.041666666664</v>
      </c>
      <c r="M178" s="27">
        <v>1</v>
      </c>
    </row>
    <row r="179" spans="1:13">
      <c r="A179" s="27" t="s">
        <v>670</v>
      </c>
      <c r="B179" s="27" t="s">
        <v>671</v>
      </c>
      <c r="C179" s="27" t="s">
        <v>362</v>
      </c>
      <c r="D179" s="27" t="s">
        <v>672</v>
      </c>
      <c r="E179">
        <v>1.2896700000000001</v>
      </c>
      <c r="F179">
        <v>103.85007</v>
      </c>
      <c r="G179" t="s">
        <v>1200</v>
      </c>
      <c r="H179" s="1"/>
      <c r="I179" s="1"/>
      <c r="J179" s="27" t="s">
        <v>333</v>
      </c>
      <c r="K179" s="29">
        <v>46110.041666666664</v>
      </c>
      <c r="L179" s="29">
        <v>46320.041666666664</v>
      </c>
      <c r="M179" s="27">
        <v>2</v>
      </c>
    </row>
    <row r="180" spans="1:13">
      <c r="A180" s="27" t="s">
        <v>673</v>
      </c>
      <c r="B180" s="27" t="s">
        <v>674</v>
      </c>
      <c r="C180" s="27" t="s">
        <v>449</v>
      </c>
      <c r="D180" s="27" t="s">
        <v>675</v>
      </c>
      <c r="E180">
        <v>41.996459999999999</v>
      </c>
      <c r="F180">
        <v>21.43141</v>
      </c>
      <c r="G180" t="s">
        <v>1201</v>
      </c>
      <c r="H180" s="1"/>
      <c r="I180" s="1"/>
      <c r="J180" s="27" t="s">
        <v>333</v>
      </c>
      <c r="K180" s="29">
        <v>46320.041666666664</v>
      </c>
      <c r="L180" s="29">
        <v>46474.041666666664</v>
      </c>
      <c r="M180" s="27">
        <v>1</v>
      </c>
    </row>
    <row r="181" spans="1:13">
      <c r="A181" s="27" t="s">
        <v>676</v>
      </c>
      <c r="B181" s="27" t="s">
        <v>677</v>
      </c>
      <c r="C181" s="27" t="s">
        <v>402</v>
      </c>
      <c r="D181" s="27" t="s">
        <v>678</v>
      </c>
      <c r="E181">
        <v>42.697510000000001</v>
      </c>
      <c r="F181">
        <v>23.324149999999999</v>
      </c>
      <c r="G181" t="s">
        <v>1202</v>
      </c>
      <c r="H181" s="1"/>
      <c r="I181" s="1"/>
      <c r="J181" s="27" t="s">
        <v>333</v>
      </c>
      <c r="K181" s="29">
        <v>46474.041666666664</v>
      </c>
      <c r="L181" s="29">
        <v>46691.041666666664</v>
      </c>
      <c r="M181" s="27">
        <v>2</v>
      </c>
    </row>
    <row r="182" spans="1:13">
      <c r="A182" s="27" t="s">
        <v>679</v>
      </c>
      <c r="B182" s="27" t="s">
        <v>680</v>
      </c>
      <c r="C182" s="27" t="s">
        <v>150</v>
      </c>
      <c r="D182" s="27" t="s">
        <v>681</v>
      </c>
      <c r="E182">
        <v>59.32938</v>
      </c>
      <c r="F182">
        <v>18.068709999999999</v>
      </c>
      <c r="G182" t="s">
        <v>909</v>
      </c>
      <c r="H182" s="1"/>
      <c r="I182" s="1"/>
      <c r="J182" s="27" t="s">
        <v>333</v>
      </c>
      <c r="K182" s="29">
        <v>46691.041666666664</v>
      </c>
      <c r="L182" s="29">
        <v>46838.041666666664</v>
      </c>
      <c r="M182" s="27">
        <v>1</v>
      </c>
    </row>
    <row r="183" spans="1:13">
      <c r="A183" s="27" t="s">
        <v>682</v>
      </c>
      <c r="B183" s="27" t="s">
        <v>683</v>
      </c>
      <c r="C183" s="27" t="s">
        <v>463</v>
      </c>
      <c r="D183" s="27" t="s">
        <v>464</v>
      </c>
      <c r="E183">
        <v>-19.03332</v>
      </c>
      <c r="F183">
        <v>-65.262739999999994</v>
      </c>
      <c r="G183" t="s">
        <v>1163</v>
      </c>
      <c r="H183" s="1"/>
      <c r="I183" s="1"/>
      <c r="J183" s="27" t="s">
        <v>333</v>
      </c>
      <c r="K183" s="29">
        <v>46838.041666666664</v>
      </c>
      <c r="L183" s="29">
        <v>47055.041666666664</v>
      </c>
      <c r="M183" s="27">
        <v>2</v>
      </c>
    </row>
    <row r="184" spans="1:13">
      <c r="A184" s="27" t="s">
        <v>684</v>
      </c>
      <c r="B184" s="27" t="s">
        <v>685</v>
      </c>
      <c r="C184" s="27" t="s">
        <v>144</v>
      </c>
      <c r="D184" s="27" t="s">
        <v>231</v>
      </c>
      <c r="E184">
        <v>-7.2491700000000003</v>
      </c>
      <c r="F184">
        <v>112.75082999999999</v>
      </c>
      <c r="G184" t="s">
        <v>1123</v>
      </c>
      <c r="H184" s="1"/>
      <c r="I184" s="1"/>
      <c r="J184" s="27" t="s">
        <v>333</v>
      </c>
      <c r="K184" s="29">
        <v>47055.041666666664</v>
      </c>
      <c r="L184" s="29">
        <v>47119</v>
      </c>
      <c r="M184" s="27">
        <v>1</v>
      </c>
    </row>
    <row r="185" spans="1:13">
      <c r="A185" s="27" t="s">
        <v>686</v>
      </c>
      <c r="B185" s="27" t="s">
        <v>687</v>
      </c>
      <c r="C185" s="27" t="s">
        <v>310</v>
      </c>
      <c r="D185" s="27" t="s">
        <v>311</v>
      </c>
      <c r="E185">
        <v>-33.867849963938198</v>
      </c>
      <c r="F185">
        <v>151.20732307434099</v>
      </c>
      <c r="G185" t="s">
        <v>1108</v>
      </c>
      <c r="H185" s="1"/>
      <c r="I185" s="1"/>
      <c r="J185" s="27" t="s">
        <v>340</v>
      </c>
      <c r="K185" s="29">
        <v>46023</v>
      </c>
      <c r="L185" s="29">
        <v>47119</v>
      </c>
      <c r="M185" s="27">
        <v>-3</v>
      </c>
    </row>
    <row r="186" spans="1:13">
      <c r="A186" s="27" t="s">
        <v>688</v>
      </c>
      <c r="B186" s="27" t="s">
        <v>689</v>
      </c>
      <c r="C186" s="27" t="s">
        <v>272</v>
      </c>
      <c r="D186" s="27" t="s">
        <v>273</v>
      </c>
      <c r="E186">
        <v>-23.547499999999999</v>
      </c>
      <c r="F186">
        <v>-46.636110000000002</v>
      </c>
      <c r="G186" t="s">
        <v>1128</v>
      </c>
      <c r="H186" s="1"/>
      <c r="I186" s="1"/>
      <c r="J186" s="27" t="s">
        <v>336</v>
      </c>
      <c r="K186" s="29">
        <v>46023</v>
      </c>
      <c r="L186" s="29">
        <v>47119</v>
      </c>
      <c r="M186" s="27">
        <v>-3</v>
      </c>
    </row>
    <row r="187" spans="1:13">
      <c r="A187" s="27" t="s">
        <v>690</v>
      </c>
      <c r="B187" s="27" t="s">
        <v>691</v>
      </c>
      <c r="C187" s="27" t="s">
        <v>692</v>
      </c>
      <c r="D187" s="27" t="s">
        <v>693</v>
      </c>
      <c r="E187">
        <v>25.053059999999999</v>
      </c>
      <c r="F187">
        <v>121.52639000000001</v>
      </c>
      <c r="G187" t="s">
        <v>1203</v>
      </c>
      <c r="H187" s="1"/>
      <c r="I187" s="1"/>
      <c r="J187" s="27" t="s">
        <v>338</v>
      </c>
      <c r="K187" s="29">
        <v>46023</v>
      </c>
      <c r="L187" s="29">
        <v>47119</v>
      </c>
      <c r="M187" s="27">
        <v>-5</v>
      </c>
    </row>
    <row r="188" spans="1:13">
      <c r="A188" s="27" t="s">
        <v>694</v>
      </c>
      <c r="B188" s="27" t="s">
        <v>695</v>
      </c>
      <c r="C188" s="27" t="s">
        <v>402</v>
      </c>
      <c r="D188" s="27" t="s">
        <v>696</v>
      </c>
      <c r="E188">
        <v>59.436959999999999</v>
      </c>
      <c r="F188">
        <v>24.753530000000001</v>
      </c>
      <c r="G188" t="s">
        <v>1204</v>
      </c>
      <c r="H188" s="1"/>
      <c r="I188" s="1"/>
      <c r="J188" s="27" t="s">
        <v>345</v>
      </c>
      <c r="K188" s="29">
        <v>46023</v>
      </c>
      <c r="L188" s="29">
        <v>47119</v>
      </c>
      <c r="M188" s="27">
        <v>7</v>
      </c>
    </row>
    <row r="189" spans="1:13">
      <c r="A189" s="27" t="s">
        <v>697</v>
      </c>
      <c r="B189" s="27" t="s">
        <v>698</v>
      </c>
      <c r="C189" s="27" t="s">
        <v>144</v>
      </c>
      <c r="D189" s="27" t="s">
        <v>231</v>
      </c>
      <c r="E189">
        <v>-6.1780600000000003</v>
      </c>
      <c r="F189">
        <v>106.63</v>
      </c>
      <c r="G189" t="s">
        <v>1123</v>
      </c>
      <c r="H189" s="1"/>
      <c r="I189" s="1"/>
      <c r="J189" s="27" t="s">
        <v>347</v>
      </c>
      <c r="K189" s="29">
        <v>46023</v>
      </c>
      <c r="L189" s="29">
        <v>47119</v>
      </c>
      <c r="M189" s="27">
        <v>0</v>
      </c>
    </row>
    <row r="190" spans="1:13">
      <c r="A190" s="27" t="s">
        <v>699</v>
      </c>
      <c r="B190" s="27" t="s">
        <v>700</v>
      </c>
      <c r="C190" s="27" t="s">
        <v>204</v>
      </c>
      <c r="D190" s="27" t="s">
        <v>701</v>
      </c>
      <c r="E190">
        <v>41.264650000000003</v>
      </c>
      <c r="F190">
        <v>69.216269999999994</v>
      </c>
      <c r="G190" t="s">
        <v>1205</v>
      </c>
      <c r="H190" s="1"/>
      <c r="I190" s="1"/>
      <c r="J190" s="27" t="s">
        <v>350</v>
      </c>
      <c r="K190" s="29">
        <v>46023</v>
      </c>
      <c r="L190" s="29">
        <v>46089.333333333336</v>
      </c>
      <c r="M190" s="27">
        <v>-6</v>
      </c>
    </row>
    <row r="191" spans="1:13">
      <c r="A191" s="27" t="s">
        <v>702</v>
      </c>
      <c r="B191" s="27" t="s">
        <v>703</v>
      </c>
      <c r="C191" s="27" t="s">
        <v>704</v>
      </c>
      <c r="D191" s="27" t="s">
        <v>705</v>
      </c>
      <c r="E191">
        <v>41.691429999999997</v>
      </c>
      <c r="F191">
        <v>44.834119999999999</v>
      </c>
      <c r="G191" t="s">
        <v>1206</v>
      </c>
      <c r="H191" s="1"/>
      <c r="I191" s="1"/>
      <c r="J191" s="27" t="s">
        <v>350</v>
      </c>
      <c r="K191" s="29">
        <v>46089.333333333336</v>
      </c>
      <c r="L191" s="29">
        <v>46327.291666666664</v>
      </c>
      <c r="M191" s="27">
        <v>-5</v>
      </c>
    </row>
    <row r="192" spans="1:13">
      <c r="A192" s="27" t="s">
        <v>706</v>
      </c>
      <c r="B192" s="27" t="s">
        <v>707</v>
      </c>
      <c r="C192" s="27" t="s">
        <v>708</v>
      </c>
      <c r="D192" s="27" t="s">
        <v>709</v>
      </c>
      <c r="E192">
        <v>35.694389999999999</v>
      </c>
      <c r="F192">
        <v>51.421509999999998</v>
      </c>
      <c r="G192" t="s">
        <v>1207</v>
      </c>
      <c r="H192" s="1"/>
      <c r="I192" s="1"/>
      <c r="J192" s="27" t="s">
        <v>350</v>
      </c>
      <c r="K192" s="29">
        <v>46327.291666666664</v>
      </c>
      <c r="L192" s="29">
        <v>46460.333333333336</v>
      </c>
      <c r="M192" s="27">
        <v>-6</v>
      </c>
    </row>
    <row r="193" spans="1:13">
      <c r="A193" s="27" t="s">
        <v>710</v>
      </c>
      <c r="B193" s="27" t="s">
        <v>711</v>
      </c>
      <c r="C193" s="27" t="s">
        <v>144</v>
      </c>
      <c r="D193" s="27" t="s">
        <v>145</v>
      </c>
      <c r="E193">
        <v>19.8</v>
      </c>
      <c r="F193">
        <v>105.76667</v>
      </c>
      <c r="G193" t="s">
        <v>27</v>
      </c>
      <c r="H193" s="1"/>
      <c r="I193" s="1"/>
      <c r="J193" s="27" t="s">
        <v>350</v>
      </c>
      <c r="K193" s="29">
        <v>46460.333333333336</v>
      </c>
      <c r="L193" s="29">
        <v>46698.291666666664</v>
      </c>
      <c r="M193" s="27">
        <v>-5</v>
      </c>
    </row>
    <row r="194" spans="1:13">
      <c r="A194" s="27" t="s">
        <v>712</v>
      </c>
      <c r="B194" s="27" t="s">
        <v>713</v>
      </c>
      <c r="C194" s="27" t="s">
        <v>144</v>
      </c>
      <c r="D194" s="27" t="s">
        <v>264</v>
      </c>
      <c r="E194">
        <v>10.9239</v>
      </c>
      <c r="F194">
        <v>106.71428</v>
      </c>
      <c r="G194" t="s">
        <v>27</v>
      </c>
      <c r="H194" s="1"/>
      <c r="I194" s="1"/>
      <c r="J194" s="27" t="s">
        <v>350</v>
      </c>
      <c r="K194" s="29">
        <v>46698.291666666664</v>
      </c>
      <c r="L194" s="29">
        <v>46824.333333333336</v>
      </c>
      <c r="M194" s="27">
        <v>-6</v>
      </c>
    </row>
    <row r="195" spans="1:13">
      <c r="A195" s="27" t="s">
        <v>714</v>
      </c>
      <c r="B195" s="27" t="s">
        <v>715</v>
      </c>
      <c r="C195" s="27" t="s">
        <v>250</v>
      </c>
      <c r="D195" s="27" t="s">
        <v>716</v>
      </c>
      <c r="E195">
        <v>41.327440000000003</v>
      </c>
      <c r="F195">
        <v>19.818660000000001</v>
      </c>
      <c r="G195" t="s">
        <v>1208</v>
      </c>
      <c r="H195" s="1"/>
      <c r="I195" s="1"/>
      <c r="J195" s="27" t="s">
        <v>350</v>
      </c>
      <c r="K195" s="29">
        <v>46824.333333333336</v>
      </c>
      <c r="L195" s="29">
        <v>47062.291666666664</v>
      </c>
      <c r="M195" s="27">
        <v>-5</v>
      </c>
    </row>
    <row r="196" spans="1:13">
      <c r="A196" s="27" t="s">
        <v>717</v>
      </c>
      <c r="B196" s="27" t="s">
        <v>718</v>
      </c>
      <c r="C196" s="27" t="s">
        <v>719</v>
      </c>
      <c r="D196" s="27" t="s">
        <v>720</v>
      </c>
      <c r="E196">
        <v>35.689500000000002</v>
      </c>
      <c r="F196">
        <v>139.69171</v>
      </c>
      <c r="G196" t="s">
        <v>903</v>
      </c>
      <c r="H196" s="1"/>
      <c r="I196" s="1"/>
      <c r="J196" s="27" t="s">
        <v>350</v>
      </c>
      <c r="K196" s="29">
        <v>47062.291666666664</v>
      </c>
      <c r="L196" s="29">
        <v>47119</v>
      </c>
      <c r="M196" s="27">
        <v>-6</v>
      </c>
    </row>
    <row r="197" spans="1:13">
      <c r="A197" s="27" t="s">
        <v>721</v>
      </c>
      <c r="B197" s="27" t="s">
        <v>722</v>
      </c>
      <c r="C197" s="27" t="s">
        <v>154</v>
      </c>
      <c r="D197" s="27" t="s">
        <v>565</v>
      </c>
      <c r="E197">
        <v>43.706431000000002</v>
      </c>
      <c r="F197">
        <v>-79.398641999999995</v>
      </c>
      <c r="G197" t="s">
        <v>912</v>
      </c>
      <c r="H197" s="1"/>
      <c r="I197" s="1"/>
      <c r="J197" s="27" t="s">
        <v>352</v>
      </c>
      <c r="K197" s="29">
        <v>46023</v>
      </c>
      <c r="L197" s="29">
        <v>47119</v>
      </c>
      <c r="M197" s="27">
        <v>3</v>
      </c>
    </row>
    <row r="198" spans="1:13">
      <c r="A198" s="27" t="s">
        <v>723</v>
      </c>
      <c r="B198" s="27" t="s">
        <v>724</v>
      </c>
      <c r="C198" s="27" t="s">
        <v>725</v>
      </c>
      <c r="D198" s="27" t="s">
        <v>726</v>
      </c>
      <c r="E198">
        <v>32.887430000000002</v>
      </c>
      <c r="F198">
        <v>13.187329999999999</v>
      </c>
      <c r="G198" t="s">
        <v>1209</v>
      </c>
      <c r="H198" s="1"/>
      <c r="I198" s="1"/>
      <c r="J198" s="27" t="s">
        <v>356</v>
      </c>
      <c r="K198" s="29">
        <v>46023</v>
      </c>
      <c r="L198" s="29">
        <v>47119</v>
      </c>
      <c r="M198" s="27">
        <v>9.5</v>
      </c>
    </row>
    <row r="199" spans="1:13">
      <c r="A199" s="27" t="s">
        <v>727</v>
      </c>
      <c r="B199" s="27" t="s">
        <v>728</v>
      </c>
      <c r="C199" s="27" t="s">
        <v>320</v>
      </c>
      <c r="D199" s="27" t="s">
        <v>321</v>
      </c>
      <c r="E199">
        <v>54.74306</v>
      </c>
      <c r="F199">
        <v>55.967790000000001</v>
      </c>
      <c r="G199" t="s">
        <v>1141</v>
      </c>
      <c r="H199" s="1"/>
      <c r="I199" s="1"/>
      <c r="J199" s="27" t="s">
        <v>360</v>
      </c>
      <c r="K199" s="29">
        <v>46023</v>
      </c>
      <c r="L199" s="29">
        <v>47119</v>
      </c>
      <c r="M199" s="27">
        <v>8</v>
      </c>
    </row>
    <row r="200" spans="1:13">
      <c r="A200" s="27" t="s">
        <v>729</v>
      </c>
      <c r="B200" s="27" t="s">
        <v>730</v>
      </c>
      <c r="C200" s="27" t="s">
        <v>150</v>
      </c>
      <c r="D200" s="27" t="s">
        <v>731</v>
      </c>
      <c r="E200">
        <v>47.141509999999997</v>
      </c>
      <c r="F200">
        <v>9.5215399999999999</v>
      </c>
      <c r="G200" t="s">
        <v>1210</v>
      </c>
      <c r="H200" s="1"/>
      <c r="I200" s="1"/>
      <c r="J200" s="27" t="s">
        <v>364</v>
      </c>
      <c r="K200" s="29">
        <v>46023</v>
      </c>
      <c r="L200" s="29">
        <v>47119</v>
      </c>
      <c r="M200" s="27">
        <v>7</v>
      </c>
    </row>
    <row r="201" spans="1:13">
      <c r="A201" s="27" t="s">
        <v>732</v>
      </c>
      <c r="B201" s="27" t="s">
        <v>733</v>
      </c>
      <c r="C201" s="27" t="s">
        <v>150</v>
      </c>
      <c r="D201" s="27" t="s">
        <v>734</v>
      </c>
      <c r="E201">
        <v>35.899679999999996</v>
      </c>
      <c r="F201">
        <v>14.514799999999999</v>
      </c>
      <c r="G201" t="s">
        <v>1211</v>
      </c>
      <c r="H201" s="1"/>
      <c r="I201" s="1"/>
      <c r="J201" s="27" t="s">
        <v>366</v>
      </c>
      <c r="K201" s="29">
        <v>46023</v>
      </c>
      <c r="L201" s="29">
        <v>47119</v>
      </c>
      <c r="M201" s="27">
        <v>6</v>
      </c>
    </row>
    <row r="202" spans="1:13">
      <c r="A202" s="27" t="s">
        <v>735</v>
      </c>
      <c r="B202" s="27" t="s">
        <v>736</v>
      </c>
      <c r="C202" s="27" t="s">
        <v>654</v>
      </c>
      <c r="D202" s="27" t="s">
        <v>655</v>
      </c>
      <c r="E202">
        <v>-33.036000000000001</v>
      </c>
      <c r="F202">
        <v>-71.629630000000006</v>
      </c>
      <c r="G202" t="s">
        <v>1197</v>
      </c>
      <c r="H202" s="1"/>
      <c r="I202" s="1"/>
      <c r="J202" s="27" t="s">
        <v>370</v>
      </c>
      <c r="K202" s="29">
        <v>46023</v>
      </c>
      <c r="L202" s="29">
        <v>46110.041666666664</v>
      </c>
      <c r="M202" s="27">
        <v>1</v>
      </c>
    </row>
    <row r="203" spans="1:13">
      <c r="A203" s="27" t="s">
        <v>737</v>
      </c>
      <c r="B203" s="27" t="s">
        <v>738</v>
      </c>
      <c r="C203" s="27" t="s">
        <v>150</v>
      </c>
      <c r="D203" s="27" t="s">
        <v>151</v>
      </c>
      <c r="E203">
        <v>41.902915999999998</v>
      </c>
      <c r="F203">
        <v>12.453389</v>
      </c>
      <c r="G203" t="s">
        <v>1212</v>
      </c>
      <c r="H203" s="1"/>
      <c r="I203" s="1"/>
      <c r="J203" s="27" t="s">
        <v>370</v>
      </c>
      <c r="K203" s="29">
        <v>46110.041666666664</v>
      </c>
      <c r="L203" s="29">
        <v>46320.041666666664</v>
      </c>
      <c r="M203" s="27">
        <v>2</v>
      </c>
    </row>
    <row r="204" spans="1:13">
      <c r="A204" s="27" t="s">
        <v>739</v>
      </c>
      <c r="B204" s="27" t="s">
        <v>740</v>
      </c>
      <c r="C204" s="27" t="s">
        <v>150</v>
      </c>
      <c r="D204" s="27" t="s">
        <v>741</v>
      </c>
      <c r="E204">
        <v>48.208489999999998</v>
      </c>
      <c r="F204">
        <v>16.37208</v>
      </c>
      <c r="G204" t="s">
        <v>1213</v>
      </c>
      <c r="H204" s="1"/>
      <c r="I204" s="1"/>
      <c r="J204" s="27" t="s">
        <v>370</v>
      </c>
      <c r="K204" s="29">
        <v>46320.041666666664</v>
      </c>
      <c r="L204" s="29">
        <v>46474.041666666664</v>
      </c>
      <c r="M204" s="27">
        <v>1</v>
      </c>
    </row>
    <row r="205" spans="1:13">
      <c r="A205" s="27" t="s">
        <v>742</v>
      </c>
      <c r="B205" s="27" t="s">
        <v>743</v>
      </c>
      <c r="C205" s="27" t="s">
        <v>402</v>
      </c>
      <c r="D205" s="27" t="s">
        <v>744</v>
      </c>
      <c r="E205">
        <v>54.689160000000001</v>
      </c>
      <c r="F205">
        <v>25.279800000000002</v>
      </c>
      <c r="G205" t="s">
        <v>1214</v>
      </c>
      <c r="H205" s="1"/>
      <c r="I205" s="1"/>
      <c r="J205" s="27" t="s">
        <v>370</v>
      </c>
      <c r="K205" s="29">
        <v>46474.041666666664</v>
      </c>
      <c r="L205" s="29">
        <v>46691.041666666664</v>
      </c>
      <c r="M205" s="27">
        <v>2</v>
      </c>
    </row>
    <row r="206" spans="1:13">
      <c r="A206" s="27" t="s">
        <v>745</v>
      </c>
      <c r="B206" s="27" t="s">
        <v>746</v>
      </c>
      <c r="C206" s="27" t="s">
        <v>144</v>
      </c>
      <c r="D206" s="27" t="s">
        <v>145</v>
      </c>
      <c r="E206">
        <v>18.673369999999998</v>
      </c>
      <c r="F206">
        <v>105.69232</v>
      </c>
      <c r="G206" t="s">
        <v>27</v>
      </c>
      <c r="H206" s="1"/>
      <c r="I206" s="1"/>
      <c r="J206" s="27" t="s">
        <v>370</v>
      </c>
      <c r="K206" s="29">
        <v>46691.041666666664</v>
      </c>
      <c r="L206" s="29">
        <v>46838.041666666664</v>
      </c>
      <c r="M206" s="27">
        <v>1</v>
      </c>
    </row>
    <row r="207" spans="1:13">
      <c r="A207" s="27" t="s">
        <v>747</v>
      </c>
      <c r="B207" s="27" t="s">
        <v>748</v>
      </c>
      <c r="C207" s="27" t="s">
        <v>449</v>
      </c>
      <c r="D207" s="27" t="s">
        <v>450</v>
      </c>
      <c r="E207">
        <v>52.229770000000002</v>
      </c>
      <c r="F207">
        <v>21.011780000000002</v>
      </c>
      <c r="G207" t="s">
        <v>1160</v>
      </c>
      <c r="H207" s="1"/>
      <c r="I207" s="1"/>
      <c r="J207" s="27" t="s">
        <v>370</v>
      </c>
      <c r="K207" s="29">
        <v>46838.041666666664</v>
      </c>
      <c r="L207" s="29">
        <v>47055.041666666664</v>
      </c>
      <c r="M207" s="27">
        <v>2</v>
      </c>
    </row>
    <row r="208" spans="1:13">
      <c r="A208" s="27" t="s">
        <v>749</v>
      </c>
      <c r="B208" s="27" t="s">
        <v>750</v>
      </c>
      <c r="C208" s="27" t="s">
        <v>164</v>
      </c>
      <c r="D208" s="27" t="s">
        <v>751</v>
      </c>
      <c r="E208">
        <v>3.8666700000000001</v>
      </c>
      <c r="F208">
        <v>11.51667</v>
      </c>
      <c r="G208" t="s">
        <v>1215</v>
      </c>
      <c r="H208" s="1"/>
      <c r="I208" s="1"/>
      <c r="J208" s="27" t="s">
        <v>370</v>
      </c>
      <c r="K208" s="29">
        <v>47055.041666666664</v>
      </c>
      <c r="L208" s="29">
        <v>47119</v>
      </c>
      <c r="M208" s="27">
        <v>1</v>
      </c>
    </row>
    <row r="209" spans="1:13">
      <c r="A209" s="27" t="s">
        <v>752</v>
      </c>
      <c r="B209" s="27" t="s">
        <v>753</v>
      </c>
      <c r="C209" s="27" t="s">
        <v>320</v>
      </c>
      <c r="D209" s="27" t="s">
        <v>321</v>
      </c>
      <c r="E209">
        <v>56.857329999999997</v>
      </c>
      <c r="F209">
        <v>60.615290000000002</v>
      </c>
      <c r="G209" t="s">
        <v>1141</v>
      </c>
      <c r="H209" s="1"/>
      <c r="I209" s="1"/>
      <c r="J209" s="27" t="s">
        <v>372</v>
      </c>
      <c r="K209" s="29">
        <v>46023</v>
      </c>
      <c r="L209" s="29">
        <v>46110.041666666664</v>
      </c>
      <c r="M209" s="27">
        <v>0</v>
      </c>
    </row>
    <row r="210" spans="1:13">
      <c r="A210" s="27" t="s">
        <v>754</v>
      </c>
      <c r="B210" s="27" t="s">
        <v>755</v>
      </c>
      <c r="C210" s="27" t="s">
        <v>756</v>
      </c>
      <c r="D210" s="27" t="s">
        <v>757</v>
      </c>
      <c r="E210">
        <v>40.17765</v>
      </c>
      <c r="F210">
        <v>44.512599999999999</v>
      </c>
      <c r="G210" t="s">
        <v>1216</v>
      </c>
      <c r="H210" s="1"/>
      <c r="I210" s="1"/>
      <c r="J210" s="27" t="s">
        <v>372</v>
      </c>
      <c r="K210" s="29">
        <v>46110.041666666664</v>
      </c>
      <c r="L210" s="29">
        <v>46320.041666666664</v>
      </c>
      <c r="M210" s="27">
        <v>1</v>
      </c>
    </row>
    <row r="211" spans="1:13">
      <c r="A211" s="27" t="s">
        <v>758</v>
      </c>
      <c r="B211" s="27" t="s">
        <v>759</v>
      </c>
      <c r="C211" s="27" t="s">
        <v>449</v>
      </c>
      <c r="D211" s="27" t="s">
        <v>760</v>
      </c>
      <c r="E211">
        <v>45.814439999999998</v>
      </c>
      <c r="F211">
        <v>15.977980000000001</v>
      </c>
      <c r="G211" t="s">
        <v>1217</v>
      </c>
      <c r="H211" s="1"/>
      <c r="I211" s="1"/>
      <c r="J211" s="27" t="s">
        <v>372</v>
      </c>
      <c r="K211" s="29">
        <v>46320.041666666664</v>
      </c>
      <c r="L211" s="29">
        <v>46474.041666666664</v>
      </c>
      <c r="M211" s="27">
        <v>0</v>
      </c>
    </row>
    <row r="212" spans="1:13">
      <c r="A212" s="1"/>
      <c r="B212" s="1"/>
      <c r="C212" s="1"/>
      <c r="D212" s="1"/>
      <c r="E212" s="1"/>
      <c r="F212" s="1"/>
      <c r="G212" s="1"/>
      <c r="H212" s="1"/>
      <c r="I212" s="1"/>
      <c r="J212" s="27" t="s">
        <v>372</v>
      </c>
      <c r="K212" s="29">
        <v>46474.041666666664</v>
      </c>
      <c r="L212" s="29">
        <v>46691.041666666664</v>
      </c>
      <c r="M212" s="27">
        <v>1</v>
      </c>
    </row>
    <row r="213" spans="1:13">
      <c r="A213" s="1"/>
      <c r="B213" s="1"/>
      <c r="C213" s="1"/>
      <c r="D213" s="1"/>
      <c r="E213" s="1"/>
      <c r="F213" s="1"/>
      <c r="G213" s="1"/>
      <c r="H213" s="1"/>
      <c r="I213" s="1"/>
      <c r="J213" s="27" t="s">
        <v>372</v>
      </c>
      <c r="K213" s="29">
        <v>46691.041666666664</v>
      </c>
      <c r="L213" s="29">
        <v>46838.041666666664</v>
      </c>
      <c r="M213" s="27">
        <v>0</v>
      </c>
    </row>
    <row r="214" spans="1:13">
      <c r="A214" s="82" t="s">
        <v>761</v>
      </c>
      <c r="B214" s="82"/>
      <c r="C214" s="82"/>
      <c r="D214" s="82"/>
      <c r="E214" s="82"/>
      <c r="F214" s="82"/>
      <c r="G214" s="82"/>
      <c r="H214" s="82"/>
      <c r="I214" s="1"/>
      <c r="J214" s="27" t="s">
        <v>372</v>
      </c>
      <c r="K214" s="29">
        <v>46838.041666666664</v>
      </c>
      <c r="L214" s="29">
        <v>47055.041666666664</v>
      </c>
      <c r="M214" s="27">
        <v>1</v>
      </c>
    </row>
    <row r="215" spans="1:13">
      <c r="A215" s="1"/>
      <c r="B215" s="1"/>
      <c r="C215" s="1"/>
      <c r="D215" s="1"/>
      <c r="E215" s="1"/>
      <c r="F215" s="1"/>
      <c r="G215" s="1"/>
      <c r="H215" s="1"/>
      <c r="I215" s="1"/>
      <c r="J215" s="27" t="s">
        <v>372</v>
      </c>
      <c r="K215" s="29">
        <v>47055.041666666664</v>
      </c>
      <c r="L215" s="29">
        <v>47119</v>
      </c>
      <c r="M215" s="27">
        <v>0</v>
      </c>
    </row>
    <row r="216" spans="1:13">
      <c r="A216" s="82" t="s">
        <v>762</v>
      </c>
      <c r="B216" s="82"/>
      <c r="C216" s="82"/>
      <c r="D216" s="82"/>
      <c r="E216" s="82"/>
      <c r="F216" s="82"/>
      <c r="G216" s="82"/>
      <c r="H216" s="82"/>
      <c r="I216" s="1"/>
      <c r="J216" s="27" t="s">
        <v>375</v>
      </c>
      <c r="K216" s="29">
        <v>46023</v>
      </c>
      <c r="L216" s="29">
        <v>46110.041666666664</v>
      </c>
      <c r="M216" s="27">
        <v>0</v>
      </c>
    </row>
    <row r="217" spans="1:13">
      <c r="A217" s="1"/>
      <c r="B217" s="1"/>
      <c r="C217" s="1"/>
      <c r="D217" s="1"/>
      <c r="E217" s="1"/>
      <c r="F217" s="1"/>
      <c r="G217" s="1"/>
      <c r="H217" s="1"/>
      <c r="I217" s="1"/>
      <c r="J217" s="27" t="s">
        <v>375</v>
      </c>
      <c r="K217" s="29">
        <v>46110.041666666664</v>
      </c>
      <c r="L217" s="29">
        <v>46320.041666666664</v>
      </c>
      <c r="M217" s="27">
        <v>1</v>
      </c>
    </row>
    <row r="218" spans="1:13">
      <c r="A218" s="1"/>
      <c r="B218" s="1"/>
      <c r="C218" s="1"/>
      <c r="D218" s="1"/>
      <c r="E218" s="1"/>
      <c r="F218" s="1"/>
      <c r="G218" s="1"/>
      <c r="H218" s="1"/>
      <c r="I218" s="1"/>
      <c r="J218" s="27" t="s">
        <v>375</v>
      </c>
      <c r="K218" s="29">
        <v>46320.041666666664</v>
      </c>
      <c r="L218" s="29">
        <v>46474.041666666664</v>
      </c>
      <c r="M218" s="27">
        <v>0</v>
      </c>
    </row>
    <row r="219" spans="1:13">
      <c r="A219" s="1"/>
      <c r="B219" s="1"/>
      <c r="C219" s="1"/>
      <c r="D219" s="1"/>
      <c r="E219" s="1"/>
      <c r="F219" s="1"/>
      <c r="G219" s="1"/>
      <c r="H219" s="1"/>
      <c r="I219" s="1"/>
      <c r="J219" s="27" t="s">
        <v>375</v>
      </c>
      <c r="K219" s="29">
        <v>46474.041666666664</v>
      </c>
      <c r="L219" s="29">
        <v>46691.041666666664</v>
      </c>
      <c r="M219" s="27">
        <v>1</v>
      </c>
    </row>
    <row r="220" spans="1:13">
      <c r="A220" s="1"/>
      <c r="B220" s="1"/>
      <c r="C220" s="1"/>
      <c r="D220" s="1"/>
      <c r="E220" s="1"/>
      <c r="F220" s="1"/>
      <c r="G220" s="1"/>
      <c r="H220" s="1"/>
      <c r="I220" s="1"/>
      <c r="J220" s="27" t="s">
        <v>375</v>
      </c>
      <c r="K220" s="29">
        <v>46691.041666666664</v>
      </c>
      <c r="L220" s="29">
        <v>46838.041666666664</v>
      </c>
      <c r="M220" s="27">
        <v>0</v>
      </c>
    </row>
    <row r="221" spans="1:13">
      <c r="A221" s="1"/>
      <c r="B221" s="1"/>
      <c r="C221" s="1"/>
      <c r="D221" s="1"/>
      <c r="E221" s="1"/>
      <c r="F221" s="1"/>
      <c r="G221" s="1"/>
      <c r="H221" s="1"/>
      <c r="I221" s="1"/>
      <c r="J221" s="27" t="s">
        <v>375</v>
      </c>
      <c r="K221" s="29">
        <v>46838.041666666664</v>
      </c>
      <c r="L221" s="29">
        <v>47055.041666666664</v>
      </c>
      <c r="M221" s="27">
        <v>1</v>
      </c>
    </row>
    <row r="222" spans="1:13">
      <c r="A222" s="1"/>
      <c r="B222" s="1"/>
      <c r="C222" s="1"/>
      <c r="D222" s="1"/>
      <c r="E222" s="1"/>
      <c r="F222" s="1"/>
      <c r="G222" s="1"/>
      <c r="H222" s="1"/>
      <c r="I222" s="1"/>
      <c r="J222" s="27" t="s">
        <v>375</v>
      </c>
      <c r="K222" s="29">
        <v>47055.041666666664</v>
      </c>
      <c r="L222" s="29">
        <v>47119</v>
      </c>
      <c r="M222" s="27">
        <v>0</v>
      </c>
    </row>
    <row r="223" spans="1:13">
      <c r="A223" s="1"/>
      <c r="B223" s="1"/>
      <c r="C223" s="1"/>
      <c r="D223" s="1"/>
      <c r="E223" s="1"/>
      <c r="F223" s="1"/>
      <c r="G223" s="1"/>
      <c r="H223" s="1"/>
      <c r="I223" s="1"/>
      <c r="J223" s="27" t="s">
        <v>377</v>
      </c>
      <c r="K223" s="29">
        <v>46023</v>
      </c>
      <c r="L223" s="29">
        <v>46110.041666666664</v>
      </c>
      <c r="M223" s="27">
        <v>1</v>
      </c>
    </row>
    <row r="224" spans="1:13">
      <c r="A224" s="1"/>
      <c r="B224" s="1"/>
      <c r="C224" s="1"/>
      <c r="D224" s="1"/>
      <c r="E224" s="1"/>
      <c r="F224" s="1"/>
      <c r="G224" s="1"/>
      <c r="H224" s="1"/>
      <c r="I224" s="1"/>
      <c r="J224" s="27" t="s">
        <v>377</v>
      </c>
      <c r="K224" s="29">
        <v>46110.041666666664</v>
      </c>
      <c r="L224" s="29">
        <v>46320.041666666664</v>
      </c>
      <c r="M224" s="27">
        <v>2</v>
      </c>
    </row>
    <row r="225" spans="1:13">
      <c r="A225" s="1"/>
      <c r="B225" s="1"/>
      <c r="C225" s="1"/>
      <c r="D225" s="1"/>
      <c r="E225" s="1"/>
      <c r="F225" s="1"/>
      <c r="G225" s="1"/>
      <c r="H225" s="1"/>
      <c r="I225" s="1"/>
      <c r="J225" s="27" t="s">
        <v>377</v>
      </c>
      <c r="K225" s="29">
        <v>46320.041666666664</v>
      </c>
      <c r="L225" s="29">
        <v>46474.041666666664</v>
      </c>
      <c r="M225" s="27">
        <v>1</v>
      </c>
    </row>
    <row r="226" spans="1:13">
      <c r="A226" s="1"/>
      <c r="B226" s="1"/>
      <c r="C226" s="1"/>
      <c r="D226" s="1"/>
      <c r="E226" s="1"/>
      <c r="F226" s="1"/>
      <c r="G226" s="1"/>
      <c r="H226" s="1"/>
      <c r="I226" s="1"/>
      <c r="J226" s="27" t="s">
        <v>377</v>
      </c>
      <c r="K226" s="29">
        <v>46474.041666666664</v>
      </c>
      <c r="L226" s="29">
        <v>46691.041666666664</v>
      </c>
      <c r="M226" s="27">
        <v>2</v>
      </c>
    </row>
    <row r="227" spans="1:13">
      <c r="A227" s="1"/>
      <c r="B227" s="1"/>
      <c r="C227" s="1"/>
      <c r="D227" s="1"/>
      <c r="E227" s="1"/>
      <c r="F227" s="1"/>
      <c r="G227" s="1"/>
      <c r="H227" s="1"/>
      <c r="I227" s="1"/>
      <c r="J227" s="27" t="s">
        <v>377</v>
      </c>
      <c r="K227" s="29">
        <v>46691.041666666664</v>
      </c>
      <c r="L227" s="29">
        <v>46838.041666666664</v>
      </c>
      <c r="M227" s="27">
        <v>1</v>
      </c>
    </row>
    <row r="228" spans="1:13">
      <c r="A228" s="1"/>
      <c r="B228" s="1"/>
      <c r="C228" s="1"/>
      <c r="D228" s="1"/>
      <c r="E228" s="1"/>
      <c r="F228" s="1"/>
      <c r="G228" s="1"/>
      <c r="H228" s="1"/>
      <c r="I228" s="1"/>
      <c r="J228" s="27" t="s">
        <v>377</v>
      </c>
      <c r="K228" s="29">
        <v>46838.041666666664</v>
      </c>
      <c r="L228" s="29">
        <v>47055.041666666664</v>
      </c>
      <c r="M228" s="27">
        <v>2</v>
      </c>
    </row>
    <row r="229" spans="1:13">
      <c r="A229" s="1"/>
      <c r="B229" s="1"/>
      <c r="C229" s="1"/>
      <c r="D229" s="1"/>
      <c r="E229" s="1"/>
      <c r="F229" s="1"/>
      <c r="G229" s="1"/>
      <c r="H229" s="1"/>
      <c r="I229" s="1"/>
      <c r="J229" s="27" t="s">
        <v>377</v>
      </c>
      <c r="K229" s="29">
        <v>47055.041666666664</v>
      </c>
      <c r="L229" s="29">
        <v>47119</v>
      </c>
      <c r="M229" s="27">
        <v>1</v>
      </c>
    </row>
    <row r="230" spans="1:13">
      <c r="A230" s="1"/>
      <c r="B230" s="1"/>
      <c r="C230" s="1"/>
      <c r="D230" s="1"/>
      <c r="E230" s="1"/>
      <c r="F230" s="1"/>
      <c r="G230" s="1"/>
      <c r="H230" s="1"/>
      <c r="I230" s="1"/>
      <c r="J230" s="27" t="s">
        <v>379</v>
      </c>
      <c r="K230" s="29">
        <v>46023</v>
      </c>
      <c r="L230" s="29">
        <v>46110.041666666664</v>
      </c>
      <c r="M230" s="27">
        <v>1</v>
      </c>
    </row>
    <row r="231" spans="1:13">
      <c r="A231" s="1"/>
      <c r="B231" s="1"/>
      <c r="C231" s="1"/>
      <c r="D231" s="1"/>
      <c r="E231" s="1"/>
      <c r="F231" s="1"/>
      <c r="G231" s="1"/>
      <c r="H231" s="1"/>
      <c r="I231" s="1"/>
      <c r="J231" s="27" t="s">
        <v>379</v>
      </c>
      <c r="K231" s="29">
        <v>46110.041666666664</v>
      </c>
      <c r="L231" s="29">
        <v>46320.041666666664</v>
      </c>
      <c r="M231" s="27">
        <v>2</v>
      </c>
    </row>
    <row r="232" spans="1:13">
      <c r="A232" s="1"/>
      <c r="B232" s="1"/>
      <c r="C232" s="1"/>
      <c r="D232" s="1"/>
      <c r="E232" s="1"/>
      <c r="F232" s="1"/>
      <c r="G232" s="1"/>
      <c r="H232" s="1"/>
      <c r="I232" s="1"/>
      <c r="J232" s="27" t="s">
        <v>379</v>
      </c>
      <c r="K232" s="29">
        <v>46320.041666666664</v>
      </c>
      <c r="L232" s="29">
        <v>46474.041666666664</v>
      </c>
      <c r="M232" s="27">
        <v>1</v>
      </c>
    </row>
    <row r="233" spans="1:13">
      <c r="A233" s="1"/>
      <c r="B233" s="1"/>
      <c r="C233" s="1"/>
      <c r="D233" s="1"/>
      <c r="E233" s="1"/>
      <c r="F233" s="1"/>
      <c r="G233" s="1"/>
      <c r="H233" s="1"/>
      <c r="I233" s="1"/>
      <c r="J233" s="27" t="s">
        <v>379</v>
      </c>
      <c r="K233" s="29">
        <v>46474.041666666664</v>
      </c>
      <c r="L233" s="29">
        <v>46691.041666666664</v>
      </c>
      <c r="M233" s="27">
        <v>2</v>
      </c>
    </row>
    <row r="234" spans="1:13">
      <c r="A234" s="1"/>
      <c r="B234" s="1"/>
      <c r="C234" s="1"/>
      <c r="D234" s="1"/>
      <c r="E234" s="1"/>
      <c r="F234" s="1"/>
      <c r="G234" s="1"/>
      <c r="H234" s="1"/>
      <c r="I234" s="1"/>
      <c r="J234" s="27" t="s">
        <v>379</v>
      </c>
      <c r="K234" s="29">
        <v>46691.041666666664</v>
      </c>
      <c r="L234" s="29">
        <v>46838.041666666664</v>
      </c>
      <c r="M234" s="27">
        <v>1</v>
      </c>
    </row>
    <row r="235" spans="1:13">
      <c r="A235" s="1"/>
      <c r="B235" s="1"/>
      <c r="C235" s="1"/>
      <c r="D235" s="1"/>
      <c r="E235" s="1"/>
      <c r="F235" s="1"/>
      <c r="G235" s="1"/>
      <c r="H235" s="1"/>
      <c r="I235" s="1"/>
      <c r="J235" s="27" t="s">
        <v>379</v>
      </c>
      <c r="K235" s="29">
        <v>46838.041666666664</v>
      </c>
      <c r="L235" s="29">
        <v>47055.041666666664</v>
      </c>
      <c r="M235" s="27">
        <v>2</v>
      </c>
    </row>
    <row r="236" spans="1:13">
      <c r="A236" s="1"/>
      <c r="B236" s="1"/>
      <c r="C236" s="1"/>
      <c r="D236" s="1"/>
      <c r="E236" s="1"/>
      <c r="F236" s="1"/>
      <c r="G236" s="1"/>
      <c r="H236" s="1"/>
      <c r="I236" s="1"/>
      <c r="J236" s="27" t="s">
        <v>379</v>
      </c>
      <c r="K236" s="29">
        <v>47055.041666666664</v>
      </c>
      <c r="L236" s="29">
        <v>47119</v>
      </c>
      <c r="M236" s="27">
        <v>1</v>
      </c>
    </row>
    <row r="237" spans="1:13">
      <c r="A237" s="1"/>
      <c r="B237" s="1"/>
      <c r="C237" s="1"/>
      <c r="D237" s="1"/>
      <c r="E237" s="1"/>
      <c r="F237" s="1"/>
      <c r="G237" s="1"/>
      <c r="H237" s="1"/>
      <c r="I237" s="1"/>
      <c r="J237" s="27" t="s">
        <v>381</v>
      </c>
      <c r="K237" s="29">
        <v>46023</v>
      </c>
      <c r="L237" s="29">
        <v>47119</v>
      </c>
      <c r="M237" s="27">
        <v>-3</v>
      </c>
    </row>
    <row r="238" spans="1:13">
      <c r="A238" s="1"/>
      <c r="B238" s="1"/>
      <c r="C238" s="1"/>
      <c r="D238" s="1"/>
      <c r="E238" s="1"/>
      <c r="F238" s="1"/>
      <c r="G238" s="1"/>
      <c r="H238" s="1"/>
      <c r="I238" s="1"/>
      <c r="J238" s="27" t="s">
        <v>384</v>
      </c>
      <c r="K238" s="29">
        <v>46023</v>
      </c>
      <c r="L238" s="29">
        <v>47119</v>
      </c>
      <c r="M238" s="27">
        <v>10</v>
      </c>
    </row>
    <row r="239" spans="1:13">
      <c r="A239" s="1"/>
      <c r="B239" s="1"/>
      <c r="C239" s="1"/>
      <c r="D239" s="1"/>
      <c r="E239" s="1"/>
      <c r="F239" s="1"/>
      <c r="G239" s="1"/>
      <c r="H239" s="1"/>
      <c r="I239" s="1"/>
      <c r="J239" s="27" t="s">
        <v>386</v>
      </c>
      <c r="K239" s="29">
        <v>46023</v>
      </c>
      <c r="L239" s="29">
        <v>47119</v>
      </c>
      <c r="M239" s="27">
        <v>-6</v>
      </c>
    </row>
    <row r="240" spans="1:13">
      <c r="A240" s="1"/>
      <c r="B240" s="1"/>
      <c r="C240" s="1"/>
      <c r="D240" s="1"/>
      <c r="E240" s="1"/>
      <c r="F240" s="1"/>
      <c r="G240" s="1"/>
      <c r="H240" s="1"/>
      <c r="I240" s="1"/>
      <c r="J240" s="27" t="s">
        <v>390</v>
      </c>
      <c r="K240" s="29">
        <v>46023</v>
      </c>
      <c r="L240" s="29">
        <v>47119</v>
      </c>
      <c r="M240" s="27">
        <v>7</v>
      </c>
    </row>
    <row r="241" spans="1:13">
      <c r="A241" s="1"/>
      <c r="B241" s="1"/>
      <c r="C241" s="1"/>
      <c r="D241" s="1"/>
      <c r="E241" s="1"/>
      <c r="F241" s="1"/>
      <c r="G241" s="1"/>
      <c r="H241" s="1"/>
      <c r="I241" s="1"/>
      <c r="J241" s="27" t="s">
        <v>26</v>
      </c>
      <c r="K241" s="29">
        <v>46023</v>
      </c>
      <c r="L241" s="29">
        <v>47119</v>
      </c>
      <c r="M241" s="27">
        <v>7</v>
      </c>
    </row>
    <row r="242" spans="1:13">
      <c r="A242" s="1"/>
      <c r="B242" s="1"/>
      <c r="C242" s="1"/>
      <c r="D242" s="1"/>
      <c r="E242" s="1"/>
      <c r="F242" s="1"/>
      <c r="G242" s="1"/>
      <c r="H242" s="1"/>
      <c r="I242" s="1"/>
      <c r="J242" s="27" t="s">
        <v>392</v>
      </c>
      <c r="K242" s="29">
        <v>46023</v>
      </c>
      <c r="L242" s="29">
        <v>47119</v>
      </c>
      <c r="M242" s="27">
        <v>2</v>
      </c>
    </row>
    <row r="243" spans="1:13">
      <c r="A243" s="1"/>
      <c r="B243" s="1"/>
      <c r="C243" s="1"/>
      <c r="D243" s="1"/>
      <c r="E243" s="1"/>
      <c r="F243" s="1"/>
      <c r="G243" s="1"/>
      <c r="H243" s="1"/>
      <c r="I243" s="1"/>
      <c r="J243" s="27" t="s">
        <v>396</v>
      </c>
      <c r="K243" s="29">
        <v>46023</v>
      </c>
      <c r="L243" s="29">
        <v>46089.208333333336</v>
      </c>
      <c r="M243" s="27">
        <v>-5</v>
      </c>
    </row>
    <row r="244" spans="1:13">
      <c r="A244" s="1"/>
      <c r="B244" s="1"/>
      <c r="C244" s="1"/>
      <c r="D244" s="1"/>
      <c r="E244" s="1"/>
      <c r="F244" s="1"/>
      <c r="G244" s="1"/>
      <c r="H244" s="1"/>
      <c r="I244" s="1"/>
      <c r="J244" s="27" t="s">
        <v>396</v>
      </c>
      <c r="K244" s="29">
        <v>46089.208333333336</v>
      </c>
      <c r="L244" s="29">
        <v>46327.208333333336</v>
      </c>
      <c r="M244" s="27">
        <v>-4</v>
      </c>
    </row>
    <row r="245" spans="1:13">
      <c r="A245" s="1"/>
      <c r="B245" s="1"/>
      <c r="C245" s="1"/>
      <c r="D245" s="1"/>
      <c r="E245" s="1"/>
      <c r="F245" s="1"/>
      <c r="G245" s="1"/>
      <c r="H245" s="1"/>
      <c r="I245" s="1"/>
      <c r="J245" s="27" t="s">
        <v>396</v>
      </c>
      <c r="K245" s="29">
        <v>46327.208333333336</v>
      </c>
      <c r="L245" s="29">
        <v>46460.208333333336</v>
      </c>
      <c r="M245" s="27">
        <v>-5</v>
      </c>
    </row>
    <row r="246" spans="1:13">
      <c r="A246" s="1"/>
      <c r="B246" s="1"/>
      <c r="C246" s="1"/>
      <c r="D246" s="1"/>
      <c r="E246" s="1"/>
      <c r="F246" s="1"/>
      <c r="G246" s="1"/>
      <c r="H246" s="1"/>
      <c r="I246" s="1"/>
      <c r="J246" s="27" t="s">
        <v>396</v>
      </c>
      <c r="K246" s="29">
        <v>46460.208333333336</v>
      </c>
      <c r="L246" s="29">
        <v>46698.208333333336</v>
      </c>
      <c r="M246" s="27">
        <v>-4</v>
      </c>
    </row>
    <row r="247" spans="1:13">
      <c r="A247" s="1"/>
      <c r="B247" s="1"/>
      <c r="C247" s="1"/>
      <c r="D247" s="1"/>
      <c r="E247" s="1"/>
      <c r="F247" s="1"/>
      <c r="G247" s="1"/>
      <c r="H247" s="1"/>
      <c r="I247" s="1"/>
      <c r="J247" s="27" t="s">
        <v>396</v>
      </c>
      <c r="K247" s="29">
        <v>46698.208333333336</v>
      </c>
      <c r="L247" s="29">
        <v>46824.208333333336</v>
      </c>
      <c r="M247" s="27">
        <v>-5</v>
      </c>
    </row>
    <row r="248" spans="1:13">
      <c r="A248" s="1"/>
      <c r="B248" s="1"/>
      <c r="C248" s="1"/>
      <c r="D248" s="1"/>
      <c r="E248" s="1"/>
      <c r="F248" s="1"/>
      <c r="G248" s="1"/>
      <c r="H248" s="1"/>
      <c r="I248" s="1"/>
      <c r="J248" s="27" t="s">
        <v>396</v>
      </c>
      <c r="K248" s="29">
        <v>46824.208333333336</v>
      </c>
      <c r="L248" s="29">
        <v>47062.208333333336</v>
      </c>
      <c r="M248" s="27">
        <v>-4</v>
      </c>
    </row>
    <row r="249" spans="1:13">
      <c r="A249" s="1"/>
      <c r="B249" s="1"/>
      <c r="C249" s="1"/>
      <c r="D249" s="1"/>
      <c r="E249" s="1"/>
      <c r="F249" s="1"/>
      <c r="G249" s="1"/>
      <c r="H249" s="1"/>
      <c r="I249" s="1"/>
      <c r="J249" s="27" t="s">
        <v>396</v>
      </c>
      <c r="K249" s="29">
        <v>47062.208333333336</v>
      </c>
      <c r="L249" s="29">
        <v>47119</v>
      </c>
      <c r="M249" s="27">
        <v>-5</v>
      </c>
    </row>
    <row r="250" spans="1:13">
      <c r="A250" s="1"/>
      <c r="B250" s="1"/>
      <c r="C250" s="1"/>
      <c r="D250" s="1"/>
      <c r="E250" s="1"/>
      <c r="F250" s="1"/>
      <c r="G250" s="1"/>
      <c r="H250" s="1"/>
      <c r="I250" s="1"/>
      <c r="J250" s="27" t="s">
        <v>400</v>
      </c>
      <c r="K250" s="29">
        <v>46023</v>
      </c>
      <c r="L250" s="29">
        <v>46110.041666666664</v>
      </c>
      <c r="M250" s="27">
        <v>2</v>
      </c>
    </row>
    <row r="251" spans="1:13">
      <c r="A251" s="1"/>
      <c r="B251" s="1"/>
      <c r="C251" s="1"/>
      <c r="D251" s="1"/>
      <c r="E251" s="1"/>
      <c r="F251" s="1"/>
      <c r="G251" s="1"/>
      <c r="H251" s="1"/>
      <c r="I251" s="1"/>
      <c r="J251" s="27" t="s">
        <v>400</v>
      </c>
      <c r="K251" s="29">
        <v>46110.041666666664</v>
      </c>
      <c r="L251" s="29">
        <v>46320.041666666664</v>
      </c>
      <c r="M251" s="27">
        <v>3</v>
      </c>
    </row>
    <row r="252" spans="1:13">
      <c r="A252" s="1"/>
      <c r="B252" s="1"/>
      <c r="C252" s="1"/>
      <c r="D252" s="1"/>
      <c r="E252" s="1"/>
      <c r="F252" s="1"/>
      <c r="G252" s="1"/>
      <c r="H252" s="1"/>
      <c r="I252" s="1"/>
      <c r="J252" s="27" t="s">
        <v>400</v>
      </c>
      <c r="K252" s="29">
        <v>46320.041666666664</v>
      </c>
      <c r="L252" s="29">
        <v>46474.041666666664</v>
      </c>
      <c r="M252" s="27">
        <v>2</v>
      </c>
    </row>
    <row r="253" spans="1:13">
      <c r="A253" s="1"/>
      <c r="B253" s="1"/>
      <c r="C253" s="1"/>
      <c r="D253" s="1"/>
      <c r="E253" s="1"/>
      <c r="F253" s="1"/>
      <c r="G253" s="1"/>
      <c r="H253" s="1"/>
      <c r="I253" s="1"/>
      <c r="J253" s="27" t="s">
        <v>400</v>
      </c>
      <c r="K253" s="29">
        <v>46474.041666666664</v>
      </c>
      <c r="L253" s="29">
        <v>46691.041666666664</v>
      </c>
      <c r="M253" s="27">
        <v>3</v>
      </c>
    </row>
    <row r="254" spans="1:13">
      <c r="A254" s="1"/>
      <c r="B254" s="1"/>
      <c r="C254" s="1"/>
      <c r="D254" s="1"/>
      <c r="E254" s="1"/>
      <c r="F254" s="1"/>
      <c r="G254" s="1"/>
      <c r="H254" s="1"/>
      <c r="I254" s="1"/>
      <c r="J254" s="27" t="s">
        <v>400</v>
      </c>
      <c r="K254" s="29">
        <v>46691.041666666664</v>
      </c>
      <c r="L254" s="29">
        <v>46838.041666666664</v>
      </c>
      <c r="M254" s="27">
        <v>2</v>
      </c>
    </row>
    <row r="255" spans="1:13">
      <c r="A255" s="1"/>
      <c r="B255" s="1"/>
      <c r="C255" s="1"/>
      <c r="D255" s="1"/>
      <c r="E255" s="1"/>
      <c r="F255" s="1"/>
      <c r="G255" s="1"/>
      <c r="H255" s="1"/>
      <c r="I255" s="1"/>
      <c r="J255" s="27" t="s">
        <v>400</v>
      </c>
      <c r="K255" s="29">
        <v>46838.041666666664</v>
      </c>
      <c r="L255" s="29">
        <v>47055.041666666664</v>
      </c>
      <c r="M255" s="27">
        <v>3</v>
      </c>
    </row>
    <row r="256" spans="1:13">
      <c r="A256" s="1"/>
      <c r="B256" s="1"/>
      <c r="C256" s="1"/>
      <c r="D256" s="1"/>
      <c r="E256" s="1"/>
      <c r="F256" s="1"/>
      <c r="G256" s="1"/>
      <c r="H256" s="1"/>
      <c r="I256" s="1"/>
      <c r="J256" s="27" t="s">
        <v>400</v>
      </c>
      <c r="K256" s="29">
        <v>47055.041666666664</v>
      </c>
      <c r="L256" s="29">
        <v>47119</v>
      </c>
      <c r="M256" s="27">
        <v>2</v>
      </c>
    </row>
    <row r="257" spans="1:13">
      <c r="A257" s="1"/>
      <c r="B257" s="1"/>
      <c r="C257" s="1"/>
      <c r="D257" s="1"/>
      <c r="E257" s="1"/>
      <c r="F257" s="1"/>
      <c r="G257" s="1"/>
      <c r="H257" s="1"/>
      <c r="I257" s="1"/>
      <c r="J257" s="27" t="s">
        <v>404</v>
      </c>
      <c r="K257" s="29">
        <v>46023</v>
      </c>
      <c r="L257" s="29">
        <v>47119</v>
      </c>
      <c r="M257" s="27">
        <v>7</v>
      </c>
    </row>
    <row r="258" spans="1:13">
      <c r="A258" s="1"/>
      <c r="B258" s="1"/>
      <c r="C258" s="1"/>
      <c r="D258" s="1"/>
      <c r="E258" s="1"/>
      <c r="F258" s="1"/>
      <c r="G258" s="1"/>
      <c r="H258" s="1"/>
      <c r="I258" s="1"/>
      <c r="J258" s="27" t="s">
        <v>406</v>
      </c>
      <c r="K258" s="29">
        <v>46023</v>
      </c>
      <c r="L258" s="29">
        <v>46116.666666666664</v>
      </c>
      <c r="M258" s="27">
        <v>11</v>
      </c>
    </row>
    <row r="259" spans="1:13">
      <c r="A259" s="1"/>
      <c r="B259" s="1"/>
      <c r="C259" s="1"/>
      <c r="D259" s="1"/>
      <c r="E259" s="1"/>
      <c r="F259" s="1"/>
      <c r="G259" s="1"/>
      <c r="H259" s="1"/>
      <c r="I259" s="1"/>
      <c r="J259" s="27" t="s">
        <v>406</v>
      </c>
      <c r="K259" s="29">
        <v>46116.666666666664</v>
      </c>
      <c r="L259" s="29">
        <v>46298.666666666664</v>
      </c>
      <c r="M259" s="27">
        <v>10</v>
      </c>
    </row>
    <row r="260" spans="1:13">
      <c r="A260" s="1"/>
      <c r="B260" s="1"/>
      <c r="C260" s="1"/>
      <c r="D260" s="1"/>
      <c r="E260" s="1"/>
      <c r="F260" s="1"/>
      <c r="G260" s="1"/>
      <c r="H260" s="1"/>
      <c r="I260" s="1"/>
      <c r="J260" s="27" t="s">
        <v>406</v>
      </c>
      <c r="K260" s="29">
        <v>46298.666666666664</v>
      </c>
      <c r="L260" s="29">
        <v>46480.666666666664</v>
      </c>
      <c r="M260" s="27">
        <v>11</v>
      </c>
    </row>
    <row r="261" spans="1:13">
      <c r="A261" s="1"/>
      <c r="B261" s="1"/>
      <c r="C261" s="1"/>
      <c r="D261" s="1"/>
      <c r="E261" s="1"/>
      <c r="F261" s="1"/>
      <c r="G261" s="1"/>
      <c r="H261" s="1"/>
      <c r="I261" s="1"/>
      <c r="J261" s="27" t="s">
        <v>406</v>
      </c>
      <c r="K261" s="29">
        <v>46480.666666666664</v>
      </c>
      <c r="L261" s="29">
        <v>46662.666666666664</v>
      </c>
      <c r="M261" s="27">
        <v>10</v>
      </c>
    </row>
    <row r="262" spans="1:13">
      <c r="A262" s="1"/>
      <c r="B262" s="1"/>
      <c r="C262" s="1"/>
      <c r="D262" s="1"/>
      <c r="E262" s="1"/>
      <c r="F262" s="1"/>
      <c r="G262" s="1"/>
      <c r="H262" s="1"/>
      <c r="I262" s="1"/>
      <c r="J262" s="27" t="s">
        <v>406</v>
      </c>
      <c r="K262" s="29">
        <v>46662.666666666664</v>
      </c>
      <c r="L262" s="29">
        <v>46844.666666666664</v>
      </c>
      <c r="M262" s="27">
        <v>11</v>
      </c>
    </row>
    <row r="263" spans="1:13">
      <c r="A263" s="1"/>
      <c r="B263" s="1"/>
      <c r="C263" s="1"/>
      <c r="D263" s="1"/>
      <c r="E263" s="1"/>
      <c r="F263" s="1"/>
      <c r="G263" s="1"/>
      <c r="H263" s="1"/>
      <c r="I263" s="1"/>
      <c r="J263" s="27" t="s">
        <v>406</v>
      </c>
      <c r="K263" s="29">
        <v>46844.666666666664</v>
      </c>
      <c r="L263" s="29">
        <v>47026.666666666664</v>
      </c>
      <c r="M263" s="27">
        <v>10</v>
      </c>
    </row>
    <row r="264" spans="1:13">
      <c r="A264" s="1"/>
      <c r="B264" s="1"/>
      <c r="C264" s="1"/>
      <c r="D264" s="1"/>
      <c r="E264" s="1"/>
      <c r="F264" s="1"/>
      <c r="G264" s="1"/>
      <c r="H264" s="1"/>
      <c r="I264" s="1"/>
      <c r="J264" s="27" t="s">
        <v>406</v>
      </c>
      <c r="K264" s="29">
        <v>47026.666666666664</v>
      </c>
      <c r="L264" s="29">
        <v>47119</v>
      </c>
      <c r="M264" s="27">
        <v>11</v>
      </c>
    </row>
    <row r="265" spans="1:13">
      <c r="A265" s="1"/>
      <c r="B265" s="1"/>
      <c r="C265" s="1"/>
      <c r="D265" s="1"/>
      <c r="E265" s="1"/>
      <c r="F265" s="1"/>
      <c r="G265" s="1"/>
      <c r="H265" s="1"/>
      <c r="I265" s="1"/>
      <c r="J265" s="27" t="s">
        <v>410</v>
      </c>
      <c r="K265" s="29">
        <v>46023</v>
      </c>
      <c r="L265" s="29">
        <v>47119</v>
      </c>
      <c r="M265" s="27">
        <v>8</v>
      </c>
    </row>
    <row r="266" spans="1:13">
      <c r="A266" s="1"/>
      <c r="B266" s="1"/>
      <c r="C266" s="1"/>
      <c r="D266" s="1"/>
      <c r="E266" s="1"/>
      <c r="F266" s="1"/>
      <c r="G266" s="1"/>
      <c r="H266" s="1"/>
      <c r="I266" s="1"/>
      <c r="J266" s="27" t="s">
        <v>413</v>
      </c>
      <c r="K266" s="29">
        <v>46023</v>
      </c>
      <c r="L266" s="29">
        <v>46089.333333333336</v>
      </c>
      <c r="M266" s="27">
        <v>-6</v>
      </c>
    </row>
    <row r="267" spans="1:13">
      <c r="A267" s="1"/>
      <c r="B267" s="1"/>
      <c r="C267" s="1"/>
      <c r="D267" s="1"/>
      <c r="E267" s="1"/>
      <c r="F267" s="1"/>
      <c r="G267" s="1"/>
      <c r="H267" s="1"/>
      <c r="I267" s="1"/>
      <c r="J267" s="27" t="s">
        <v>413</v>
      </c>
      <c r="K267" s="29">
        <v>46089.333333333336</v>
      </c>
      <c r="L267" s="29">
        <v>46327.291666666664</v>
      </c>
      <c r="M267" s="27">
        <v>-5</v>
      </c>
    </row>
    <row r="268" spans="1:13">
      <c r="A268" s="1"/>
      <c r="B268" s="1"/>
      <c r="C268" s="1"/>
      <c r="D268" s="1"/>
      <c r="E268" s="1"/>
      <c r="F268" s="1"/>
      <c r="G268" s="1"/>
      <c r="H268" s="1"/>
      <c r="I268" s="1"/>
      <c r="J268" s="27" t="s">
        <v>413</v>
      </c>
      <c r="K268" s="29">
        <v>46327.291666666664</v>
      </c>
      <c r="L268" s="29">
        <v>46460.333333333336</v>
      </c>
      <c r="M268" s="27">
        <v>-6</v>
      </c>
    </row>
    <row r="269" spans="1:13">
      <c r="A269" s="1"/>
      <c r="B269" s="1"/>
      <c r="C269" s="1"/>
      <c r="D269" s="1"/>
      <c r="E269" s="1"/>
      <c r="F269" s="1"/>
      <c r="G269" s="1"/>
      <c r="H269" s="1"/>
      <c r="I269" s="1"/>
      <c r="J269" s="27" t="s">
        <v>413</v>
      </c>
      <c r="K269" s="29">
        <v>46460.333333333336</v>
      </c>
      <c r="L269" s="29">
        <v>46698.291666666664</v>
      </c>
      <c r="M269" s="27">
        <v>-5</v>
      </c>
    </row>
    <row r="270" spans="1:13">
      <c r="A270" s="1"/>
      <c r="B270" s="1"/>
      <c r="C270" s="1"/>
      <c r="D270" s="1"/>
      <c r="E270" s="1"/>
      <c r="F270" s="1"/>
      <c r="G270" s="1"/>
      <c r="H270" s="1"/>
      <c r="I270" s="1"/>
      <c r="J270" s="27" t="s">
        <v>413</v>
      </c>
      <c r="K270" s="29">
        <v>46698.291666666664</v>
      </c>
      <c r="L270" s="29">
        <v>46824.333333333336</v>
      </c>
      <c r="M270" s="27">
        <v>-6</v>
      </c>
    </row>
    <row r="271" spans="1:13">
      <c r="A271" s="1"/>
      <c r="B271" s="1"/>
      <c r="C271" s="1"/>
      <c r="D271" s="1"/>
      <c r="E271" s="1"/>
      <c r="F271" s="1"/>
      <c r="G271" s="1"/>
      <c r="H271" s="1"/>
      <c r="I271" s="1"/>
      <c r="J271" s="27" t="s">
        <v>413</v>
      </c>
      <c r="K271" s="29">
        <v>46824.333333333336</v>
      </c>
      <c r="L271" s="29">
        <v>47062.291666666664</v>
      </c>
      <c r="M271" s="27">
        <v>-5</v>
      </c>
    </row>
    <row r="272" spans="1:13">
      <c r="A272" s="1"/>
      <c r="B272" s="1"/>
      <c r="C272" s="1"/>
      <c r="D272" s="1"/>
      <c r="E272" s="1"/>
      <c r="F272" s="1"/>
      <c r="G272" s="1"/>
      <c r="H272" s="1"/>
      <c r="I272" s="1"/>
      <c r="J272" s="27" t="s">
        <v>413</v>
      </c>
      <c r="K272" s="29">
        <v>47062.291666666664</v>
      </c>
      <c r="L272" s="29">
        <v>47119</v>
      </c>
      <c r="M272" s="27">
        <v>-6</v>
      </c>
    </row>
    <row r="273" spans="1:13">
      <c r="A273" s="1"/>
      <c r="B273" s="1"/>
      <c r="C273" s="1"/>
      <c r="D273" s="1"/>
      <c r="E273" s="1"/>
      <c r="F273" s="1"/>
      <c r="G273" s="1"/>
      <c r="H273" s="1"/>
      <c r="I273" s="1"/>
      <c r="J273" s="27" t="s">
        <v>415</v>
      </c>
      <c r="K273" s="29">
        <v>46023</v>
      </c>
      <c r="L273" s="29">
        <v>47119</v>
      </c>
      <c r="M273" s="27">
        <v>7</v>
      </c>
    </row>
    <row r="274" spans="1:13">
      <c r="A274" s="1"/>
      <c r="B274" s="1"/>
      <c r="C274" s="1"/>
      <c r="D274" s="1"/>
      <c r="E274" s="1"/>
      <c r="F274" s="1"/>
      <c r="G274" s="1"/>
      <c r="H274" s="1"/>
      <c r="I274" s="1"/>
      <c r="J274" s="27" t="s">
        <v>417</v>
      </c>
      <c r="K274" s="29">
        <v>46023</v>
      </c>
      <c r="L274" s="29">
        <v>47119</v>
      </c>
      <c r="M274" s="27">
        <v>7</v>
      </c>
    </row>
    <row r="275" spans="1:13">
      <c r="A275" s="1"/>
      <c r="B275" s="1"/>
      <c r="C275" s="1"/>
      <c r="D275" s="1"/>
      <c r="E275" s="1"/>
      <c r="F275" s="1"/>
      <c r="G275" s="1"/>
      <c r="H275" s="1"/>
      <c r="I275" s="1"/>
      <c r="J275" s="27" t="s">
        <v>419</v>
      </c>
      <c r="K275" s="29">
        <v>46023</v>
      </c>
      <c r="L275" s="29">
        <v>47119</v>
      </c>
      <c r="M275" s="27">
        <v>4.5</v>
      </c>
    </row>
    <row r="276" spans="1:13">
      <c r="A276" s="1"/>
      <c r="B276" s="1"/>
      <c r="C276" s="1"/>
      <c r="D276" s="1"/>
      <c r="E276" s="1"/>
      <c r="F276" s="1"/>
      <c r="G276" s="1"/>
      <c r="H276" s="1"/>
      <c r="I276" s="1"/>
      <c r="J276" s="27" t="s">
        <v>423</v>
      </c>
      <c r="K276" s="29">
        <v>46023</v>
      </c>
      <c r="L276" s="29">
        <v>47119</v>
      </c>
      <c r="M276" s="27">
        <v>3</v>
      </c>
    </row>
    <row r="277" spans="1:13">
      <c r="A277" s="1"/>
      <c r="B277" s="1"/>
      <c r="C277" s="1"/>
      <c r="D277" s="1"/>
      <c r="E277" s="1"/>
      <c r="F277" s="1"/>
      <c r="G277" s="1"/>
      <c r="H277" s="1"/>
      <c r="I277" s="1"/>
      <c r="J277" s="27" t="s">
        <v>426</v>
      </c>
      <c r="K277" s="29">
        <v>46023</v>
      </c>
      <c r="L277" s="29">
        <v>47119</v>
      </c>
      <c r="M277" s="27">
        <v>5.75</v>
      </c>
    </row>
    <row r="278" spans="1:13">
      <c r="A278" s="1"/>
      <c r="B278" s="1"/>
      <c r="C278" s="1"/>
      <c r="D278" s="1"/>
      <c r="E278" s="1"/>
      <c r="F278" s="1"/>
      <c r="G278" s="1"/>
      <c r="H278" s="1"/>
      <c r="I278" s="1"/>
      <c r="J278" s="27" t="s">
        <v>430</v>
      </c>
      <c r="K278" s="29">
        <v>46023</v>
      </c>
      <c r="L278" s="29">
        <v>47119</v>
      </c>
      <c r="M278" s="27">
        <v>3</v>
      </c>
    </row>
    <row r="279" spans="1:13">
      <c r="A279" s="1"/>
      <c r="B279" s="1"/>
      <c r="C279" s="1"/>
      <c r="D279" s="1"/>
      <c r="E279" s="1"/>
      <c r="F279" s="1"/>
      <c r="G279" s="1"/>
      <c r="H279" s="1"/>
      <c r="I279" s="1"/>
      <c r="J279" s="27" t="s">
        <v>434</v>
      </c>
      <c r="K279" s="29">
        <v>46023</v>
      </c>
      <c r="L279" s="29">
        <v>47119</v>
      </c>
      <c r="M279" s="27">
        <v>2</v>
      </c>
    </row>
    <row r="280" spans="1:13">
      <c r="A280" s="1"/>
      <c r="B280" s="1"/>
      <c r="C280" s="1"/>
      <c r="D280" s="1"/>
      <c r="E280" s="1"/>
      <c r="F280" s="1"/>
      <c r="G280" s="1"/>
      <c r="H280" s="1"/>
      <c r="I280" s="1"/>
      <c r="J280" s="27" t="s">
        <v>438</v>
      </c>
      <c r="K280" s="29">
        <v>46023</v>
      </c>
      <c r="L280" s="29">
        <v>47119</v>
      </c>
      <c r="M280" s="27">
        <v>2</v>
      </c>
    </row>
    <row r="281" spans="1:13">
      <c r="A281" s="1"/>
      <c r="B281" s="1"/>
      <c r="C281" s="1"/>
      <c r="D281" s="1"/>
      <c r="E281" s="1"/>
      <c r="F281" s="1"/>
      <c r="G281" s="1"/>
      <c r="H281" s="1"/>
      <c r="I281" s="1"/>
      <c r="J281" s="27" t="s">
        <v>441</v>
      </c>
      <c r="K281" s="29">
        <v>46023</v>
      </c>
      <c r="L281" s="29">
        <v>47119</v>
      </c>
      <c r="M281" s="27">
        <v>-5</v>
      </c>
    </row>
    <row r="282" spans="1:13">
      <c r="A282" s="1"/>
      <c r="B282" s="1"/>
      <c r="C282" s="1"/>
      <c r="D282" s="1"/>
      <c r="E282" s="1"/>
      <c r="F282" s="1"/>
      <c r="G282" s="1"/>
      <c r="H282" s="1"/>
      <c r="I282" s="1"/>
      <c r="J282" s="27" t="s">
        <v>444</v>
      </c>
      <c r="K282" s="29">
        <v>46023</v>
      </c>
      <c r="L282" s="29">
        <v>47119</v>
      </c>
      <c r="M282" s="27">
        <v>1</v>
      </c>
    </row>
    <row r="283" spans="1:13">
      <c r="A283" s="1"/>
      <c r="B283" s="1"/>
      <c r="C283" s="1"/>
      <c r="D283" s="1"/>
      <c r="E283" s="1"/>
      <c r="F283" s="1"/>
      <c r="G283" s="1"/>
      <c r="H283" s="1"/>
      <c r="I283" s="1"/>
      <c r="J283" s="27" t="s">
        <v>447</v>
      </c>
      <c r="K283" s="29">
        <v>46023</v>
      </c>
      <c r="L283" s="29">
        <v>46110.041666666664</v>
      </c>
      <c r="M283" s="27">
        <v>1</v>
      </c>
    </row>
    <row r="284" spans="1:13">
      <c r="A284" s="1"/>
      <c r="B284" s="1"/>
      <c r="C284" s="1"/>
      <c r="D284" s="1"/>
      <c r="E284" s="1"/>
      <c r="F284" s="1"/>
      <c r="G284" s="1"/>
      <c r="H284" s="1"/>
      <c r="I284" s="1"/>
      <c r="J284" s="27" t="s">
        <v>447</v>
      </c>
      <c r="K284" s="29">
        <v>46110.041666666664</v>
      </c>
      <c r="L284" s="29">
        <v>46320.041666666664</v>
      </c>
      <c r="M284" s="27">
        <v>2</v>
      </c>
    </row>
    <row r="285" spans="1:13">
      <c r="A285" s="1"/>
      <c r="B285" s="1"/>
      <c r="C285" s="1"/>
      <c r="D285" s="1"/>
      <c r="E285" s="1"/>
      <c r="F285" s="1"/>
      <c r="G285" s="1"/>
      <c r="H285" s="1"/>
      <c r="I285" s="1"/>
      <c r="J285" s="27" t="s">
        <v>447</v>
      </c>
      <c r="K285" s="29">
        <v>46320.041666666664</v>
      </c>
      <c r="L285" s="29">
        <v>46474.041666666664</v>
      </c>
      <c r="M285" s="27">
        <v>1</v>
      </c>
    </row>
    <row r="286" spans="1:13">
      <c r="A286" s="1"/>
      <c r="B286" s="1"/>
      <c r="C286" s="1"/>
      <c r="D286" s="1"/>
      <c r="E286" s="1"/>
      <c r="F286" s="1"/>
      <c r="G286" s="1"/>
      <c r="H286" s="1"/>
      <c r="I286" s="1"/>
      <c r="J286" s="27" t="s">
        <v>447</v>
      </c>
      <c r="K286" s="29">
        <v>46474.041666666664</v>
      </c>
      <c r="L286" s="29">
        <v>46691.041666666664</v>
      </c>
      <c r="M286" s="27">
        <v>2</v>
      </c>
    </row>
    <row r="287" spans="1:13">
      <c r="A287" s="1"/>
      <c r="B287" s="1"/>
      <c r="C287" s="1"/>
      <c r="D287" s="1"/>
      <c r="E287" s="1"/>
      <c r="F287" s="1"/>
      <c r="G287" s="1"/>
      <c r="H287" s="1"/>
      <c r="I287" s="1"/>
      <c r="J287" s="27" t="s">
        <v>447</v>
      </c>
      <c r="K287" s="29">
        <v>46691.041666666664</v>
      </c>
      <c r="L287" s="29">
        <v>46838.041666666664</v>
      </c>
      <c r="M287" s="27">
        <v>1</v>
      </c>
    </row>
    <row r="288" spans="1:13">
      <c r="A288" s="1"/>
      <c r="B288" s="1"/>
      <c r="C288" s="1"/>
      <c r="D288" s="1"/>
      <c r="E288" s="1"/>
      <c r="F288" s="1"/>
      <c r="G288" s="1"/>
      <c r="H288" s="1"/>
      <c r="I288" s="1"/>
      <c r="J288" s="27" t="s">
        <v>447</v>
      </c>
      <c r="K288" s="29">
        <v>46838.041666666664</v>
      </c>
      <c r="L288" s="29">
        <v>47055.041666666664</v>
      </c>
      <c r="M288" s="27">
        <v>2</v>
      </c>
    </row>
    <row r="289" spans="1:13">
      <c r="A289" s="1"/>
      <c r="B289" s="1"/>
      <c r="C289" s="1"/>
      <c r="D289" s="1"/>
      <c r="E289" s="1"/>
      <c r="F289" s="1"/>
      <c r="G289" s="1"/>
      <c r="H289" s="1"/>
      <c r="I289" s="1"/>
      <c r="J289" s="27" t="s">
        <v>447</v>
      </c>
      <c r="K289" s="29">
        <v>47055.041666666664</v>
      </c>
      <c r="L289" s="29">
        <v>47119</v>
      </c>
      <c r="M289" s="27">
        <v>1</v>
      </c>
    </row>
    <row r="290" spans="1:13">
      <c r="A290" s="1"/>
      <c r="B290" s="1"/>
      <c r="C290" s="1"/>
      <c r="D290" s="1"/>
      <c r="E290" s="1"/>
      <c r="F290" s="1"/>
      <c r="G290" s="1"/>
      <c r="H290" s="1"/>
      <c r="I290" s="1"/>
      <c r="J290" s="27" t="s">
        <v>451</v>
      </c>
      <c r="K290" s="29">
        <v>46023</v>
      </c>
      <c r="L290" s="29">
        <v>47119</v>
      </c>
      <c r="M290" s="27">
        <v>7</v>
      </c>
    </row>
    <row r="291" spans="1:13">
      <c r="A291" s="1"/>
      <c r="B291" s="1"/>
      <c r="C291" s="1"/>
      <c r="D291" s="1"/>
      <c r="E291" s="1"/>
      <c r="F291" s="1"/>
      <c r="G291" s="1"/>
      <c r="H291" s="1"/>
      <c r="I291" s="1"/>
      <c r="J291" s="27" t="s">
        <v>455</v>
      </c>
      <c r="K291" s="29">
        <v>46023</v>
      </c>
      <c r="L291" s="29">
        <v>47119</v>
      </c>
      <c r="M291" s="27">
        <v>8</v>
      </c>
    </row>
    <row r="292" spans="1:13">
      <c r="A292" s="1"/>
      <c r="B292" s="1"/>
      <c r="C292" s="1"/>
      <c r="D292" s="1"/>
      <c r="E292" s="1"/>
      <c r="F292" s="1"/>
      <c r="G292" s="1"/>
      <c r="H292" s="1"/>
      <c r="I292" s="1"/>
      <c r="J292" s="27" t="s">
        <v>458</v>
      </c>
      <c r="K292" s="29">
        <v>46023</v>
      </c>
      <c r="L292" s="29">
        <v>46110.041666666664</v>
      </c>
      <c r="M292" s="27">
        <v>2</v>
      </c>
    </row>
    <row r="293" spans="1:13">
      <c r="A293" s="1"/>
      <c r="B293" s="1"/>
      <c r="C293" s="1"/>
      <c r="D293" s="1"/>
      <c r="E293" s="1"/>
      <c r="F293" s="1"/>
      <c r="G293" s="1"/>
      <c r="H293" s="1"/>
      <c r="I293" s="1"/>
      <c r="J293" s="27" t="s">
        <v>458</v>
      </c>
      <c r="K293" s="29">
        <v>46110.041666666664</v>
      </c>
      <c r="L293" s="29">
        <v>46320.041666666664</v>
      </c>
      <c r="M293" s="27">
        <v>3</v>
      </c>
    </row>
    <row r="294" spans="1:13">
      <c r="A294" s="1"/>
      <c r="B294" s="1"/>
      <c r="C294" s="1"/>
      <c r="D294" s="1"/>
      <c r="E294" s="1"/>
      <c r="F294" s="1"/>
      <c r="G294" s="1"/>
      <c r="H294" s="1"/>
      <c r="I294" s="1"/>
      <c r="J294" s="27" t="s">
        <v>458</v>
      </c>
      <c r="K294" s="29">
        <v>46320.041666666664</v>
      </c>
      <c r="L294" s="29">
        <v>46474.041666666664</v>
      </c>
      <c r="M294" s="27">
        <v>2</v>
      </c>
    </row>
    <row r="295" spans="1:13">
      <c r="A295" s="1"/>
      <c r="B295" s="1"/>
      <c r="C295" s="1"/>
      <c r="D295" s="1"/>
      <c r="E295" s="1"/>
      <c r="F295" s="1"/>
      <c r="G295" s="1"/>
      <c r="H295" s="1"/>
      <c r="I295" s="1"/>
      <c r="J295" s="27" t="s">
        <v>458</v>
      </c>
      <c r="K295" s="29">
        <v>46474.041666666664</v>
      </c>
      <c r="L295" s="29">
        <v>46691.041666666664</v>
      </c>
      <c r="M295" s="27">
        <v>3</v>
      </c>
    </row>
    <row r="296" spans="1:13">
      <c r="A296" s="1"/>
      <c r="B296" s="1"/>
      <c r="C296" s="1"/>
      <c r="D296" s="1"/>
      <c r="E296" s="1"/>
      <c r="F296" s="1"/>
      <c r="G296" s="1"/>
      <c r="H296" s="1"/>
      <c r="I296" s="1"/>
      <c r="J296" s="27" t="s">
        <v>458</v>
      </c>
      <c r="K296" s="29">
        <v>46691.041666666664</v>
      </c>
      <c r="L296" s="29">
        <v>46838.041666666664</v>
      </c>
      <c r="M296" s="27">
        <v>2</v>
      </c>
    </row>
    <row r="297" spans="1:13">
      <c r="A297" s="1"/>
      <c r="B297" s="1"/>
      <c r="C297" s="1"/>
      <c r="D297" s="1"/>
      <c r="E297" s="1"/>
      <c r="F297" s="1"/>
      <c r="G297" s="1"/>
      <c r="H297" s="1"/>
      <c r="I297" s="1"/>
      <c r="J297" s="27" t="s">
        <v>458</v>
      </c>
      <c r="K297" s="29">
        <v>46838.041666666664</v>
      </c>
      <c r="L297" s="29">
        <v>47055.041666666664</v>
      </c>
      <c r="M297" s="27">
        <v>3</v>
      </c>
    </row>
    <row r="298" spans="1:13">
      <c r="A298" s="1"/>
      <c r="B298" s="1"/>
      <c r="C298" s="1"/>
      <c r="D298" s="1"/>
      <c r="E298" s="1"/>
      <c r="F298" s="1"/>
      <c r="G298" s="1"/>
      <c r="H298" s="1"/>
      <c r="I298" s="1"/>
      <c r="J298" s="27" t="s">
        <v>458</v>
      </c>
      <c r="K298" s="29">
        <v>47055.041666666664</v>
      </c>
      <c r="L298" s="29">
        <v>47119</v>
      </c>
      <c r="M298" s="27">
        <v>2</v>
      </c>
    </row>
    <row r="299" spans="1:13">
      <c r="A299" s="1"/>
      <c r="B299" s="1"/>
      <c r="C299" s="1"/>
      <c r="D299" s="1"/>
      <c r="E299" s="1"/>
      <c r="F299" s="1"/>
      <c r="G299" s="1"/>
      <c r="H299" s="1"/>
      <c r="I299" s="1"/>
      <c r="J299" s="27" t="s">
        <v>461</v>
      </c>
      <c r="K299" s="29">
        <v>46023</v>
      </c>
      <c r="L299" s="29">
        <v>47119</v>
      </c>
      <c r="M299" s="27">
        <v>-4</v>
      </c>
    </row>
    <row r="300" spans="1:13">
      <c r="A300" s="1"/>
      <c r="B300" s="1"/>
      <c r="C300" s="1"/>
      <c r="D300" s="1"/>
      <c r="E300" s="1"/>
      <c r="F300" s="1"/>
      <c r="G300" s="1"/>
      <c r="H300" s="1"/>
      <c r="I300" s="1"/>
      <c r="J300" s="27" t="s">
        <v>465</v>
      </c>
      <c r="K300" s="29">
        <v>46023</v>
      </c>
      <c r="L300" s="29">
        <v>47119</v>
      </c>
      <c r="M300" s="27">
        <v>2</v>
      </c>
    </row>
    <row r="301" spans="1:13">
      <c r="A301" s="1"/>
      <c r="B301" s="1"/>
      <c r="C301" s="1"/>
      <c r="D301" s="1"/>
      <c r="E301" s="1"/>
      <c r="F301" s="1"/>
      <c r="G301" s="1"/>
      <c r="H301" s="1"/>
      <c r="I301" s="1"/>
      <c r="J301" s="27" t="s">
        <v>468</v>
      </c>
      <c r="K301" s="29">
        <v>46023</v>
      </c>
      <c r="L301" s="29">
        <v>47119</v>
      </c>
      <c r="M301" s="27">
        <v>-5</v>
      </c>
    </row>
    <row r="302" spans="1:13">
      <c r="A302" s="1"/>
      <c r="B302" s="1"/>
      <c r="C302" s="1"/>
      <c r="D302" s="1"/>
      <c r="E302" s="1"/>
      <c r="F302" s="1"/>
      <c r="G302" s="1"/>
      <c r="H302" s="1"/>
      <c r="I302" s="1"/>
      <c r="J302" s="27" t="s">
        <v>470</v>
      </c>
      <c r="K302" s="29">
        <v>46023</v>
      </c>
      <c r="L302" s="29">
        <v>46110.041666666664</v>
      </c>
      <c r="M302" s="27">
        <v>0</v>
      </c>
    </row>
    <row r="303" spans="1:13">
      <c r="A303" s="1"/>
      <c r="B303" s="1"/>
      <c r="C303" s="1"/>
      <c r="D303" s="1"/>
      <c r="E303" s="1"/>
      <c r="F303" s="1"/>
      <c r="G303" s="1"/>
      <c r="H303" s="1"/>
      <c r="I303" s="1"/>
      <c r="J303" s="27" t="s">
        <v>470</v>
      </c>
      <c r="K303" s="29">
        <v>46110.041666666664</v>
      </c>
      <c r="L303" s="29">
        <v>46320.041666666664</v>
      </c>
      <c r="M303" s="27">
        <v>1</v>
      </c>
    </row>
    <row r="304" spans="1:13">
      <c r="A304" s="1"/>
      <c r="B304" s="1"/>
      <c r="C304" s="1"/>
      <c r="D304" s="1"/>
      <c r="E304" s="1"/>
      <c r="F304" s="1"/>
      <c r="G304" s="1"/>
      <c r="H304" s="1"/>
      <c r="I304" s="1"/>
      <c r="J304" s="27" t="s">
        <v>470</v>
      </c>
      <c r="K304" s="29">
        <v>46320.041666666664</v>
      </c>
      <c r="L304" s="29">
        <v>46474.041666666664</v>
      </c>
      <c r="M304" s="27">
        <v>0</v>
      </c>
    </row>
    <row r="305" spans="1:13">
      <c r="A305" s="1"/>
      <c r="B305" s="1"/>
      <c r="C305" s="1"/>
      <c r="D305" s="1"/>
      <c r="E305" s="1"/>
      <c r="F305" s="1"/>
      <c r="G305" s="1"/>
      <c r="H305" s="1"/>
      <c r="I305" s="1"/>
      <c r="J305" s="27" t="s">
        <v>470</v>
      </c>
      <c r="K305" s="29">
        <v>46474.041666666664</v>
      </c>
      <c r="L305" s="29">
        <v>46691.041666666664</v>
      </c>
      <c r="M305" s="27">
        <v>1</v>
      </c>
    </row>
    <row r="306" spans="1:13">
      <c r="A306" s="1"/>
      <c r="B306" s="1"/>
      <c r="C306" s="1"/>
      <c r="D306" s="1"/>
      <c r="E306" s="1"/>
      <c r="F306" s="1"/>
      <c r="G306" s="1"/>
      <c r="H306" s="1"/>
      <c r="I306" s="1"/>
      <c r="J306" s="27" t="s">
        <v>470</v>
      </c>
      <c r="K306" s="29">
        <v>46691.041666666664</v>
      </c>
      <c r="L306" s="29">
        <v>46838.041666666664</v>
      </c>
      <c r="M306" s="27">
        <v>0</v>
      </c>
    </row>
    <row r="307" spans="1:13">
      <c r="A307" s="1"/>
      <c r="B307" s="1"/>
      <c r="C307" s="1"/>
      <c r="D307" s="1"/>
      <c r="E307" s="1"/>
      <c r="F307" s="1"/>
      <c r="G307" s="1"/>
      <c r="H307" s="1"/>
      <c r="I307" s="1"/>
      <c r="J307" s="27" t="s">
        <v>470</v>
      </c>
      <c r="K307" s="29">
        <v>46838.041666666664</v>
      </c>
      <c r="L307" s="29">
        <v>47055.041666666664</v>
      </c>
      <c r="M307" s="27">
        <v>1</v>
      </c>
    </row>
    <row r="308" spans="1:13">
      <c r="A308" s="1"/>
      <c r="B308" s="1"/>
      <c r="C308" s="1"/>
      <c r="D308" s="1"/>
      <c r="E308" s="1"/>
      <c r="F308" s="1"/>
      <c r="G308" s="1"/>
      <c r="H308" s="1"/>
      <c r="I308" s="1"/>
      <c r="J308" s="27" t="s">
        <v>470</v>
      </c>
      <c r="K308" s="29">
        <v>47055.041666666664</v>
      </c>
      <c r="L308" s="29">
        <v>47119</v>
      </c>
      <c r="M308" s="27">
        <v>0</v>
      </c>
    </row>
    <row r="309" spans="1:13">
      <c r="A309" s="1"/>
      <c r="B309" s="1"/>
      <c r="C309" s="1"/>
      <c r="D309" s="1"/>
      <c r="E309" s="1"/>
      <c r="F309" s="1"/>
      <c r="G309" s="1"/>
      <c r="H309" s="1"/>
      <c r="I309" s="1"/>
      <c r="J309" s="27" t="s">
        <v>473</v>
      </c>
      <c r="K309" s="29">
        <v>46023</v>
      </c>
      <c r="L309" s="29">
        <v>46110.041666666664</v>
      </c>
      <c r="M309" s="27">
        <v>1</v>
      </c>
    </row>
    <row r="310" spans="1:13">
      <c r="A310" s="1"/>
      <c r="B310" s="1"/>
      <c r="C310" s="1"/>
      <c r="D310" s="1"/>
      <c r="E310" s="1"/>
      <c r="F310" s="1"/>
      <c r="G310" s="1"/>
      <c r="H310" s="1"/>
      <c r="I310" s="1"/>
      <c r="J310" s="27" t="s">
        <v>473</v>
      </c>
      <c r="K310" s="29">
        <v>46110.041666666664</v>
      </c>
      <c r="L310" s="29">
        <v>46320.041666666664</v>
      </c>
      <c r="M310" s="27">
        <v>2</v>
      </c>
    </row>
    <row r="311" spans="1:13">
      <c r="A311" s="1"/>
      <c r="B311" s="1"/>
      <c r="C311" s="1"/>
      <c r="D311" s="1"/>
      <c r="E311" s="1"/>
      <c r="F311" s="1"/>
      <c r="G311" s="1"/>
      <c r="H311" s="1"/>
      <c r="I311" s="1"/>
      <c r="J311" s="27" t="s">
        <v>473</v>
      </c>
      <c r="K311" s="29">
        <v>46320.041666666664</v>
      </c>
      <c r="L311" s="29">
        <v>46474.041666666664</v>
      </c>
      <c r="M311" s="27">
        <v>1</v>
      </c>
    </row>
    <row r="312" spans="1:13">
      <c r="A312" s="1"/>
      <c r="B312" s="1"/>
      <c r="C312" s="1"/>
      <c r="D312" s="1"/>
      <c r="E312" s="1"/>
      <c r="F312" s="1"/>
      <c r="G312" s="1"/>
      <c r="H312" s="1"/>
      <c r="I312" s="1"/>
      <c r="J312" s="27" t="s">
        <v>473</v>
      </c>
      <c r="K312" s="29">
        <v>46474.041666666664</v>
      </c>
      <c r="L312" s="29">
        <v>46691.041666666664</v>
      </c>
      <c r="M312" s="27">
        <v>2</v>
      </c>
    </row>
    <row r="313" spans="1:13">
      <c r="A313" s="1"/>
      <c r="B313" s="1"/>
      <c r="C313" s="1"/>
      <c r="D313" s="1"/>
      <c r="E313" s="1"/>
      <c r="F313" s="1"/>
      <c r="G313" s="1"/>
      <c r="H313" s="1"/>
      <c r="I313" s="1"/>
      <c r="J313" s="27" t="s">
        <v>473</v>
      </c>
      <c r="K313" s="29">
        <v>46691.041666666664</v>
      </c>
      <c r="L313" s="29">
        <v>46838.041666666664</v>
      </c>
      <c r="M313" s="27">
        <v>1</v>
      </c>
    </row>
    <row r="314" spans="1:13">
      <c r="A314" s="1"/>
      <c r="B314" s="1"/>
      <c r="C314" s="1"/>
      <c r="D314" s="1"/>
      <c r="E314" s="1"/>
      <c r="F314" s="1"/>
      <c r="G314" s="1"/>
      <c r="H314" s="1"/>
      <c r="I314" s="1"/>
      <c r="J314" s="27" t="s">
        <v>473</v>
      </c>
      <c r="K314" s="29">
        <v>46838.041666666664</v>
      </c>
      <c r="L314" s="29">
        <v>47055.041666666664</v>
      </c>
      <c r="M314" s="27">
        <v>2</v>
      </c>
    </row>
    <row r="315" spans="1:13">
      <c r="A315" s="1"/>
      <c r="B315" s="1"/>
      <c r="C315" s="1"/>
      <c r="D315" s="1"/>
      <c r="E315" s="1"/>
      <c r="F315" s="1"/>
      <c r="G315" s="1"/>
      <c r="H315" s="1"/>
      <c r="I315" s="1"/>
      <c r="J315" s="27" t="s">
        <v>473</v>
      </c>
      <c r="K315" s="29">
        <v>47055.041666666664</v>
      </c>
      <c r="L315" s="29">
        <v>47119</v>
      </c>
      <c r="M315" s="27">
        <v>1</v>
      </c>
    </row>
    <row r="316" spans="1:13">
      <c r="A316" s="1"/>
      <c r="B316" s="1"/>
      <c r="C316" s="1"/>
      <c r="D316" s="1"/>
      <c r="E316" s="1"/>
      <c r="F316" s="1"/>
      <c r="G316" s="1"/>
      <c r="H316" s="1"/>
      <c r="I316" s="1"/>
      <c r="J316" s="27" t="s">
        <v>476</v>
      </c>
      <c r="K316" s="29">
        <v>46023</v>
      </c>
      <c r="L316" s="29">
        <v>47119</v>
      </c>
      <c r="M316" s="27">
        <v>0</v>
      </c>
    </row>
    <row r="317" spans="1:13">
      <c r="A317" s="1"/>
      <c r="B317" s="1"/>
      <c r="C317" s="1"/>
      <c r="D317" s="1"/>
      <c r="E317" s="1"/>
      <c r="F317" s="1"/>
      <c r="G317" s="1"/>
      <c r="H317" s="1"/>
      <c r="I317" s="1"/>
      <c r="J317" s="27" t="s">
        <v>38</v>
      </c>
      <c r="K317" s="29">
        <v>46023</v>
      </c>
      <c r="L317" s="29">
        <v>46110.041666666664</v>
      </c>
      <c r="M317" s="27">
        <v>0</v>
      </c>
    </row>
    <row r="318" spans="1:13">
      <c r="A318" s="1"/>
      <c r="B318" s="1"/>
      <c r="C318" s="1"/>
      <c r="D318" s="1"/>
      <c r="E318" s="1"/>
      <c r="F318" s="1"/>
      <c r="G318" s="1"/>
      <c r="H318" s="1"/>
      <c r="I318" s="1"/>
      <c r="J318" s="27" t="s">
        <v>38</v>
      </c>
      <c r="K318" s="29">
        <v>46110.041666666664</v>
      </c>
      <c r="L318" s="29">
        <v>46320.041666666664</v>
      </c>
      <c r="M318" s="27">
        <v>1</v>
      </c>
    </row>
    <row r="319" spans="1:13">
      <c r="A319" s="1"/>
      <c r="B319" s="1"/>
      <c r="C319" s="1"/>
      <c r="D319" s="1"/>
      <c r="E319" s="1"/>
      <c r="F319" s="1"/>
      <c r="G319" s="1"/>
      <c r="H319" s="1"/>
      <c r="I319" s="1"/>
      <c r="J319" s="27" t="s">
        <v>38</v>
      </c>
      <c r="K319" s="29">
        <v>46320.041666666664</v>
      </c>
      <c r="L319" s="29">
        <v>46474.041666666664</v>
      </c>
      <c r="M319" s="27">
        <v>0</v>
      </c>
    </row>
    <row r="320" spans="1:13">
      <c r="A320" s="1"/>
      <c r="B320" s="1"/>
      <c r="C320" s="1"/>
      <c r="D320" s="1"/>
      <c r="E320" s="1"/>
      <c r="F320" s="1"/>
      <c r="G320" s="1"/>
      <c r="H320" s="1"/>
      <c r="I320" s="1"/>
      <c r="J320" s="27" t="s">
        <v>38</v>
      </c>
      <c r="K320" s="29">
        <v>46474.041666666664</v>
      </c>
      <c r="L320" s="29">
        <v>46691.041666666664</v>
      </c>
      <c r="M320" s="27">
        <v>1</v>
      </c>
    </row>
    <row r="321" spans="1:13">
      <c r="A321" s="1"/>
      <c r="B321" s="1"/>
      <c r="C321" s="1"/>
      <c r="D321" s="1"/>
      <c r="E321" s="1"/>
      <c r="F321" s="1"/>
      <c r="G321" s="1"/>
      <c r="H321" s="1"/>
      <c r="I321" s="1"/>
      <c r="J321" s="27" t="s">
        <v>38</v>
      </c>
      <c r="K321" s="29">
        <v>46691.041666666664</v>
      </c>
      <c r="L321" s="29">
        <v>46838.041666666664</v>
      </c>
      <c r="M321" s="27">
        <v>0</v>
      </c>
    </row>
    <row r="322" spans="1:13">
      <c r="A322" s="1"/>
      <c r="B322" s="1"/>
      <c r="C322" s="1"/>
      <c r="D322" s="1"/>
      <c r="E322" s="1"/>
      <c r="F322" s="1"/>
      <c r="G322" s="1"/>
      <c r="H322" s="1"/>
      <c r="I322" s="1"/>
      <c r="J322" s="27" t="s">
        <v>38</v>
      </c>
      <c r="K322" s="29">
        <v>46838.041666666664</v>
      </c>
      <c r="L322" s="29">
        <v>47055.041666666664</v>
      </c>
      <c r="M322" s="27">
        <v>1</v>
      </c>
    </row>
    <row r="323" spans="1:13">
      <c r="A323" s="1"/>
      <c r="B323" s="1"/>
      <c r="C323" s="1"/>
      <c r="D323" s="1"/>
      <c r="E323" s="1"/>
      <c r="F323" s="1"/>
      <c r="G323" s="1"/>
      <c r="H323" s="1"/>
      <c r="I323" s="1"/>
      <c r="J323" s="27" t="s">
        <v>38</v>
      </c>
      <c r="K323" s="29">
        <v>47055.041666666664</v>
      </c>
      <c r="L323" s="29">
        <v>47119</v>
      </c>
      <c r="M323" s="27">
        <v>0</v>
      </c>
    </row>
    <row r="324" spans="1:13">
      <c r="A324" s="1"/>
      <c r="B324" s="1"/>
      <c r="C324" s="1"/>
      <c r="D324" s="1"/>
      <c r="E324" s="1"/>
      <c r="F324" s="1"/>
      <c r="G324" s="1"/>
      <c r="H324" s="1"/>
      <c r="I324" s="1"/>
      <c r="J324" s="27" t="s">
        <v>44</v>
      </c>
      <c r="K324" s="29">
        <v>46023</v>
      </c>
      <c r="L324" s="29">
        <v>46089.416666666664</v>
      </c>
      <c r="M324" s="27">
        <v>-8</v>
      </c>
    </row>
    <row r="325" spans="1:13">
      <c r="A325" s="1"/>
      <c r="B325" s="1"/>
      <c r="C325" s="1"/>
      <c r="D325" s="1"/>
      <c r="E325" s="1"/>
      <c r="F325" s="1"/>
      <c r="G325" s="1"/>
      <c r="H325" s="1"/>
      <c r="I325" s="1"/>
      <c r="J325" s="27" t="s">
        <v>44</v>
      </c>
      <c r="K325" s="29">
        <v>46089.416666666664</v>
      </c>
      <c r="L325" s="29">
        <v>46327.375</v>
      </c>
      <c r="M325" s="27">
        <v>-7</v>
      </c>
    </row>
    <row r="326" spans="1:13">
      <c r="A326" s="1"/>
      <c r="B326" s="1"/>
      <c r="C326" s="1"/>
      <c r="D326" s="1"/>
      <c r="E326" s="1"/>
      <c r="F326" s="1"/>
      <c r="G326" s="1"/>
      <c r="H326" s="1"/>
      <c r="I326" s="1"/>
      <c r="J326" s="27" t="s">
        <v>44</v>
      </c>
      <c r="K326" s="29">
        <v>46327.375</v>
      </c>
      <c r="L326" s="29">
        <v>46460.416666666664</v>
      </c>
      <c r="M326" s="27">
        <v>-8</v>
      </c>
    </row>
    <row r="327" spans="1:13">
      <c r="A327" s="1"/>
      <c r="B327" s="1"/>
      <c r="C327" s="1"/>
      <c r="D327" s="1"/>
      <c r="E327" s="1"/>
      <c r="F327" s="1"/>
      <c r="G327" s="1"/>
      <c r="H327" s="1"/>
      <c r="I327" s="1"/>
      <c r="J327" s="27" t="s">
        <v>44</v>
      </c>
      <c r="K327" s="29">
        <v>46460.416666666664</v>
      </c>
      <c r="L327" s="29">
        <v>46698.375</v>
      </c>
      <c r="M327" s="27">
        <v>-7</v>
      </c>
    </row>
    <row r="328" spans="1:13">
      <c r="A328" s="1"/>
      <c r="B328" s="1"/>
      <c r="C328" s="1"/>
      <c r="D328" s="1"/>
      <c r="E328" s="1"/>
      <c r="F328" s="1"/>
      <c r="G328" s="1"/>
      <c r="H328" s="1"/>
      <c r="I328" s="1"/>
      <c r="J328" s="27" t="s">
        <v>44</v>
      </c>
      <c r="K328" s="29">
        <v>46698.375</v>
      </c>
      <c r="L328" s="29">
        <v>46824.416666666664</v>
      </c>
      <c r="M328" s="27">
        <v>-8</v>
      </c>
    </row>
    <row r="329" spans="1:13">
      <c r="A329" s="1"/>
      <c r="B329" s="1"/>
      <c r="C329" s="1"/>
      <c r="D329" s="1"/>
      <c r="E329" s="1"/>
      <c r="F329" s="1"/>
      <c r="G329" s="1"/>
      <c r="H329" s="1"/>
      <c r="I329" s="1"/>
      <c r="J329" s="27" t="s">
        <v>44</v>
      </c>
      <c r="K329" s="29">
        <v>46824.416666666664</v>
      </c>
      <c r="L329" s="29">
        <v>47062.375</v>
      </c>
      <c r="M329" s="27">
        <v>-7</v>
      </c>
    </row>
    <row r="330" spans="1:13">
      <c r="A330" s="1"/>
      <c r="B330" s="1"/>
      <c r="C330" s="1"/>
      <c r="D330" s="1"/>
      <c r="E330" s="1"/>
      <c r="F330" s="1"/>
      <c r="G330" s="1"/>
      <c r="H330" s="1"/>
      <c r="I330" s="1"/>
      <c r="J330" s="27" t="s">
        <v>44</v>
      </c>
      <c r="K330" s="29">
        <v>47062.375</v>
      </c>
      <c r="L330" s="29">
        <v>47119</v>
      </c>
      <c r="M330" s="27">
        <v>-8</v>
      </c>
    </row>
    <row r="331" spans="1:13">
      <c r="A331" s="1"/>
      <c r="B331" s="1"/>
      <c r="C331" s="1"/>
      <c r="D331" s="1"/>
      <c r="E331" s="1"/>
      <c r="F331" s="1"/>
      <c r="G331" s="1"/>
      <c r="H331" s="1"/>
      <c r="I331" s="1"/>
      <c r="J331" s="27" t="s">
        <v>479</v>
      </c>
      <c r="K331" s="29">
        <v>46023</v>
      </c>
      <c r="L331" s="29">
        <v>47119</v>
      </c>
      <c r="M331" s="27">
        <v>1</v>
      </c>
    </row>
    <row r="332" spans="1:13">
      <c r="A332" s="1"/>
      <c r="B332" s="1"/>
      <c r="C332" s="1"/>
      <c r="D332" s="1"/>
      <c r="E332" s="1"/>
      <c r="F332" s="1"/>
      <c r="G332" s="1"/>
      <c r="H332" s="1"/>
      <c r="I332" s="1"/>
      <c r="J332" s="27" t="s">
        <v>482</v>
      </c>
      <c r="K332" s="29">
        <v>46023</v>
      </c>
      <c r="L332" s="29">
        <v>47119</v>
      </c>
      <c r="M332" s="27">
        <v>2</v>
      </c>
    </row>
    <row r="333" spans="1:13">
      <c r="A333" s="1"/>
      <c r="B333" s="1"/>
      <c r="C333" s="1"/>
      <c r="D333" s="1"/>
      <c r="E333" s="1"/>
      <c r="F333" s="1"/>
      <c r="G333" s="1"/>
      <c r="H333" s="1"/>
      <c r="I333" s="1"/>
      <c r="J333" s="27" t="s">
        <v>485</v>
      </c>
      <c r="K333" s="29">
        <v>46023</v>
      </c>
      <c r="L333" s="29">
        <v>46110.041666666664</v>
      </c>
      <c r="M333" s="27">
        <v>1</v>
      </c>
    </row>
    <row r="334" spans="1:13">
      <c r="A334" s="1"/>
      <c r="B334" s="1"/>
      <c r="C334" s="1"/>
      <c r="D334" s="1"/>
      <c r="E334" s="1"/>
      <c r="F334" s="1"/>
      <c r="G334" s="1"/>
      <c r="H334" s="1"/>
      <c r="I334" s="1"/>
      <c r="J334" s="27" t="s">
        <v>485</v>
      </c>
      <c r="K334" s="29">
        <v>46110.041666666664</v>
      </c>
      <c r="L334" s="29">
        <v>46320.041666666664</v>
      </c>
      <c r="M334" s="27">
        <v>2</v>
      </c>
    </row>
    <row r="335" spans="1:13">
      <c r="A335" s="1"/>
      <c r="B335" s="1"/>
      <c r="C335" s="1"/>
      <c r="D335" s="1"/>
      <c r="E335" s="1"/>
      <c r="F335" s="1"/>
      <c r="G335" s="1"/>
      <c r="H335" s="1"/>
      <c r="I335" s="1"/>
      <c r="J335" s="27" t="s">
        <v>485</v>
      </c>
      <c r="K335" s="29">
        <v>46320.041666666664</v>
      </c>
      <c r="L335" s="29">
        <v>46474.041666666664</v>
      </c>
      <c r="M335" s="27">
        <v>1</v>
      </c>
    </row>
    <row r="336" spans="1:13">
      <c r="A336" s="1"/>
      <c r="B336" s="1"/>
      <c r="C336" s="1"/>
      <c r="D336" s="1"/>
      <c r="E336" s="1"/>
      <c r="F336" s="1"/>
      <c r="G336" s="1"/>
      <c r="H336" s="1"/>
      <c r="I336" s="1"/>
      <c r="J336" s="27" t="s">
        <v>485</v>
      </c>
      <c r="K336" s="29">
        <v>46474.041666666664</v>
      </c>
      <c r="L336" s="29">
        <v>46691.041666666664</v>
      </c>
      <c r="M336" s="27">
        <v>2</v>
      </c>
    </row>
    <row r="337" spans="1:13">
      <c r="A337" s="1"/>
      <c r="B337" s="1"/>
      <c r="C337" s="1"/>
      <c r="D337" s="1"/>
      <c r="E337" s="1"/>
      <c r="F337" s="1"/>
      <c r="G337" s="1"/>
      <c r="H337" s="1"/>
      <c r="I337" s="1"/>
      <c r="J337" s="27" t="s">
        <v>485</v>
      </c>
      <c r="K337" s="29">
        <v>46691.041666666664</v>
      </c>
      <c r="L337" s="29">
        <v>46838.041666666664</v>
      </c>
      <c r="M337" s="27">
        <v>1</v>
      </c>
    </row>
    <row r="338" spans="1:13">
      <c r="A338" s="1"/>
      <c r="B338" s="1"/>
      <c r="C338" s="1"/>
      <c r="D338" s="1"/>
      <c r="E338" s="1"/>
      <c r="F338" s="1"/>
      <c r="G338" s="1"/>
      <c r="H338" s="1"/>
      <c r="I338" s="1"/>
      <c r="J338" s="27" t="s">
        <v>485</v>
      </c>
      <c r="K338" s="29">
        <v>46838.041666666664</v>
      </c>
      <c r="L338" s="29">
        <v>47055.041666666664</v>
      </c>
      <c r="M338" s="27">
        <v>2</v>
      </c>
    </row>
    <row r="339" spans="1:13">
      <c r="A339" s="1"/>
      <c r="B339" s="1"/>
      <c r="C339" s="1"/>
      <c r="D339" s="1"/>
      <c r="E339" s="1"/>
      <c r="F339" s="1"/>
      <c r="G339" s="1"/>
      <c r="H339" s="1"/>
      <c r="I339" s="1"/>
      <c r="J339" s="27" t="s">
        <v>485</v>
      </c>
      <c r="K339" s="29">
        <v>47055.041666666664</v>
      </c>
      <c r="L339" s="29">
        <v>47119</v>
      </c>
      <c r="M339" s="27">
        <v>1</v>
      </c>
    </row>
    <row r="340" spans="1:13">
      <c r="A340" s="1"/>
      <c r="B340" s="1"/>
      <c r="C340" s="1"/>
      <c r="D340" s="1"/>
      <c r="E340" s="1"/>
      <c r="F340" s="1"/>
      <c r="G340" s="1"/>
      <c r="H340" s="1"/>
      <c r="I340" s="1"/>
      <c r="J340" s="27" t="s">
        <v>488</v>
      </c>
      <c r="K340" s="29">
        <v>46023</v>
      </c>
      <c r="L340" s="29">
        <v>46110.041666666664</v>
      </c>
      <c r="M340" s="27">
        <v>1</v>
      </c>
    </row>
    <row r="341" spans="1:13">
      <c r="A341" s="1"/>
      <c r="B341" s="1"/>
      <c r="C341" s="1"/>
      <c r="D341" s="1"/>
      <c r="E341" s="1"/>
      <c r="F341" s="1"/>
      <c r="G341" s="1"/>
      <c r="H341" s="1"/>
      <c r="I341" s="1"/>
      <c r="J341" s="27" t="s">
        <v>488</v>
      </c>
      <c r="K341" s="29">
        <v>46110.041666666664</v>
      </c>
      <c r="L341" s="29">
        <v>46320.041666666664</v>
      </c>
      <c r="M341" s="27">
        <v>2</v>
      </c>
    </row>
    <row r="342" spans="1:13">
      <c r="A342" s="1"/>
      <c r="B342" s="1"/>
      <c r="C342" s="1"/>
      <c r="D342" s="1"/>
      <c r="E342" s="1"/>
      <c r="F342" s="1"/>
      <c r="G342" s="1"/>
      <c r="H342" s="1"/>
      <c r="I342" s="1"/>
      <c r="J342" s="27" t="s">
        <v>488</v>
      </c>
      <c r="K342" s="29">
        <v>46320.041666666664</v>
      </c>
      <c r="L342" s="29">
        <v>46474.041666666664</v>
      </c>
      <c r="M342" s="27">
        <v>1</v>
      </c>
    </row>
    <row r="343" spans="1:13">
      <c r="A343" s="1"/>
      <c r="B343" s="1"/>
      <c r="C343" s="1"/>
      <c r="D343" s="1"/>
      <c r="E343" s="1"/>
      <c r="F343" s="1"/>
      <c r="G343" s="1"/>
      <c r="H343" s="1"/>
      <c r="I343" s="1"/>
      <c r="J343" s="27" t="s">
        <v>488</v>
      </c>
      <c r="K343" s="29">
        <v>46474.041666666664</v>
      </c>
      <c r="L343" s="29">
        <v>46691.041666666664</v>
      </c>
      <c r="M343" s="27">
        <v>2</v>
      </c>
    </row>
    <row r="344" spans="1:13">
      <c r="A344" s="1"/>
      <c r="B344" s="1"/>
      <c r="C344" s="1"/>
      <c r="D344" s="1"/>
      <c r="E344" s="1"/>
      <c r="F344" s="1"/>
      <c r="G344" s="1"/>
      <c r="H344" s="1"/>
      <c r="I344" s="1"/>
      <c r="J344" s="27" t="s">
        <v>488</v>
      </c>
      <c r="K344" s="29">
        <v>46691.041666666664</v>
      </c>
      <c r="L344" s="29">
        <v>46838.041666666664</v>
      </c>
      <c r="M344" s="27">
        <v>1</v>
      </c>
    </row>
    <row r="345" spans="1:13">
      <c r="A345" s="1"/>
      <c r="B345" s="1"/>
      <c r="C345" s="1"/>
      <c r="D345" s="1"/>
      <c r="E345" s="1"/>
      <c r="F345" s="1"/>
      <c r="G345" s="1"/>
      <c r="H345" s="1"/>
      <c r="I345" s="1"/>
      <c r="J345" s="27" t="s">
        <v>488</v>
      </c>
      <c r="K345" s="29">
        <v>46838.041666666664</v>
      </c>
      <c r="L345" s="29">
        <v>47055.041666666664</v>
      </c>
      <c r="M345" s="27">
        <v>2</v>
      </c>
    </row>
    <row r="346" spans="1:13">
      <c r="A346" s="1"/>
      <c r="B346" s="1"/>
      <c r="C346" s="1"/>
      <c r="D346" s="1"/>
      <c r="E346" s="1"/>
      <c r="F346" s="1"/>
      <c r="G346" s="1"/>
      <c r="H346" s="1"/>
      <c r="I346" s="1"/>
      <c r="J346" s="27" t="s">
        <v>488</v>
      </c>
      <c r="K346" s="29">
        <v>47055.041666666664</v>
      </c>
      <c r="L346" s="29">
        <v>47119</v>
      </c>
      <c r="M346" s="27">
        <v>1</v>
      </c>
    </row>
    <row r="347" spans="1:13">
      <c r="A347" s="1"/>
      <c r="B347" s="1"/>
      <c r="C347" s="1"/>
      <c r="D347" s="1"/>
      <c r="E347" s="1"/>
      <c r="F347" s="1"/>
      <c r="G347" s="1"/>
      <c r="H347" s="1"/>
      <c r="I347" s="1"/>
      <c r="J347" s="27" t="s">
        <v>491</v>
      </c>
      <c r="K347" s="29">
        <v>46023</v>
      </c>
      <c r="L347" s="29">
        <v>46110.041666666664</v>
      </c>
      <c r="M347" s="27">
        <v>1</v>
      </c>
    </row>
    <row r="348" spans="1:13">
      <c r="A348" s="1"/>
      <c r="B348" s="1"/>
      <c r="C348" s="1"/>
      <c r="D348" s="1"/>
      <c r="E348" s="1"/>
      <c r="F348" s="1"/>
      <c r="G348" s="1"/>
      <c r="H348" s="1"/>
      <c r="I348" s="1"/>
      <c r="J348" s="27" t="s">
        <v>491</v>
      </c>
      <c r="K348" s="29">
        <v>46110.041666666664</v>
      </c>
      <c r="L348" s="29">
        <v>46320.041666666664</v>
      </c>
      <c r="M348" s="27">
        <v>2</v>
      </c>
    </row>
    <row r="349" spans="1:13">
      <c r="A349" s="1"/>
      <c r="B349" s="1"/>
      <c r="C349" s="1"/>
      <c r="D349" s="1"/>
      <c r="E349" s="1"/>
      <c r="F349" s="1"/>
      <c r="G349" s="1"/>
      <c r="H349" s="1"/>
      <c r="I349" s="1"/>
      <c r="J349" s="27" t="s">
        <v>491</v>
      </c>
      <c r="K349" s="29">
        <v>46320.041666666664</v>
      </c>
      <c r="L349" s="29">
        <v>46474.041666666664</v>
      </c>
      <c r="M349" s="27">
        <v>1</v>
      </c>
    </row>
    <row r="350" spans="1:13">
      <c r="A350" s="1"/>
      <c r="B350" s="1"/>
      <c r="C350" s="1"/>
      <c r="D350" s="1"/>
      <c r="E350" s="1"/>
      <c r="F350" s="1"/>
      <c r="G350" s="1"/>
      <c r="H350" s="1"/>
      <c r="I350" s="1"/>
      <c r="J350" s="27" t="s">
        <v>491</v>
      </c>
      <c r="K350" s="29">
        <v>46474.041666666664</v>
      </c>
      <c r="L350" s="29">
        <v>46691.041666666664</v>
      </c>
      <c r="M350" s="27">
        <v>2</v>
      </c>
    </row>
    <row r="351" spans="1:13">
      <c r="A351" s="1"/>
      <c r="B351" s="1"/>
      <c r="C351" s="1"/>
      <c r="D351" s="1"/>
      <c r="E351" s="1"/>
      <c r="F351" s="1"/>
      <c r="G351" s="1"/>
      <c r="H351" s="1"/>
      <c r="I351" s="1"/>
      <c r="J351" s="27" t="s">
        <v>491</v>
      </c>
      <c r="K351" s="29">
        <v>46691.041666666664</v>
      </c>
      <c r="L351" s="29">
        <v>46838.041666666664</v>
      </c>
      <c r="M351" s="27">
        <v>1</v>
      </c>
    </row>
    <row r="352" spans="1:13">
      <c r="A352" s="1"/>
      <c r="B352" s="1"/>
      <c r="C352" s="1"/>
      <c r="D352" s="1"/>
      <c r="E352" s="1"/>
      <c r="F352" s="1"/>
      <c r="G352" s="1"/>
      <c r="H352" s="1"/>
      <c r="I352" s="1"/>
      <c r="J352" s="27" t="s">
        <v>491</v>
      </c>
      <c r="K352" s="29">
        <v>46838.041666666664</v>
      </c>
      <c r="L352" s="29">
        <v>47055.041666666664</v>
      </c>
      <c r="M352" s="27">
        <v>2</v>
      </c>
    </row>
    <row r="353" spans="1:13">
      <c r="A353" s="1"/>
      <c r="B353" s="1"/>
      <c r="C353" s="1"/>
      <c r="D353" s="1"/>
      <c r="E353" s="1"/>
      <c r="F353" s="1"/>
      <c r="G353" s="1"/>
      <c r="H353" s="1"/>
      <c r="I353" s="1"/>
      <c r="J353" s="27" t="s">
        <v>491</v>
      </c>
      <c r="K353" s="29">
        <v>47055.041666666664</v>
      </c>
      <c r="L353" s="29">
        <v>47119</v>
      </c>
      <c r="M353" s="27">
        <v>1</v>
      </c>
    </row>
    <row r="354" spans="1:13">
      <c r="A354" s="1"/>
      <c r="B354" s="1"/>
      <c r="C354" s="1"/>
      <c r="D354" s="1"/>
      <c r="E354" s="1"/>
      <c r="F354" s="1"/>
      <c r="G354" s="1"/>
      <c r="H354" s="1"/>
      <c r="I354" s="1"/>
      <c r="J354" s="27" t="s">
        <v>493</v>
      </c>
      <c r="K354" s="29">
        <v>46023</v>
      </c>
      <c r="L354" s="29">
        <v>47119</v>
      </c>
      <c r="M354" s="27">
        <v>-6</v>
      </c>
    </row>
    <row r="355" spans="1:13">
      <c r="A355" s="1"/>
      <c r="B355" s="1"/>
      <c r="C355" s="1"/>
      <c r="D355" s="1"/>
      <c r="E355" s="1"/>
      <c r="F355" s="1"/>
      <c r="G355" s="1"/>
      <c r="H355" s="1"/>
      <c r="I355" s="1"/>
      <c r="J355" s="27" t="s">
        <v>496</v>
      </c>
      <c r="K355" s="29">
        <v>46023</v>
      </c>
      <c r="L355" s="29">
        <v>47119</v>
      </c>
      <c r="M355" s="27">
        <v>-4</v>
      </c>
    </row>
    <row r="356" spans="1:13">
      <c r="A356" s="1"/>
      <c r="B356" s="1"/>
      <c r="C356" s="1"/>
      <c r="D356" s="1"/>
      <c r="E356" s="1"/>
      <c r="F356" s="1"/>
      <c r="G356" s="1"/>
      <c r="H356" s="1"/>
      <c r="I356" s="1"/>
      <c r="J356" s="27" t="s">
        <v>499</v>
      </c>
      <c r="K356" s="29">
        <v>46023</v>
      </c>
      <c r="L356" s="29">
        <v>47119</v>
      </c>
      <c r="M356" s="27">
        <v>8</v>
      </c>
    </row>
    <row r="357" spans="1:13">
      <c r="A357" s="1"/>
      <c r="B357" s="1"/>
      <c r="C357" s="1"/>
      <c r="D357" s="1"/>
      <c r="E357" s="1"/>
      <c r="F357" s="1"/>
      <c r="G357" s="1"/>
      <c r="H357" s="1"/>
      <c r="I357" s="1"/>
      <c r="J357" s="27" t="s">
        <v>502</v>
      </c>
      <c r="K357" s="29">
        <v>46023</v>
      </c>
      <c r="L357" s="29">
        <v>47119</v>
      </c>
      <c r="M357" s="27">
        <v>2</v>
      </c>
    </row>
    <row r="358" spans="1:13">
      <c r="A358" s="1"/>
      <c r="B358" s="1"/>
      <c r="C358" s="1"/>
      <c r="D358" s="1"/>
      <c r="E358" s="1"/>
      <c r="F358" s="1"/>
      <c r="G358" s="1"/>
      <c r="H358" s="1"/>
      <c r="I358" s="1"/>
      <c r="J358" s="27" t="s">
        <v>505</v>
      </c>
      <c r="K358" s="29">
        <v>46023</v>
      </c>
      <c r="L358" s="29">
        <v>47119</v>
      </c>
      <c r="M358" s="27">
        <v>7</v>
      </c>
    </row>
    <row r="359" spans="1:13">
      <c r="A359" s="1"/>
      <c r="B359" s="1"/>
      <c r="C359" s="1"/>
      <c r="D359" s="1"/>
      <c r="E359" s="1"/>
      <c r="F359" s="1"/>
      <c r="G359" s="1"/>
      <c r="H359" s="1"/>
      <c r="I359" s="1"/>
      <c r="J359" s="27" t="s">
        <v>507</v>
      </c>
      <c r="K359" s="29">
        <v>46023</v>
      </c>
      <c r="L359" s="29">
        <v>47119</v>
      </c>
      <c r="M359" s="27">
        <v>-5</v>
      </c>
    </row>
    <row r="360" spans="1:13">
      <c r="A360" s="1"/>
      <c r="B360" s="1"/>
      <c r="C360" s="1"/>
      <c r="D360" s="1"/>
      <c r="E360" s="1"/>
      <c r="F360" s="1"/>
      <c r="G360" s="1"/>
      <c r="H360" s="1"/>
      <c r="I360" s="1"/>
      <c r="J360" s="27" t="s">
        <v>509</v>
      </c>
      <c r="K360" s="29">
        <v>46023</v>
      </c>
      <c r="L360" s="29">
        <v>46116.666666666664</v>
      </c>
      <c r="M360" s="27">
        <v>11</v>
      </c>
    </row>
    <row r="361" spans="1:13">
      <c r="A361" s="1"/>
      <c r="B361" s="1"/>
      <c r="C361" s="1"/>
      <c r="D361" s="1"/>
      <c r="E361" s="1"/>
      <c r="F361" s="1"/>
      <c r="G361" s="1"/>
      <c r="H361" s="1"/>
      <c r="I361" s="1"/>
      <c r="J361" s="27" t="s">
        <v>509</v>
      </c>
      <c r="K361" s="29">
        <v>46116.666666666664</v>
      </c>
      <c r="L361" s="29">
        <v>46298.666666666664</v>
      </c>
      <c r="M361" s="27">
        <v>10</v>
      </c>
    </row>
    <row r="362" spans="1:13">
      <c r="A362" s="1"/>
      <c r="B362" s="1"/>
      <c r="C362" s="1"/>
      <c r="D362" s="1"/>
      <c r="E362" s="1"/>
      <c r="F362" s="1"/>
      <c r="G362" s="1"/>
      <c r="H362" s="1"/>
      <c r="I362" s="1"/>
      <c r="J362" s="27" t="s">
        <v>509</v>
      </c>
      <c r="K362" s="29">
        <v>46298.666666666664</v>
      </c>
      <c r="L362" s="29">
        <v>46480.666666666664</v>
      </c>
      <c r="M362" s="27">
        <v>11</v>
      </c>
    </row>
    <row r="363" spans="1:13">
      <c r="A363" s="1"/>
      <c r="B363" s="1"/>
      <c r="C363" s="1"/>
      <c r="D363" s="1"/>
      <c r="E363" s="1"/>
      <c r="F363" s="1"/>
      <c r="G363" s="1"/>
      <c r="H363" s="1"/>
      <c r="I363" s="1"/>
      <c r="J363" s="27" t="s">
        <v>509</v>
      </c>
      <c r="K363" s="29">
        <v>46480.666666666664</v>
      </c>
      <c r="L363" s="29">
        <v>46662.666666666664</v>
      </c>
      <c r="M363" s="27">
        <v>10</v>
      </c>
    </row>
    <row r="364" spans="1:13">
      <c r="A364" s="1"/>
      <c r="B364" s="1"/>
      <c r="C364" s="1"/>
      <c r="D364" s="1"/>
      <c r="E364" s="1"/>
      <c r="F364" s="1"/>
      <c r="G364" s="1"/>
      <c r="H364" s="1"/>
      <c r="I364" s="1"/>
      <c r="J364" s="27" t="s">
        <v>509</v>
      </c>
      <c r="K364" s="29">
        <v>46662.666666666664</v>
      </c>
      <c r="L364" s="29">
        <v>46844.666666666664</v>
      </c>
      <c r="M364" s="27">
        <v>11</v>
      </c>
    </row>
    <row r="365" spans="1:13">
      <c r="A365" s="1"/>
      <c r="B365" s="1"/>
      <c r="C365" s="1"/>
      <c r="D365" s="1"/>
      <c r="E365" s="1"/>
      <c r="F365" s="1"/>
      <c r="G365" s="1"/>
      <c r="H365" s="1"/>
      <c r="I365" s="1"/>
      <c r="J365" s="27" t="s">
        <v>509</v>
      </c>
      <c r="K365" s="29">
        <v>46844.666666666664</v>
      </c>
      <c r="L365" s="29">
        <v>47026.666666666664</v>
      </c>
      <c r="M365" s="27">
        <v>10</v>
      </c>
    </row>
    <row r="366" spans="1:13">
      <c r="A366" s="1"/>
      <c r="B366" s="1"/>
      <c r="C366" s="1"/>
      <c r="D366" s="1"/>
      <c r="E366" s="1"/>
      <c r="F366" s="1"/>
      <c r="G366" s="1"/>
      <c r="H366" s="1"/>
      <c r="I366" s="1"/>
      <c r="J366" s="27" t="s">
        <v>509</v>
      </c>
      <c r="K366" s="29">
        <v>47026.666666666664</v>
      </c>
      <c r="L366" s="29">
        <v>47119</v>
      </c>
      <c r="M366" s="27">
        <v>11</v>
      </c>
    </row>
    <row r="367" spans="1:13">
      <c r="A367" s="1"/>
      <c r="B367" s="1"/>
      <c r="C367" s="1"/>
      <c r="D367" s="1"/>
      <c r="E367" s="1"/>
      <c r="F367" s="1"/>
      <c r="G367" s="1"/>
      <c r="H367" s="1"/>
      <c r="I367" s="1"/>
      <c r="J367" s="27" t="s">
        <v>512</v>
      </c>
      <c r="K367" s="29">
        <v>46023</v>
      </c>
      <c r="L367" s="29">
        <v>47119</v>
      </c>
      <c r="M367" s="27">
        <v>-3</v>
      </c>
    </row>
    <row r="368" spans="1:13">
      <c r="A368" s="1"/>
      <c r="B368" s="1"/>
      <c r="C368" s="1"/>
      <c r="D368" s="1"/>
      <c r="E368" s="1"/>
      <c r="F368" s="1"/>
      <c r="G368" s="1"/>
      <c r="H368" s="1"/>
      <c r="I368" s="1"/>
      <c r="J368" s="27" t="s">
        <v>515</v>
      </c>
      <c r="K368" s="29">
        <v>46023</v>
      </c>
      <c r="L368" s="29">
        <v>47119</v>
      </c>
      <c r="M368" s="27">
        <v>-6</v>
      </c>
    </row>
    <row r="369" spans="1:13">
      <c r="A369" s="1"/>
      <c r="B369" s="1"/>
      <c r="C369" s="1"/>
      <c r="D369" s="1"/>
      <c r="E369" s="1"/>
      <c r="F369" s="1"/>
      <c r="G369" s="1"/>
      <c r="H369" s="1"/>
      <c r="I369" s="1"/>
      <c r="J369" s="27" t="s">
        <v>32</v>
      </c>
      <c r="K369" s="29">
        <v>46023</v>
      </c>
      <c r="L369" s="29">
        <v>47119</v>
      </c>
      <c r="M369" s="27">
        <v>3</v>
      </c>
    </row>
    <row r="370" spans="1:13">
      <c r="A370" s="1"/>
      <c r="B370" s="1"/>
      <c r="C370" s="1"/>
      <c r="D370" s="1"/>
      <c r="E370" s="1"/>
      <c r="F370" s="1"/>
      <c r="G370" s="1"/>
      <c r="H370" s="1"/>
      <c r="I370" s="1"/>
      <c r="J370" s="27" t="s">
        <v>519</v>
      </c>
      <c r="K370" s="29">
        <v>46023</v>
      </c>
      <c r="L370" s="29">
        <v>47119</v>
      </c>
      <c r="M370" s="27">
        <v>3</v>
      </c>
    </row>
    <row r="371" spans="1:13">
      <c r="A371" s="1"/>
      <c r="B371" s="1"/>
      <c r="C371" s="1"/>
      <c r="D371" s="1"/>
      <c r="E371" s="1"/>
      <c r="F371" s="1"/>
      <c r="G371" s="1"/>
      <c r="H371" s="1"/>
      <c r="I371" s="1"/>
      <c r="J371" s="27" t="s">
        <v>522</v>
      </c>
      <c r="K371" s="29">
        <v>46023</v>
      </c>
      <c r="L371" s="29">
        <v>46110.041666666664</v>
      </c>
      <c r="M371" s="27">
        <v>1</v>
      </c>
    </row>
    <row r="372" spans="1:13">
      <c r="A372" s="1"/>
      <c r="B372" s="1"/>
      <c r="C372" s="1"/>
      <c r="D372" s="1"/>
      <c r="E372" s="1"/>
      <c r="F372" s="1"/>
      <c r="G372" s="1"/>
      <c r="H372" s="1"/>
      <c r="I372" s="1"/>
      <c r="J372" s="27" t="s">
        <v>522</v>
      </c>
      <c r="K372" s="29">
        <v>46110.041666666664</v>
      </c>
      <c r="L372" s="29">
        <v>46320.041666666664</v>
      </c>
      <c r="M372" s="27">
        <v>2</v>
      </c>
    </row>
    <row r="373" spans="1:13">
      <c r="A373" s="1"/>
      <c r="B373" s="1"/>
      <c r="C373" s="1"/>
      <c r="D373" s="1"/>
      <c r="E373" s="1"/>
      <c r="F373" s="1"/>
      <c r="G373" s="1"/>
      <c r="H373" s="1"/>
      <c r="I373" s="1"/>
      <c r="J373" s="27" t="s">
        <v>522</v>
      </c>
      <c r="K373" s="29">
        <v>46320.041666666664</v>
      </c>
      <c r="L373" s="29">
        <v>46474.041666666664</v>
      </c>
      <c r="M373" s="27">
        <v>1</v>
      </c>
    </row>
    <row r="374" spans="1:13">
      <c r="A374" s="1"/>
      <c r="B374" s="1"/>
      <c r="C374" s="1"/>
      <c r="D374" s="1"/>
      <c r="E374" s="1"/>
      <c r="F374" s="1"/>
      <c r="G374" s="1"/>
      <c r="H374" s="1"/>
      <c r="I374" s="1"/>
      <c r="J374" s="27" t="s">
        <v>522</v>
      </c>
      <c r="K374" s="29">
        <v>46474.041666666664</v>
      </c>
      <c r="L374" s="29">
        <v>46691.041666666664</v>
      </c>
      <c r="M374" s="27">
        <v>2</v>
      </c>
    </row>
    <row r="375" spans="1:13">
      <c r="A375" s="1"/>
      <c r="B375" s="1"/>
      <c r="C375" s="1"/>
      <c r="D375" s="1"/>
      <c r="E375" s="1"/>
      <c r="F375" s="1"/>
      <c r="G375" s="1"/>
      <c r="H375" s="1"/>
      <c r="I375" s="1"/>
      <c r="J375" s="27" t="s">
        <v>522</v>
      </c>
      <c r="K375" s="29">
        <v>46691.041666666664</v>
      </c>
      <c r="L375" s="29">
        <v>46838.041666666664</v>
      </c>
      <c r="M375" s="27">
        <v>1</v>
      </c>
    </row>
    <row r="376" spans="1:13">
      <c r="A376" s="1"/>
      <c r="B376" s="1"/>
      <c r="C376" s="1"/>
      <c r="D376" s="1"/>
      <c r="E376" s="1"/>
      <c r="F376" s="1"/>
      <c r="G376" s="1"/>
      <c r="H376" s="1"/>
      <c r="I376" s="1"/>
      <c r="J376" s="27" t="s">
        <v>522</v>
      </c>
      <c r="K376" s="29">
        <v>46838.041666666664</v>
      </c>
      <c r="L376" s="29">
        <v>47055.041666666664</v>
      </c>
      <c r="M376" s="27">
        <v>2</v>
      </c>
    </row>
    <row r="377" spans="1:13">
      <c r="A377" s="1"/>
      <c r="B377" s="1"/>
      <c r="C377" s="1"/>
      <c r="D377" s="1"/>
      <c r="E377" s="1"/>
      <c r="F377" s="1"/>
      <c r="G377" s="1"/>
      <c r="H377" s="1"/>
      <c r="I377" s="1"/>
      <c r="J377" s="27" t="s">
        <v>522</v>
      </c>
      <c r="K377" s="29">
        <v>47055.041666666664</v>
      </c>
      <c r="L377" s="29">
        <v>47119</v>
      </c>
      <c r="M377" s="27">
        <v>1</v>
      </c>
    </row>
    <row r="378" spans="1:13">
      <c r="A378" s="1"/>
      <c r="B378" s="1"/>
      <c r="C378" s="1"/>
      <c r="D378" s="1"/>
      <c r="E378" s="1"/>
      <c r="F378" s="1"/>
      <c r="G378" s="1"/>
      <c r="H378" s="1"/>
      <c r="I378" s="1"/>
      <c r="J378" s="27" t="s">
        <v>525</v>
      </c>
      <c r="K378" s="29">
        <v>46023</v>
      </c>
      <c r="L378" s="29">
        <v>47119</v>
      </c>
      <c r="M378" s="27">
        <v>0</v>
      </c>
    </row>
    <row r="379" spans="1:13">
      <c r="A379" s="1"/>
      <c r="B379" s="1"/>
      <c r="C379" s="1"/>
      <c r="D379" s="1"/>
      <c r="E379" s="1"/>
      <c r="F379" s="1"/>
      <c r="G379" s="1"/>
      <c r="H379" s="1"/>
      <c r="I379" s="1"/>
      <c r="J379" s="27" t="s">
        <v>528</v>
      </c>
      <c r="K379" s="29">
        <v>46023</v>
      </c>
      <c r="L379" s="29">
        <v>47119</v>
      </c>
      <c r="M379" s="27">
        <v>-3</v>
      </c>
    </row>
    <row r="380" spans="1:13">
      <c r="A380" s="1"/>
      <c r="B380" s="1"/>
      <c r="C380" s="1"/>
      <c r="D380" s="1"/>
      <c r="E380" s="1"/>
      <c r="F380" s="1"/>
      <c r="G380" s="1"/>
      <c r="H380" s="1"/>
      <c r="I380" s="1"/>
      <c r="J380" s="27" t="s">
        <v>532</v>
      </c>
      <c r="K380" s="29">
        <v>46023</v>
      </c>
      <c r="L380" s="29">
        <v>47119</v>
      </c>
      <c r="M380" s="27">
        <v>3</v>
      </c>
    </row>
    <row r="381" spans="1:13">
      <c r="A381" s="1"/>
      <c r="B381" s="1"/>
      <c r="C381" s="1"/>
      <c r="D381" s="1"/>
      <c r="E381" s="1"/>
      <c r="F381" s="1"/>
      <c r="G381" s="1"/>
      <c r="H381" s="1"/>
      <c r="I381" s="1"/>
      <c r="J381" s="27" t="s">
        <v>29</v>
      </c>
      <c r="K381" s="29">
        <v>46023</v>
      </c>
      <c r="L381" s="29">
        <v>47119</v>
      </c>
      <c r="M381" s="27">
        <v>5.5</v>
      </c>
    </row>
    <row r="382" spans="1:13">
      <c r="A382" s="1"/>
      <c r="B382" s="1"/>
      <c r="C382" s="1"/>
      <c r="D382" s="1"/>
      <c r="E382" s="1"/>
      <c r="F382" s="1"/>
      <c r="G382" s="1"/>
      <c r="H382" s="1"/>
      <c r="I382" s="1"/>
      <c r="J382" s="27" t="s">
        <v>534</v>
      </c>
      <c r="K382" s="29">
        <v>46023</v>
      </c>
      <c r="L382" s="29">
        <v>46110.041666666664</v>
      </c>
      <c r="M382" s="27">
        <v>1</v>
      </c>
    </row>
    <row r="383" spans="1:13">
      <c r="A383" s="1"/>
      <c r="B383" s="1"/>
      <c r="C383" s="1"/>
      <c r="D383" s="1"/>
      <c r="E383" s="1"/>
      <c r="F383" s="1"/>
      <c r="G383" s="1"/>
      <c r="H383" s="1"/>
      <c r="I383" s="1"/>
      <c r="J383" s="27" t="s">
        <v>534</v>
      </c>
      <c r="K383" s="29">
        <v>46110.041666666664</v>
      </c>
      <c r="L383" s="29">
        <v>46320.041666666664</v>
      </c>
      <c r="M383" s="27">
        <v>2</v>
      </c>
    </row>
    <row r="384" spans="1:13">
      <c r="A384" s="1"/>
      <c r="B384" s="1"/>
      <c r="C384" s="1"/>
      <c r="D384" s="1"/>
      <c r="E384" s="1"/>
      <c r="F384" s="1"/>
      <c r="G384" s="1"/>
      <c r="H384" s="1"/>
      <c r="I384" s="1"/>
      <c r="J384" s="27" t="s">
        <v>534</v>
      </c>
      <c r="K384" s="29">
        <v>46320.041666666664</v>
      </c>
      <c r="L384" s="29">
        <v>46474.041666666664</v>
      </c>
      <c r="M384" s="27">
        <v>1</v>
      </c>
    </row>
    <row r="385" spans="1:13">
      <c r="A385" s="1"/>
      <c r="B385" s="1"/>
      <c r="C385" s="1"/>
      <c r="D385" s="1"/>
      <c r="E385" s="1"/>
      <c r="F385" s="1"/>
      <c r="G385" s="1"/>
      <c r="H385" s="1"/>
      <c r="I385" s="1"/>
      <c r="J385" s="27" t="s">
        <v>534</v>
      </c>
      <c r="K385" s="29">
        <v>46474.041666666664</v>
      </c>
      <c r="L385" s="29">
        <v>46691.041666666664</v>
      </c>
      <c r="M385" s="27">
        <v>2</v>
      </c>
    </row>
    <row r="386" spans="1:13">
      <c r="A386" s="1"/>
      <c r="B386" s="1"/>
      <c r="C386" s="1"/>
      <c r="D386" s="1"/>
      <c r="E386" s="1"/>
      <c r="F386" s="1"/>
      <c r="G386" s="1"/>
      <c r="H386" s="1"/>
      <c r="I386" s="1"/>
      <c r="J386" s="27" t="s">
        <v>534</v>
      </c>
      <c r="K386" s="29">
        <v>46691.041666666664</v>
      </c>
      <c r="L386" s="29">
        <v>46838.041666666664</v>
      </c>
      <c r="M386" s="27">
        <v>1</v>
      </c>
    </row>
    <row r="387" spans="1:13">
      <c r="A387" s="1"/>
      <c r="B387" s="1"/>
      <c r="C387" s="1"/>
      <c r="D387" s="1"/>
      <c r="E387" s="1"/>
      <c r="F387" s="1"/>
      <c r="G387" s="1"/>
      <c r="H387" s="1"/>
      <c r="I387" s="1"/>
      <c r="J387" s="27" t="s">
        <v>534</v>
      </c>
      <c r="K387" s="29">
        <v>46838.041666666664</v>
      </c>
      <c r="L387" s="29">
        <v>47055.041666666664</v>
      </c>
      <c r="M387" s="27">
        <v>2</v>
      </c>
    </row>
    <row r="388" spans="1:13">
      <c r="A388" s="1"/>
      <c r="B388" s="1"/>
      <c r="C388" s="1"/>
      <c r="D388" s="1"/>
      <c r="E388" s="1"/>
      <c r="F388" s="1"/>
      <c r="G388" s="1"/>
      <c r="H388" s="1"/>
      <c r="I388" s="1"/>
      <c r="J388" s="27" t="s">
        <v>534</v>
      </c>
      <c r="K388" s="29">
        <v>47055.041666666664</v>
      </c>
      <c r="L388" s="29">
        <v>47119</v>
      </c>
      <c r="M388" s="27">
        <v>1</v>
      </c>
    </row>
    <row r="389" spans="1:13">
      <c r="A389" s="1"/>
      <c r="B389" s="1"/>
      <c r="C389" s="1"/>
      <c r="D389" s="1"/>
      <c r="E389" s="1"/>
      <c r="F389" s="1"/>
      <c r="G389" s="1"/>
      <c r="H389" s="1"/>
      <c r="I389" s="1"/>
      <c r="J389" s="27" t="s">
        <v>536</v>
      </c>
      <c r="K389" s="29">
        <v>46023</v>
      </c>
      <c r="L389" s="29">
        <v>47119</v>
      </c>
      <c r="M389" s="27">
        <v>1</v>
      </c>
    </row>
    <row r="390" spans="1:13">
      <c r="A390" s="1"/>
      <c r="B390" s="1"/>
      <c r="C390" s="1"/>
      <c r="D390" s="1"/>
      <c r="E390" s="1"/>
      <c r="F390" s="1"/>
      <c r="G390" s="1"/>
      <c r="H390" s="1"/>
      <c r="I390" s="1"/>
      <c r="J390" s="27" t="s">
        <v>539</v>
      </c>
      <c r="K390" s="29">
        <v>46023</v>
      </c>
      <c r="L390" s="29">
        <v>47119</v>
      </c>
      <c r="M390" s="27">
        <v>3</v>
      </c>
    </row>
    <row r="391" spans="1:13">
      <c r="A391" s="1"/>
      <c r="B391" s="1"/>
      <c r="C391" s="1"/>
      <c r="D391" s="1"/>
      <c r="E391" s="1"/>
      <c r="F391" s="1"/>
      <c r="G391" s="1"/>
      <c r="H391" s="1"/>
      <c r="I391" s="1"/>
      <c r="J391" s="27" t="s">
        <v>542</v>
      </c>
      <c r="K391" s="29">
        <v>46023</v>
      </c>
      <c r="L391" s="29">
        <v>47119</v>
      </c>
      <c r="M391" s="27">
        <v>6.5</v>
      </c>
    </row>
    <row r="392" spans="1:13">
      <c r="A392" s="1"/>
      <c r="B392" s="1"/>
      <c r="C392" s="1"/>
      <c r="D392" s="1"/>
      <c r="E392" s="1"/>
      <c r="F392" s="1"/>
      <c r="G392" s="1"/>
      <c r="H392" s="1"/>
      <c r="I392" s="1"/>
      <c r="J392" s="27" t="s">
        <v>41</v>
      </c>
      <c r="K392" s="29">
        <v>46023</v>
      </c>
      <c r="L392" s="29">
        <v>46089.291666666664</v>
      </c>
      <c r="M392" s="27">
        <v>-5</v>
      </c>
    </row>
    <row r="393" spans="1:13">
      <c r="A393" s="1"/>
      <c r="B393" s="1"/>
      <c r="C393" s="1"/>
      <c r="D393" s="1"/>
      <c r="E393" s="1"/>
      <c r="F393" s="1"/>
      <c r="G393" s="1"/>
      <c r="H393" s="1"/>
      <c r="I393" s="1"/>
      <c r="J393" s="27" t="s">
        <v>41</v>
      </c>
      <c r="K393" s="29">
        <v>46089.291666666664</v>
      </c>
      <c r="L393" s="29">
        <v>46327.25</v>
      </c>
      <c r="M393" s="27">
        <v>-4</v>
      </c>
    </row>
    <row r="394" spans="1:13">
      <c r="A394" s="1"/>
      <c r="B394" s="1"/>
      <c r="C394" s="1"/>
      <c r="D394" s="1"/>
      <c r="E394" s="1"/>
      <c r="F394" s="1"/>
      <c r="G394" s="1"/>
      <c r="H394" s="1"/>
      <c r="I394" s="1"/>
      <c r="J394" s="27" t="s">
        <v>41</v>
      </c>
      <c r="K394" s="29">
        <v>46327.25</v>
      </c>
      <c r="L394" s="29">
        <v>46460.291666666664</v>
      </c>
      <c r="M394" s="27">
        <v>-5</v>
      </c>
    </row>
    <row r="395" spans="1:13">
      <c r="A395" s="1"/>
      <c r="B395" s="1"/>
      <c r="C395" s="1"/>
      <c r="D395" s="1"/>
      <c r="E395" s="1"/>
      <c r="F395" s="1"/>
      <c r="G395" s="1"/>
      <c r="H395" s="1"/>
      <c r="I395" s="1"/>
      <c r="J395" s="27" t="s">
        <v>41</v>
      </c>
      <c r="K395" s="29">
        <v>46460.291666666664</v>
      </c>
      <c r="L395" s="29">
        <v>46698.25</v>
      </c>
      <c r="M395" s="27">
        <v>-4</v>
      </c>
    </row>
    <row r="396" spans="1:13">
      <c r="A396" s="1"/>
      <c r="B396" s="1"/>
      <c r="C396" s="1"/>
      <c r="D396" s="1"/>
      <c r="E396" s="1"/>
      <c r="F396" s="1"/>
      <c r="G396" s="1"/>
      <c r="H396" s="1"/>
      <c r="I396" s="1"/>
      <c r="J396" s="27" t="s">
        <v>41</v>
      </c>
      <c r="K396" s="29">
        <v>46698.25</v>
      </c>
      <c r="L396" s="29">
        <v>46824.291666666664</v>
      </c>
      <c r="M396" s="27">
        <v>-5</v>
      </c>
    </row>
    <row r="397" spans="1:13">
      <c r="A397" s="1"/>
      <c r="B397" s="1"/>
      <c r="C397" s="1"/>
      <c r="D397" s="1"/>
      <c r="E397" s="1"/>
      <c r="F397" s="1"/>
      <c r="G397" s="1"/>
      <c r="H397" s="1"/>
      <c r="I397" s="1"/>
      <c r="J397" s="27" t="s">
        <v>41</v>
      </c>
      <c r="K397" s="29">
        <v>46824.291666666664</v>
      </c>
      <c r="L397" s="29">
        <v>47062.25</v>
      </c>
      <c r="M397" s="27">
        <v>-4</v>
      </c>
    </row>
    <row r="398" spans="1:13">
      <c r="A398" s="1"/>
      <c r="B398" s="1"/>
      <c r="C398" s="1"/>
      <c r="D398" s="1"/>
      <c r="E398" s="1"/>
      <c r="F398" s="1"/>
      <c r="G398" s="1"/>
      <c r="H398" s="1"/>
      <c r="I398" s="1"/>
      <c r="J398" s="27" t="s">
        <v>41</v>
      </c>
      <c r="K398" s="29">
        <v>47062.25</v>
      </c>
      <c r="L398" s="29">
        <v>47119</v>
      </c>
      <c r="M398" s="27">
        <v>-5</v>
      </c>
    </row>
    <row r="399" spans="1:13">
      <c r="A399" s="1"/>
      <c r="B399" s="1"/>
      <c r="C399" s="1"/>
      <c r="D399" s="1"/>
      <c r="E399" s="1"/>
      <c r="F399" s="1"/>
      <c r="G399" s="1"/>
      <c r="H399" s="1"/>
      <c r="I399" s="1"/>
      <c r="J399" s="27" t="s">
        <v>546</v>
      </c>
      <c r="K399" s="29">
        <v>46023</v>
      </c>
      <c r="L399" s="29">
        <v>46116.666666666664</v>
      </c>
      <c r="M399" s="27">
        <v>11</v>
      </c>
    </row>
    <row r="400" spans="1:13">
      <c r="A400" s="1"/>
      <c r="B400" s="1"/>
      <c r="C400" s="1"/>
      <c r="D400" s="1"/>
      <c r="E400" s="1"/>
      <c r="F400" s="1"/>
      <c r="G400" s="1"/>
      <c r="H400" s="1"/>
      <c r="I400" s="1"/>
      <c r="J400" s="27" t="s">
        <v>546</v>
      </c>
      <c r="K400" s="29">
        <v>46116.666666666664</v>
      </c>
      <c r="L400" s="29">
        <v>46298.666666666664</v>
      </c>
      <c r="M400" s="27">
        <v>10</v>
      </c>
    </row>
    <row r="401" spans="1:13">
      <c r="A401" s="1"/>
      <c r="B401" s="1"/>
      <c r="C401" s="1"/>
      <c r="D401" s="1"/>
      <c r="E401" s="1"/>
      <c r="F401" s="1"/>
      <c r="G401" s="1"/>
      <c r="H401" s="1"/>
      <c r="I401" s="1"/>
      <c r="J401" s="27" t="s">
        <v>546</v>
      </c>
      <c r="K401" s="29">
        <v>46298.666666666664</v>
      </c>
      <c r="L401" s="29">
        <v>46480.666666666664</v>
      </c>
      <c r="M401" s="27">
        <v>11</v>
      </c>
    </row>
    <row r="402" spans="1:13">
      <c r="A402" s="1"/>
      <c r="B402" s="1"/>
      <c r="C402" s="1"/>
      <c r="D402" s="1"/>
      <c r="E402" s="1"/>
      <c r="F402" s="1"/>
      <c r="G402" s="1"/>
      <c r="H402" s="1"/>
      <c r="I402" s="1"/>
      <c r="J402" s="27" t="s">
        <v>546</v>
      </c>
      <c r="K402" s="29">
        <v>46480.666666666664</v>
      </c>
      <c r="L402" s="29">
        <v>46662.666666666664</v>
      </c>
      <c r="M402" s="27">
        <v>10</v>
      </c>
    </row>
    <row r="403" spans="1:13">
      <c r="A403" s="1"/>
      <c r="B403" s="1"/>
      <c r="C403" s="1"/>
      <c r="D403" s="1"/>
      <c r="E403" s="1"/>
      <c r="F403" s="1"/>
      <c r="G403" s="1"/>
      <c r="H403" s="1"/>
      <c r="I403" s="1"/>
      <c r="J403" s="27" t="s">
        <v>546</v>
      </c>
      <c r="K403" s="29">
        <v>46662.666666666664</v>
      </c>
      <c r="L403" s="29">
        <v>46844.666666666664</v>
      </c>
      <c r="M403" s="27">
        <v>11</v>
      </c>
    </row>
    <row r="404" spans="1:13">
      <c r="A404" s="1"/>
      <c r="B404" s="1"/>
      <c r="C404" s="1"/>
      <c r="D404" s="1"/>
      <c r="E404" s="1"/>
      <c r="F404" s="1"/>
      <c r="G404" s="1"/>
      <c r="H404" s="1"/>
      <c r="I404" s="1"/>
      <c r="J404" s="27" t="s">
        <v>546</v>
      </c>
      <c r="K404" s="29">
        <v>46844.666666666664</v>
      </c>
      <c r="L404" s="29">
        <v>47026.666666666664</v>
      </c>
      <c r="M404" s="27">
        <v>10</v>
      </c>
    </row>
    <row r="405" spans="1:13">
      <c r="A405" s="1"/>
      <c r="B405" s="1"/>
      <c r="C405" s="1"/>
      <c r="D405" s="1"/>
      <c r="E405" s="1"/>
      <c r="F405" s="1"/>
      <c r="G405" s="1"/>
      <c r="H405" s="1"/>
      <c r="I405" s="1"/>
      <c r="J405" s="27" t="s">
        <v>546</v>
      </c>
      <c r="K405" s="29">
        <v>47026.666666666664</v>
      </c>
      <c r="L405" s="29">
        <v>47119</v>
      </c>
      <c r="M405" s="27">
        <v>11</v>
      </c>
    </row>
    <row r="406" spans="1:13">
      <c r="A406" s="1"/>
      <c r="B406" s="1"/>
      <c r="C406" s="1"/>
      <c r="D406" s="1"/>
      <c r="E406" s="1"/>
      <c r="F406" s="1"/>
      <c r="G406" s="1"/>
      <c r="H406" s="1"/>
      <c r="I406" s="1"/>
      <c r="J406" s="27" t="s">
        <v>548</v>
      </c>
      <c r="K406" s="29">
        <v>46023</v>
      </c>
      <c r="L406" s="29">
        <v>47119</v>
      </c>
      <c r="M406" s="27">
        <v>1</v>
      </c>
    </row>
    <row r="407" spans="1:13">
      <c r="A407" s="1"/>
      <c r="B407" s="1"/>
      <c r="C407" s="1"/>
      <c r="D407" s="1"/>
      <c r="E407" s="1"/>
      <c r="F407" s="1"/>
      <c r="G407" s="1"/>
      <c r="H407" s="1"/>
      <c r="I407" s="1"/>
      <c r="J407" s="27" t="s">
        <v>551</v>
      </c>
      <c r="K407" s="29">
        <v>46023</v>
      </c>
      <c r="L407" s="29">
        <v>47119</v>
      </c>
      <c r="M407" s="27">
        <v>3</v>
      </c>
    </row>
    <row r="408" spans="1:13">
      <c r="A408" s="1"/>
      <c r="B408" s="1"/>
      <c r="C408" s="1"/>
      <c r="D408" s="1"/>
      <c r="E408" s="1"/>
      <c r="F408" s="1"/>
      <c r="G408" s="1"/>
      <c r="H408" s="1"/>
      <c r="I408" s="1"/>
      <c r="J408" s="27" t="s">
        <v>553</v>
      </c>
      <c r="K408" s="29">
        <v>46023</v>
      </c>
      <c r="L408" s="29">
        <v>47119</v>
      </c>
      <c r="M408" s="27">
        <v>0</v>
      </c>
    </row>
    <row r="409" spans="1:13">
      <c r="A409" s="1"/>
      <c r="B409" s="1"/>
      <c r="C409" s="1"/>
      <c r="D409" s="1"/>
      <c r="E409" s="1"/>
      <c r="F409" s="1"/>
      <c r="G409" s="1"/>
      <c r="H409" s="1"/>
      <c r="I409" s="1"/>
      <c r="J409" s="27" t="s">
        <v>556</v>
      </c>
      <c r="K409" s="29">
        <v>46023</v>
      </c>
      <c r="L409" s="29">
        <v>47119</v>
      </c>
      <c r="M409" s="27">
        <v>7</v>
      </c>
    </row>
    <row r="410" spans="1:13">
      <c r="A410" s="1"/>
      <c r="B410" s="1"/>
      <c r="C410" s="1"/>
      <c r="D410" s="1"/>
      <c r="E410" s="1"/>
      <c r="F410" s="1"/>
      <c r="G410" s="1"/>
      <c r="H410" s="1"/>
      <c r="I410" s="1"/>
      <c r="J410" s="27" t="s">
        <v>560</v>
      </c>
      <c r="K410" s="29">
        <v>46023</v>
      </c>
      <c r="L410" s="29">
        <v>46110.041666666664</v>
      </c>
      <c r="M410" s="27">
        <v>1</v>
      </c>
    </row>
    <row r="411" spans="1:13">
      <c r="A411" s="1"/>
      <c r="B411" s="1"/>
      <c r="C411" s="1"/>
      <c r="D411" s="1"/>
      <c r="E411" s="1"/>
      <c r="F411" s="1"/>
      <c r="G411" s="1"/>
      <c r="H411" s="1"/>
      <c r="I411" s="1"/>
      <c r="J411" s="27" t="s">
        <v>560</v>
      </c>
      <c r="K411" s="29">
        <v>46110.041666666664</v>
      </c>
      <c r="L411" s="29">
        <v>46320.041666666664</v>
      </c>
      <c r="M411" s="27">
        <v>2</v>
      </c>
    </row>
    <row r="412" spans="1:13">
      <c r="A412" s="1"/>
      <c r="B412" s="1"/>
      <c r="C412" s="1"/>
      <c r="D412" s="1"/>
      <c r="E412" s="1"/>
      <c r="F412" s="1"/>
      <c r="G412" s="1"/>
      <c r="H412" s="1"/>
      <c r="I412" s="1"/>
      <c r="J412" s="27" t="s">
        <v>560</v>
      </c>
      <c r="K412" s="29">
        <v>46320.041666666664</v>
      </c>
      <c r="L412" s="29">
        <v>46474.041666666664</v>
      </c>
      <c r="M412" s="27">
        <v>1</v>
      </c>
    </row>
    <row r="413" spans="1:13">
      <c r="A413" s="1"/>
      <c r="B413" s="1"/>
      <c r="C413" s="1"/>
      <c r="D413" s="1"/>
      <c r="E413" s="1"/>
      <c r="F413" s="1"/>
      <c r="G413" s="1"/>
      <c r="H413" s="1"/>
      <c r="I413" s="1"/>
      <c r="J413" s="27" t="s">
        <v>560</v>
      </c>
      <c r="K413" s="29">
        <v>46474.041666666664</v>
      </c>
      <c r="L413" s="29">
        <v>46691.041666666664</v>
      </c>
      <c r="M413" s="27">
        <v>2</v>
      </c>
    </row>
    <row r="414" spans="1:13">
      <c r="A414" s="1"/>
      <c r="B414" s="1"/>
      <c r="C414" s="1"/>
      <c r="D414" s="1"/>
      <c r="E414" s="1"/>
      <c r="F414" s="1"/>
      <c r="G414" s="1"/>
      <c r="H414" s="1"/>
      <c r="I414" s="1"/>
      <c r="J414" s="27" t="s">
        <v>560</v>
      </c>
      <c r="K414" s="29">
        <v>46691.041666666664</v>
      </c>
      <c r="L414" s="29">
        <v>46838.041666666664</v>
      </c>
      <c r="M414" s="27">
        <v>1</v>
      </c>
    </row>
    <row r="415" spans="1:13">
      <c r="A415" s="1"/>
      <c r="B415" s="1"/>
      <c r="C415" s="1"/>
      <c r="D415" s="1"/>
      <c r="E415" s="1"/>
      <c r="F415" s="1"/>
      <c r="G415" s="1"/>
      <c r="H415" s="1"/>
      <c r="I415" s="1"/>
      <c r="J415" s="27" t="s">
        <v>560</v>
      </c>
      <c r="K415" s="29">
        <v>46838.041666666664</v>
      </c>
      <c r="L415" s="29">
        <v>47055.041666666664</v>
      </c>
      <c r="M415" s="27">
        <v>2</v>
      </c>
    </row>
    <row r="416" spans="1:13">
      <c r="A416" s="1"/>
      <c r="B416" s="1"/>
      <c r="C416" s="1"/>
      <c r="D416" s="1"/>
      <c r="E416" s="1"/>
      <c r="F416" s="1"/>
      <c r="G416" s="1"/>
      <c r="H416" s="1"/>
      <c r="I416" s="1"/>
      <c r="J416" s="27" t="s">
        <v>560</v>
      </c>
      <c r="K416" s="29">
        <v>47055.041666666664</v>
      </c>
      <c r="L416" s="29">
        <v>47119</v>
      </c>
      <c r="M416" s="27">
        <v>1</v>
      </c>
    </row>
    <row r="417" spans="1:13">
      <c r="A417" s="1"/>
      <c r="B417" s="1"/>
      <c r="C417" s="1"/>
      <c r="D417" s="1"/>
      <c r="E417" s="1"/>
      <c r="F417" s="1"/>
      <c r="G417" s="1"/>
      <c r="H417" s="1"/>
      <c r="I417" s="1"/>
      <c r="J417" s="27" t="s">
        <v>563</v>
      </c>
      <c r="K417" s="29">
        <v>46023</v>
      </c>
      <c r="L417" s="29">
        <v>46089.291666666664</v>
      </c>
      <c r="M417" s="27">
        <v>-5</v>
      </c>
    </row>
    <row r="418" spans="1:13">
      <c r="A418" s="1"/>
      <c r="B418" s="1"/>
      <c r="C418" s="1"/>
      <c r="D418" s="1"/>
      <c r="E418" s="1"/>
      <c r="F418" s="1"/>
      <c r="G418" s="1"/>
      <c r="H418" s="1"/>
      <c r="I418" s="1"/>
      <c r="J418" s="27" t="s">
        <v>563</v>
      </c>
      <c r="K418" s="29">
        <v>46089.291666666664</v>
      </c>
      <c r="L418" s="29">
        <v>46327.25</v>
      </c>
      <c r="M418" s="27">
        <v>-4</v>
      </c>
    </row>
    <row r="419" spans="1:13">
      <c r="A419" s="1"/>
      <c r="B419" s="1"/>
      <c r="C419" s="1"/>
      <c r="D419" s="1"/>
      <c r="E419" s="1"/>
      <c r="F419" s="1"/>
      <c r="G419" s="1"/>
      <c r="H419" s="1"/>
      <c r="I419" s="1"/>
      <c r="J419" s="27" t="s">
        <v>563</v>
      </c>
      <c r="K419" s="29">
        <v>46327.25</v>
      </c>
      <c r="L419" s="29">
        <v>46460.291666666664</v>
      </c>
      <c r="M419" s="27">
        <v>-5</v>
      </c>
    </row>
    <row r="420" spans="1:13">
      <c r="A420" s="1"/>
      <c r="B420" s="1"/>
      <c r="C420" s="1"/>
      <c r="D420" s="1"/>
      <c r="E420" s="1"/>
      <c r="F420" s="1"/>
      <c r="G420" s="1"/>
      <c r="H420" s="1"/>
      <c r="I420" s="1"/>
      <c r="J420" s="27" t="s">
        <v>563</v>
      </c>
      <c r="K420" s="29">
        <v>46460.291666666664</v>
      </c>
      <c r="L420" s="29">
        <v>46698.25</v>
      </c>
      <c r="M420" s="27">
        <v>-4</v>
      </c>
    </row>
    <row r="421" spans="1:13">
      <c r="A421" s="1"/>
      <c r="B421" s="1"/>
      <c r="C421" s="1"/>
      <c r="D421" s="1"/>
      <c r="E421" s="1"/>
      <c r="F421" s="1"/>
      <c r="G421" s="1"/>
      <c r="H421" s="1"/>
      <c r="I421" s="1"/>
      <c r="J421" s="27" t="s">
        <v>563</v>
      </c>
      <c r="K421" s="29">
        <v>46698.25</v>
      </c>
      <c r="L421" s="29">
        <v>46824.291666666664</v>
      </c>
      <c r="M421" s="27">
        <v>-5</v>
      </c>
    </row>
    <row r="422" spans="1:13">
      <c r="A422" s="1"/>
      <c r="B422" s="1"/>
      <c r="C422" s="1"/>
      <c r="D422" s="1"/>
      <c r="E422" s="1"/>
      <c r="F422" s="1"/>
      <c r="G422" s="1"/>
      <c r="H422" s="1"/>
      <c r="I422" s="1"/>
      <c r="J422" s="27" t="s">
        <v>563</v>
      </c>
      <c r="K422" s="29">
        <v>46824.291666666664</v>
      </c>
      <c r="L422" s="29">
        <v>47062.25</v>
      </c>
      <c r="M422" s="27">
        <v>-4</v>
      </c>
    </row>
    <row r="423" spans="1:13">
      <c r="A423" s="1"/>
      <c r="B423" s="1"/>
      <c r="C423" s="1"/>
      <c r="D423" s="1"/>
      <c r="E423" s="1"/>
      <c r="F423" s="1"/>
      <c r="G423" s="1"/>
      <c r="H423" s="1"/>
      <c r="I423" s="1"/>
      <c r="J423" s="27" t="s">
        <v>563</v>
      </c>
      <c r="K423" s="29">
        <v>47062.25</v>
      </c>
      <c r="L423" s="29">
        <v>47119</v>
      </c>
      <c r="M423" s="27">
        <v>-5</v>
      </c>
    </row>
    <row r="424" spans="1:13">
      <c r="A424" s="1"/>
      <c r="B424" s="1"/>
      <c r="C424" s="1"/>
      <c r="D424" s="1"/>
      <c r="E424" s="1"/>
      <c r="F424" s="1"/>
      <c r="G424" s="1"/>
      <c r="H424" s="1"/>
      <c r="I424" s="1"/>
      <c r="J424" s="27" t="s">
        <v>566</v>
      </c>
      <c r="K424" s="29">
        <v>46023</v>
      </c>
      <c r="L424" s="29">
        <v>47119</v>
      </c>
      <c r="M424" s="27">
        <v>0</v>
      </c>
    </row>
    <row r="425" spans="1:13">
      <c r="A425" s="1"/>
      <c r="B425" s="1"/>
      <c r="C425" s="1"/>
      <c r="D425" s="1"/>
      <c r="E425" s="1"/>
      <c r="F425" s="1"/>
      <c r="G425" s="1"/>
      <c r="H425" s="1"/>
      <c r="I425" s="1"/>
      <c r="J425" s="27" t="s">
        <v>569</v>
      </c>
      <c r="K425" s="29">
        <v>46023</v>
      </c>
      <c r="L425" s="29">
        <v>47119</v>
      </c>
      <c r="M425" s="27">
        <v>7</v>
      </c>
    </row>
    <row r="426" spans="1:13">
      <c r="A426" s="1"/>
      <c r="B426" s="1"/>
      <c r="C426" s="1"/>
      <c r="D426" s="1"/>
      <c r="E426" s="1"/>
      <c r="F426" s="1"/>
      <c r="G426" s="1"/>
      <c r="H426" s="1"/>
      <c r="I426" s="1"/>
      <c r="J426" s="27" t="s">
        <v>571</v>
      </c>
      <c r="K426" s="29">
        <v>46023</v>
      </c>
      <c r="L426" s="29">
        <v>46110.041666666664</v>
      </c>
      <c r="M426" s="27">
        <v>1</v>
      </c>
    </row>
    <row r="427" spans="1:13">
      <c r="A427" s="1"/>
      <c r="B427" s="1"/>
      <c r="C427" s="1"/>
      <c r="D427" s="1"/>
      <c r="E427" s="1"/>
      <c r="F427" s="1"/>
      <c r="G427" s="1"/>
      <c r="H427" s="1"/>
      <c r="I427" s="1"/>
      <c r="J427" s="27" t="s">
        <v>571</v>
      </c>
      <c r="K427" s="29">
        <v>46110.041666666664</v>
      </c>
      <c r="L427" s="29">
        <v>46320.041666666664</v>
      </c>
      <c r="M427" s="27">
        <v>2</v>
      </c>
    </row>
    <row r="428" spans="1:13">
      <c r="A428" s="1"/>
      <c r="B428" s="1"/>
      <c r="C428" s="1"/>
      <c r="D428" s="1"/>
      <c r="E428" s="1"/>
      <c r="F428" s="1"/>
      <c r="G428" s="1"/>
      <c r="H428" s="1"/>
      <c r="I428" s="1"/>
      <c r="J428" s="27" t="s">
        <v>571</v>
      </c>
      <c r="K428" s="29">
        <v>46320.041666666664</v>
      </c>
      <c r="L428" s="29">
        <v>46474.041666666664</v>
      </c>
      <c r="M428" s="27">
        <v>1</v>
      </c>
    </row>
    <row r="429" spans="1:13">
      <c r="A429" s="1"/>
      <c r="B429" s="1"/>
      <c r="C429" s="1"/>
      <c r="D429" s="1"/>
      <c r="E429" s="1"/>
      <c r="F429" s="1"/>
      <c r="G429" s="1"/>
      <c r="H429" s="1"/>
      <c r="I429" s="1"/>
      <c r="J429" s="27" t="s">
        <v>571</v>
      </c>
      <c r="K429" s="29">
        <v>46474.041666666664</v>
      </c>
      <c r="L429" s="29">
        <v>46691.041666666664</v>
      </c>
      <c r="M429" s="27">
        <v>2</v>
      </c>
    </row>
    <row r="430" spans="1:13">
      <c r="A430" s="1"/>
      <c r="B430" s="1"/>
      <c r="C430" s="1"/>
      <c r="D430" s="1"/>
      <c r="E430" s="1"/>
      <c r="F430" s="1"/>
      <c r="G430" s="1"/>
      <c r="H430" s="1"/>
      <c r="I430" s="1"/>
      <c r="J430" s="27" t="s">
        <v>571</v>
      </c>
      <c r="K430" s="29">
        <v>46691.041666666664</v>
      </c>
      <c r="L430" s="29">
        <v>46838.041666666664</v>
      </c>
      <c r="M430" s="27">
        <v>1</v>
      </c>
    </row>
    <row r="431" spans="1:13">
      <c r="A431" s="1"/>
      <c r="B431" s="1"/>
      <c r="C431" s="1"/>
      <c r="D431" s="1"/>
      <c r="E431" s="1"/>
      <c r="F431" s="1"/>
      <c r="G431" s="1"/>
      <c r="H431" s="1"/>
      <c r="I431" s="1"/>
      <c r="J431" s="27" t="s">
        <v>571</v>
      </c>
      <c r="K431" s="29">
        <v>46838.041666666664</v>
      </c>
      <c r="L431" s="29">
        <v>47055.041666666664</v>
      </c>
      <c r="M431" s="27">
        <v>2</v>
      </c>
    </row>
    <row r="432" spans="1:13">
      <c r="A432" s="1"/>
      <c r="B432" s="1"/>
      <c r="C432" s="1"/>
      <c r="D432" s="1"/>
      <c r="E432" s="1"/>
      <c r="F432" s="1"/>
      <c r="G432" s="1"/>
      <c r="H432" s="1"/>
      <c r="I432" s="1"/>
      <c r="J432" s="27" t="s">
        <v>571</v>
      </c>
      <c r="K432" s="29">
        <v>47055.041666666664</v>
      </c>
      <c r="L432" s="29">
        <v>47119</v>
      </c>
      <c r="M432" s="27">
        <v>1</v>
      </c>
    </row>
    <row r="433" spans="1:13">
      <c r="A433" s="1"/>
      <c r="B433" s="1"/>
      <c r="C433" s="1"/>
      <c r="D433" s="1"/>
      <c r="E433" s="1"/>
      <c r="F433" s="1"/>
      <c r="G433" s="1"/>
      <c r="H433" s="1"/>
      <c r="I433" s="1"/>
      <c r="J433" s="27" t="s">
        <v>573</v>
      </c>
      <c r="K433" s="29">
        <v>46023</v>
      </c>
      <c r="L433" s="29">
        <v>47119</v>
      </c>
      <c r="M433" s="27">
        <v>8</v>
      </c>
    </row>
    <row r="434" spans="1:13">
      <c r="A434" s="1"/>
      <c r="B434" s="1"/>
      <c r="C434" s="1"/>
      <c r="D434" s="1"/>
      <c r="E434" s="1"/>
      <c r="F434" s="1"/>
      <c r="G434" s="1"/>
      <c r="H434" s="1"/>
      <c r="I434" s="1"/>
      <c r="J434" s="27" t="s">
        <v>577</v>
      </c>
      <c r="K434" s="29">
        <v>46023</v>
      </c>
      <c r="L434" s="29">
        <v>46089.291666666664</v>
      </c>
      <c r="M434" s="27">
        <v>-5</v>
      </c>
    </row>
    <row r="435" spans="1:13">
      <c r="A435" s="1"/>
      <c r="B435" s="1"/>
      <c r="C435" s="1"/>
      <c r="D435" s="1"/>
      <c r="E435" s="1"/>
      <c r="F435" s="1"/>
      <c r="G435" s="1"/>
      <c r="H435" s="1"/>
      <c r="I435" s="1"/>
      <c r="J435" s="27" t="s">
        <v>577</v>
      </c>
      <c r="K435" s="29">
        <v>46089.291666666664</v>
      </c>
      <c r="L435" s="29">
        <v>46327.25</v>
      </c>
      <c r="M435" s="27">
        <v>-4</v>
      </c>
    </row>
    <row r="436" spans="1:13">
      <c r="A436" s="1"/>
      <c r="B436" s="1"/>
      <c r="C436" s="1"/>
      <c r="D436" s="1"/>
      <c r="E436" s="1"/>
      <c r="F436" s="1"/>
      <c r="G436" s="1"/>
      <c r="H436" s="1"/>
      <c r="I436" s="1"/>
      <c r="J436" s="27" t="s">
        <v>577</v>
      </c>
      <c r="K436" s="29">
        <v>46327.25</v>
      </c>
      <c r="L436" s="29">
        <v>46460.291666666664</v>
      </c>
      <c r="M436" s="27">
        <v>-5</v>
      </c>
    </row>
    <row r="437" spans="1:13">
      <c r="A437" s="1"/>
      <c r="B437" s="1"/>
      <c r="C437" s="1"/>
      <c r="D437" s="1"/>
      <c r="E437" s="1"/>
      <c r="F437" s="1"/>
      <c r="G437" s="1"/>
      <c r="H437" s="1"/>
      <c r="I437" s="1"/>
      <c r="J437" s="27" t="s">
        <v>577</v>
      </c>
      <c r="K437" s="29">
        <v>46460.291666666664</v>
      </c>
      <c r="L437" s="29">
        <v>46698.25</v>
      </c>
      <c r="M437" s="27">
        <v>-4</v>
      </c>
    </row>
    <row r="438" spans="1:13">
      <c r="A438" s="1"/>
      <c r="B438" s="1"/>
      <c r="C438" s="1"/>
      <c r="D438" s="1"/>
      <c r="E438" s="1"/>
      <c r="F438" s="1"/>
      <c r="G438" s="1"/>
      <c r="H438" s="1"/>
      <c r="I438" s="1"/>
      <c r="J438" s="27" t="s">
        <v>577</v>
      </c>
      <c r="K438" s="29">
        <v>46698.25</v>
      </c>
      <c r="L438" s="29">
        <v>46824.291666666664</v>
      </c>
      <c r="M438" s="27">
        <v>-5</v>
      </c>
    </row>
    <row r="439" spans="1:13">
      <c r="A439" s="1"/>
      <c r="B439" s="1"/>
      <c r="C439" s="1"/>
      <c r="D439" s="1"/>
      <c r="E439" s="1"/>
      <c r="F439" s="1"/>
      <c r="G439" s="1"/>
      <c r="H439" s="1"/>
      <c r="I439" s="1"/>
      <c r="J439" s="27" t="s">
        <v>577</v>
      </c>
      <c r="K439" s="29">
        <v>46824.291666666664</v>
      </c>
      <c r="L439" s="29">
        <v>47062.25</v>
      </c>
      <c r="M439" s="27">
        <v>-4</v>
      </c>
    </row>
    <row r="440" spans="1:13">
      <c r="A440" s="1"/>
      <c r="B440" s="1"/>
      <c r="C440" s="1"/>
      <c r="D440" s="1"/>
      <c r="E440" s="1"/>
      <c r="F440" s="1"/>
      <c r="G440" s="1"/>
      <c r="H440" s="1"/>
      <c r="I440" s="1"/>
      <c r="J440" s="27" t="s">
        <v>577</v>
      </c>
      <c r="K440" s="29">
        <v>47062.25</v>
      </c>
      <c r="L440" s="29">
        <v>47119</v>
      </c>
      <c r="M440" s="27">
        <v>-5</v>
      </c>
    </row>
    <row r="441" spans="1:13">
      <c r="A441" s="1"/>
      <c r="B441" s="1"/>
      <c r="C441" s="1"/>
      <c r="D441" s="1"/>
      <c r="E441" s="1"/>
      <c r="F441" s="1"/>
      <c r="G441" s="1"/>
      <c r="H441" s="1"/>
      <c r="I441" s="1"/>
      <c r="J441" s="27" t="s">
        <v>579</v>
      </c>
      <c r="K441" s="29">
        <v>46023</v>
      </c>
      <c r="L441" s="29">
        <v>47119</v>
      </c>
      <c r="M441" s="27">
        <v>7</v>
      </c>
    </row>
    <row r="442" spans="1:13">
      <c r="A442" s="1"/>
      <c r="B442" s="1"/>
      <c r="C442" s="1"/>
      <c r="D442" s="1"/>
      <c r="E442" s="1"/>
      <c r="F442" s="1"/>
      <c r="G442" s="1"/>
      <c r="H442" s="1"/>
      <c r="I442" s="1"/>
      <c r="J442" s="27" t="s">
        <v>582</v>
      </c>
      <c r="K442" s="29">
        <v>46023</v>
      </c>
      <c r="L442" s="29">
        <v>47119</v>
      </c>
      <c r="M442" s="27">
        <v>-7</v>
      </c>
    </row>
    <row r="443" spans="1:13">
      <c r="A443" s="1"/>
      <c r="B443" s="1"/>
      <c r="C443" s="1"/>
      <c r="D443" s="1"/>
      <c r="E443" s="1"/>
      <c r="F443" s="1"/>
      <c r="G443" s="1"/>
      <c r="H443" s="1"/>
      <c r="I443" s="1"/>
      <c r="J443" s="27" t="s">
        <v>586</v>
      </c>
      <c r="K443" s="29">
        <v>46023</v>
      </c>
      <c r="L443" s="29">
        <v>46110.041666666664</v>
      </c>
      <c r="M443" s="27">
        <v>1</v>
      </c>
    </row>
    <row r="444" spans="1:13">
      <c r="A444" s="1"/>
      <c r="B444" s="1"/>
      <c r="C444" s="1"/>
      <c r="D444" s="1"/>
      <c r="E444" s="1"/>
      <c r="F444" s="1"/>
      <c r="G444" s="1"/>
      <c r="H444" s="1"/>
      <c r="I444" s="1"/>
      <c r="J444" s="27" t="s">
        <v>586</v>
      </c>
      <c r="K444" s="29">
        <v>46110.041666666664</v>
      </c>
      <c r="L444" s="29">
        <v>46320.041666666664</v>
      </c>
      <c r="M444" s="27">
        <v>2</v>
      </c>
    </row>
    <row r="445" spans="1:13">
      <c r="A445" s="1"/>
      <c r="B445" s="1"/>
      <c r="C445" s="1"/>
      <c r="D445" s="1"/>
      <c r="E445" s="1"/>
      <c r="F445" s="1"/>
      <c r="G445" s="1"/>
      <c r="H445" s="1"/>
      <c r="I445" s="1"/>
      <c r="J445" s="27" t="s">
        <v>586</v>
      </c>
      <c r="K445" s="29">
        <v>46320.041666666664</v>
      </c>
      <c r="L445" s="29">
        <v>46474.041666666664</v>
      </c>
      <c r="M445" s="27">
        <v>1</v>
      </c>
    </row>
    <row r="446" spans="1:13">
      <c r="A446" s="1"/>
      <c r="B446" s="1"/>
      <c r="C446" s="1"/>
      <c r="D446" s="1"/>
      <c r="E446" s="1"/>
      <c r="F446" s="1"/>
      <c r="G446" s="1"/>
      <c r="H446" s="1"/>
      <c r="I446" s="1"/>
      <c r="J446" s="27" t="s">
        <v>586</v>
      </c>
      <c r="K446" s="29">
        <v>46474.041666666664</v>
      </c>
      <c r="L446" s="29">
        <v>46691.041666666664</v>
      </c>
      <c r="M446" s="27">
        <v>2</v>
      </c>
    </row>
    <row r="447" spans="1:13">
      <c r="A447" s="1"/>
      <c r="B447" s="1"/>
      <c r="C447" s="1"/>
      <c r="D447" s="1"/>
      <c r="E447" s="1"/>
      <c r="F447" s="1"/>
      <c r="G447" s="1"/>
      <c r="H447" s="1"/>
      <c r="I447" s="1"/>
      <c r="J447" s="27" t="s">
        <v>586</v>
      </c>
      <c r="K447" s="29">
        <v>46691.041666666664</v>
      </c>
      <c r="L447" s="29">
        <v>46838.041666666664</v>
      </c>
      <c r="M447" s="27">
        <v>1</v>
      </c>
    </row>
    <row r="448" spans="1:13">
      <c r="A448" s="1"/>
      <c r="B448" s="1"/>
      <c r="C448" s="1"/>
      <c r="D448" s="1"/>
      <c r="E448" s="1"/>
      <c r="F448" s="1"/>
      <c r="G448" s="1"/>
      <c r="H448" s="1"/>
      <c r="I448" s="1"/>
      <c r="J448" s="27" t="s">
        <v>586</v>
      </c>
      <c r="K448" s="29">
        <v>46838.041666666664</v>
      </c>
      <c r="L448" s="29">
        <v>47055.041666666664</v>
      </c>
      <c r="M448" s="27">
        <v>2</v>
      </c>
    </row>
    <row r="449" spans="1:13">
      <c r="A449" s="1"/>
      <c r="B449" s="1"/>
      <c r="C449" s="1"/>
      <c r="D449" s="1"/>
      <c r="E449" s="1"/>
      <c r="F449" s="1"/>
      <c r="G449" s="1"/>
      <c r="H449" s="1"/>
      <c r="I449" s="1"/>
      <c r="J449" s="27" t="s">
        <v>586</v>
      </c>
      <c r="K449" s="29">
        <v>47055.041666666664</v>
      </c>
      <c r="L449" s="29">
        <v>47119</v>
      </c>
      <c r="M449" s="27">
        <v>1</v>
      </c>
    </row>
    <row r="450" spans="1:13">
      <c r="A450" s="1"/>
      <c r="B450" s="1"/>
      <c r="C450" s="1"/>
      <c r="D450" s="1"/>
      <c r="E450" s="1"/>
      <c r="F450" s="1"/>
      <c r="G450" s="1"/>
      <c r="H450" s="1"/>
      <c r="I450" s="1"/>
      <c r="J450" s="27" t="s">
        <v>589</v>
      </c>
      <c r="K450" s="29">
        <v>46023</v>
      </c>
      <c r="L450" s="29">
        <v>46089.291666666664</v>
      </c>
      <c r="M450" s="27">
        <v>-5</v>
      </c>
    </row>
    <row r="451" spans="1:13">
      <c r="A451" s="1"/>
      <c r="B451" s="1"/>
      <c r="C451" s="1"/>
      <c r="D451" s="1"/>
      <c r="E451" s="1"/>
      <c r="F451" s="1"/>
      <c r="G451" s="1"/>
      <c r="H451" s="1"/>
      <c r="I451" s="1"/>
      <c r="J451" s="27" t="s">
        <v>589</v>
      </c>
      <c r="K451" s="29">
        <v>46089.291666666664</v>
      </c>
      <c r="L451" s="29">
        <v>46327.25</v>
      </c>
      <c r="M451" s="27">
        <v>-4</v>
      </c>
    </row>
    <row r="452" spans="1:13">
      <c r="A452" s="1"/>
      <c r="B452" s="1"/>
      <c r="C452" s="1"/>
      <c r="D452" s="1"/>
      <c r="E452" s="1"/>
      <c r="F452" s="1"/>
      <c r="G452" s="1"/>
      <c r="H452" s="1"/>
      <c r="I452" s="1"/>
      <c r="J452" s="27" t="s">
        <v>589</v>
      </c>
      <c r="K452" s="29">
        <v>46327.25</v>
      </c>
      <c r="L452" s="29">
        <v>46460.291666666664</v>
      </c>
      <c r="M452" s="27">
        <v>-5</v>
      </c>
    </row>
    <row r="453" spans="1:13">
      <c r="A453" s="1"/>
      <c r="B453" s="1"/>
      <c r="C453" s="1"/>
      <c r="D453" s="1"/>
      <c r="E453" s="1"/>
      <c r="F453" s="1"/>
      <c r="G453" s="1"/>
      <c r="H453" s="1"/>
      <c r="I453" s="1"/>
      <c r="J453" s="27" t="s">
        <v>589</v>
      </c>
      <c r="K453" s="29">
        <v>46460.291666666664</v>
      </c>
      <c r="L453" s="29">
        <v>46698.25</v>
      </c>
      <c r="M453" s="27">
        <v>-4</v>
      </c>
    </row>
    <row r="454" spans="1:13">
      <c r="A454" s="1"/>
      <c r="B454" s="1"/>
      <c r="C454" s="1"/>
      <c r="D454" s="1"/>
      <c r="E454" s="1"/>
      <c r="F454" s="1"/>
      <c r="G454" s="1"/>
      <c r="H454" s="1"/>
      <c r="I454" s="1"/>
      <c r="J454" s="27" t="s">
        <v>589</v>
      </c>
      <c r="K454" s="29">
        <v>46698.25</v>
      </c>
      <c r="L454" s="29">
        <v>46824.291666666664</v>
      </c>
      <c r="M454" s="27">
        <v>-5</v>
      </c>
    </row>
    <row r="455" spans="1:13">
      <c r="A455" s="1"/>
      <c r="B455" s="1"/>
      <c r="C455" s="1"/>
      <c r="D455" s="1"/>
      <c r="E455" s="1"/>
      <c r="F455" s="1"/>
      <c r="G455" s="1"/>
      <c r="H455" s="1"/>
      <c r="I455" s="1"/>
      <c r="J455" s="27" t="s">
        <v>589</v>
      </c>
      <c r="K455" s="29">
        <v>46824.291666666664</v>
      </c>
      <c r="L455" s="29">
        <v>47062.25</v>
      </c>
      <c r="M455" s="27">
        <v>-4</v>
      </c>
    </row>
    <row r="456" spans="1:13">
      <c r="A456" s="1"/>
      <c r="B456" s="1"/>
      <c r="C456" s="1"/>
      <c r="D456" s="1"/>
      <c r="E456" s="1"/>
      <c r="F456" s="1"/>
      <c r="G456" s="1"/>
      <c r="H456" s="1"/>
      <c r="I456" s="1"/>
      <c r="J456" s="27" t="s">
        <v>589</v>
      </c>
      <c r="K456" s="29">
        <v>47062.25</v>
      </c>
      <c r="L456" s="29">
        <v>47119</v>
      </c>
      <c r="M456" s="27">
        <v>-5</v>
      </c>
    </row>
    <row r="457" spans="1:13">
      <c r="A457" s="1"/>
      <c r="B457" s="1"/>
      <c r="C457" s="1"/>
      <c r="D457" s="1"/>
      <c r="E457" s="1"/>
      <c r="F457" s="1"/>
      <c r="G457" s="1"/>
      <c r="H457" s="1"/>
      <c r="I457" s="1"/>
      <c r="J457" s="27" t="s">
        <v>593</v>
      </c>
      <c r="K457" s="29">
        <v>46023</v>
      </c>
      <c r="L457" s="29">
        <v>46110.041666666664</v>
      </c>
      <c r="M457" s="27">
        <v>0</v>
      </c>
    </row>
    <row r="458" spans="1:13">
      <c r="A458" s="1"/>
      <c r="B458" s="1"/>
      <c r="C458" s="1"/>
      <c r="D458" s="1"/>
      <c r="E458" s="1"/>
      <c r="F458" s="1"/>
      <c r="G458" s="1"/>
      <c r="H458" s="1"/>
      <c r="I458" s="1"/>
      <c r="J458" s="27" t="s">
        <v>593</v>
      </c>
      <c r="K458" s="29">
        <v>46110.041666666664</v>
      </c>
      <c r="L458" s="29">
        <v>46320.041666666664</v>
      </c>
      <c r="M458" s="27">
        <v>1</v>
      </c>
    </row>
    <row r="459" spans="1:13">
      <c r="A459" s="1"/>
      <c r="B459" s="1"/>
      <c r="C459" s="1"/>
      <c r="D459" s="1"/>
      <c r="E459" s="1"/>
      <c r="F459" s="1"/>
      <c r="G459" s="1"/>
      <c r="H459" s="1"/>
      <c r="I459" s="1"/>
      <c r="J459" s="27" t="s">
        <v>593</v>
      </c>
      <c r="K459" s="29">
        <v>46320.041666666664</v>
      </c>
      <c r="L459" s="29">
        <v>46474.041666666664</v>
      </c>
      <c r="M459" s="27">
        <v>0</v>
      </c>
    </row>
    <row r="460" spans="1:13">
      <c r="A460" s="1"/>
      <c r="B460" s="1"/>
      <c r="C460" s="1"/>
      <c r="D460" s="1"/>
      <c r="E460" s="1"/>
      <c r="F460" s="1"/>
      <c r="G460" s="1"/>
      <c r="H460" s="1"/>
      <c r="I460" s="1"/>
      <c r="J460" s="27" t="s">
        <v>593</v>
      </c>
      <c r="K460" s="29">
        <v>46474.041666666664</v>
      </c>
      <c r="L460" s="29">
        <v>46691.041666666664</v>
      </c>
      <c r="M460" s="27">
        <v>1</v>
      </c>
    </row>
    <row r="461" spans="1:13">
      <c r="A461" s="1"/>
      <c r="B461" s="1"/>
      <c r="C461" s="1"/>
      <c r="D461" s="1"/>
      <c r="E461" s="1"/>
      <c r="F461" s="1"/>
      <c r="G461" s="1"/>
      <c r="H461" s="1"/>
      <c r="I461" s="1"/>
      <c r="J461" s="27" t="s">
        <v>593</v>
      </c>
      <c r="K461" s="29">
        <v>46691.041666666664</v>
      </c>
      <c r="L461" s="29">
        <v>46838.041666666664</v>
      </c>
      <c r="M461" s="27">
        <v>0</v>
      </c>
    </row>
    <row r="462" spans="1:13">
      <c r="A462" s="1"/>
      <c r="B462" s="1"/>
      <c r="C462" s="1"/>
      <c r="D462" s="1"/>
      <c r="E462" s="1"/>
      <c r="F462" s="1"/>
      <c r="G462" s="1"/>
      <c r="H462" s="1"/>
      <c r="I462" s="1"/>
      <c r="J462" s="27" t="s">
        <v>593</v>
      </c>
      <c r="K462" s="29">
        <v>46838.041666666664</v>
      </c>
      <c r="L462" s="29">
        <v>47055.041666666664</v>
      </c>
      <c r="M462" s="27">
        <v>1</v>
      </c>
    </row>
    <row r="463" spans="1:13">
      <c r="A463" s="1"/>
      <c r="B463" s="1"/>
      <c r="C463" s="1"/>
      <c r="D463" s="1"/>
      <c r="E463" s="1"/>
      <c r="F463" s="1"/>
      <c r="G463" s="1"/>
      <c r="H463" s="1"/>
      <c r="I463" s="1"/>
      <c r="J463" s="27" t="s">
        <v>593</v>
      </c>
      <c r="K463" s="29">
        <v>47055.041666666664</v>
      </c>
      <c r="L463" s="29">
        <v>47119</v>
      </c>
      <c r="M463" s="27">
        <v>0</v>
      </c>
    </row>
    <row r="464" spans="1:13">
      <c r="A464" s="1"/>
      <c r="B464" s="1"/>
      <c r="C464" s="1"/>
      <c r="D464" s="1"/>
      <c r="E464" s="1"/>
      <c r="F464" s="1"/>
      <c r="G464" s="1"/>
      <c r="H464" s="1"/>
      <c r="I464" s="1"/>
      <c r="J464" s="27" t="s">
        <v>595</v>
      </c>
      <c r="K464" s="29">
        <v>46023</v>
      </c>
      <c r="L464" s="29">
        <v>47119</v>
      </c>
      <c r="M464" s="27">
        <v>-3</v>
      </c>
    </row>
    <row r="465" spans="1:13">
      <c r="A465" s="1"/>
      <c r="B465" s="1"/>
      <c r="C465" s="1"/>
      <c r="D465" s="1"/>
      <c r="E465" s="1"/>
      <c r="F465" s="1"/>
      <c r="G465" s="1"/>
      <c r="H465" s="1"/>
      <c r="I465" s="1"/>
      <c r="J465" s="27" t="s">
        <v>597</v>
      </c>
      <c r="K465" s="29">
        <v>46023</v>
      </c>
      <c r="L465" s="29">
        <v>46110.041666666664</v>
      </c>
      <c r="M465" s="27">
        <v>1</v>
      </c>
    </row>
    <row r="466" spans="1:13">
      <c r="A466" s="1"/>
      <c r="B466" s="1"/>
      <c r="C466" s="1"/>
      <c r="D466" s="1"/>
      <c r="E466" s="1"/>
      <c r="F466" s="1"/>
      <c r="G466" s="1"/>
      <c r="H466" s="1"/>
      <c r="I466" s="1"/>
      <c r="J466" s="27" t="s">
        <v>597</v>
      </c>
      <c r="K466" s="29">
        <v>46110.041666666664</v>
      </c>
      <c r="L466" s="29">
        <v>46320.041666666664</v>
      </c>
      <c r="M466" s="27">
        <v>2</v>
      </c>
    </row>
    <row r="467" spans="1:13">
      <c r="A467" s="1"/>
      <c r="B467" s="1"/>
      <c r="C467" s="1"/>
      <c r="D467" s="1"/>
      <c r="E467" s="1"/>
      <c r="F467" s="1"/>
      <c r="G467" s="1"/>
      <c r="H467" s="1"/>
      <c r="I467" s="1"/>
      <c r="J467" s="27" t="s">
        <v>597</v>
      </c>
      <c r="K467" s="29">
        <v>46320.041666666664</v>
      </c>
      <c r="L467" s="29">
        <v>46474.041666666664</v>
      </c>
      <c r="M467" s="27">
        <v>1</v>
      </c>
    </row>
    <row r="468" spans="1:13">
      <c r="A468" s="1"/>
      <c r="B468" s="1"/>
      <c r="C468" s="1"/>
      <c r="D468" s="1"/>
      <c r="E468" s="1"/>
      <c r="F468" s="1"/>
      <c r="G468" s="1"/>
      <c r="H468" s="1"/>
      <c r="I468" s="1"/>
      <c r="J468" s="27" t="s">
        <v>597</v>
      </c>
      <c r="K468" s="29">
        <v>46474.041666666664</v>
      </c>
      <c r="L468" s="29">
        <v>46691.041666666664</v>
      </c>
      <c r="M468" s="27">
        <v>2</v>
      </c>
    </row>
    <row r="469" spans="1:13">
      <c r="A469" s="1"/>
      <c r="B469" s="1"/>
      <c r="C469" s="1"/>
      <c r="D469" s="1"/>
      <c r="E469" s="1"/>
      <c r="F469" s="1"/>
      <c r="G469" s="1"/>
      <c r="H469" s="1"/>
      <c r="I469" s="1"/>
      <c r="J469" s="27" t="s">
        <v>597</v>
      </c>
      <c r="K469" s="29">
        <v>46691.041666666664</v>
      </c>
      <c r="L469" s="29">
        <v>46838.041666666664</v>
      </c>
      <c r="M469" s="27">
        <v>1</v>
      </c>
    </row>
    <row r="470" spans="1:13">
      <c r="A470" s="1"/>
      <c r="B470" s="1"/>
      <c r="C470" s="1"/>
      <c r="D470" s="1"/>
      <c r="E470" s="1"/>
      <c r="F470" s="1"/>
      <c r="G470" s="1"/>
      <c r="H470" s="1"/>
      <c r="I470" s="1"/>
      <c r="J470" s="27" t="s">
        <v>597</v>
      </c>
      <c r="K470" s="29">
        <v>46838.041666666664</v>
      </c>
      <c r="L470" s="29">
        <v>47055.041666666664</v>
      </c>
      <c r="M470" s="27">
        <v>2</v>
      </c>
    </row>
    <row r="471" spans="1:13">
      <c r="A471" s="1"/>
      <c r="B471" s="1"/>
      <c r="C471" s="1"/>
      <c r="D471" s="1"/>
      <c r="E471" s="1"/>
      <c r="F471" s="1"/>
      <c r="G471" s="1"/>
      <c r="H471" s="1"/>
      <c r="I471" s="1"/>
      <c r="J471" s="27" t="s">
        <v>597</v>
      </c>
      <c r="K471" s="29">
        <v>47055.041666666664</v>
      </c>
      <c r="L471" s="29">
        <v>47119</v>
      </c>
      <c r="M471" s="27">
        <v>1</v>
      </c>
    </row>
    <row r="472" spans="1:13">
      <c r="A472" s="1"/>
      <c r="B472" s="1"/>
      <c r="C472" s="1"/>
      <c r="D472" s="1"/>
      <c r="E472" s="1"/>
      <c r="F472" s="1"/>
      <c r="G472" s="1"/>
      <c r="H472" s="1"/>
      <c r="I472" s="1"/>
      <c r="J472" s="27" t="s">
        <v>599</v>
      </c>
      <c r="K472" s="29">
        <v>46023</v>
      </c>
      <c r="L472" s="29">
        <v>47119</v>
      </c>
      <c r="M472" s="27">
        <v>2</v>
      </c>
    </row>
    <row r="473" spans="1:13">
      <c r="A473" s="1"/>
      <c r="B473" s="1"/>
      <c r="C473" s="1"/>
      <c r="D473" s="1"/>
      <c r="E473" s="1"/>
      <c r="F473" s="1"/>
      <c r="G473" s="1"/>
      <c r="H473" s="1"/>
      <c r="I473" s="1"/>
      <c r="J473" s="27" t="s">
        <v>602</v>
      </c>
      <c r="K473" s="29">
        <v>46023</v>
      </c>
      <c r="L473" s="29">
        <v>47119</v>
      </c>
      <c r="M473" s="27">
        <v>9</v>
      </c>
    </row>
    <row r="474" spans="1:13">
      <c r="A474" s="1"/>
      <c r="B474" s="1"/>
      <c r="C474" s="1"/>
      <c r="D474" s="1"/>
      <c r="E474" s="1"/>
      <c r="F474" s="1"/>
      <c r="G474" s="1"/>
      <c r="H474" s="1"/>
      <c r="I474" s="1"/>
      <c r="J474" s="27" t="s">
        <v>606</v>
      </c>
      <c r="K474" s="29">
        <v>46023</v>
      </c>
      <c r="L474" s="29">
        <v>47119</v>
      </c>
      <c r="M474" s="27">
        <v>-5</v>
      </c>
    </row>
    <row r="475" spans="1:13">
      <c r="A475" s="1"/>
      <c r="B475" s="1"/>
      <c r="C475" s="1"/>
      <c r="D475" s="1"/>
      <c r="E475" s="1"/>
      <c r="F475" s="1"/>
      <c r="G475" s="1"/>
      <c r="H475" s="1"/>
      <c r="I475" s="1"/>
      <c r="J475" s="27" t="s">
        <v>609</v>
      </c>
      <c r="K475" s="29">
        <v>46023</v>
      </c>
      <c r="L475" s="29">
        <v>46103.083333333336</v>
      </c>
      <c r="M475" s="27">
        <v>0</v>
      </c>
    </row>
    <row r="476" spans="1:13">
      <c r="A476" s="1"/>
      <c r="B476" s="1"/>
      <c r="C476" s="1"/>
      <c r="D476" s="1"/>
      <c r="E476" s="1"/>
      <c r="F476" s="1"/>
      <c r="G476" s="1"/>
      <c r="H476" s="1"/>
      <c r="I476" s="1"/>
      <c r="J476" s="27" t="s">
        <v>609</v>
      </c>
      <c r="K476" s="29">
        <v>46103.083333333336</v>
      </c>
      <c r="L476" s="29">
        <v>46285.041666666664</v>
      </c>
      <c r="M476" s="27">
        <v>1</v>
      </c>
    </row>
    <row r="477" spans="1:13">
      <c r="A477" s="1"/>
      <c r="B477" s="1"/>
      <c r="C477" s="1"/>
      <c r="D477" s="1"/>
      <c r="E477" s="1"/>
      <c r="F477" s="1"/>
      <c r="G477" s="1"/>
      <c r="H477" s="1"/>
      <c r="I477" s="1"/>
      <c r="J477" s="27" t="s">
        <v>609</v>
      </c>
      <c r="K477" s="29">
        <v>46285.041666666664</v>
      </c>
      <c r="L477" s="29">
        <v>47119</v>
      </c>
      <c r="M477" s="27">
        <v>0</v>
      </c>
    </row>
    <row r="478" spans="1:13">
      <c r="A478" s="1"/>
      <c r="B478" s="1"/>
      <c r="C478" s="1"/>
      <c r="D478" s="1"/>
      <c r="E478" s="1"/>
      <c r="F478" s="1"/>
      <c r="G478" s="1"/>
      <c r="H478" s="1"/>
      <c r="I478" s="1"/>
      <c r="J478" s="27" t="s">
        <v>613</v>
      </c>
      <c r="K478" s="29">
        <v>46023</v>
      </c>
      <c r="L478" s="29">
        <v>47119</v>
      </c>
      <c r="M478" s="27">
        <v>-3</v>
      </c>
    </row>
    <row r="479" spans="1:13">
      <c r="A479" s="1"/>
      <c r="B479" s="1"/>
      <c r="C479" s="1"/>
      <c r="D479" s="1"/>
      <c r="E479" s="1"/>
      <c r="F479" s="1"/>
      <c r="G479" s="1"/>
      <c r="H479" s="1"/>
      <c r="I479" s="1"/>
      <c r="J479" s="27" t="s">
        <v>616</v>
      </c>
      <c r="K479" s="29">
        <v>46023</v>
      </c>
      <c r="L479" s="29">
        <v>47119</v>
      </c>
      <c r="M479" s="27">
        <v>0</v>
      </c>
    </row>
    <row r="480" spans="1:13">
      <c r="A480" s="1"/>
      <c r="B480" s="1"/>
      <c r="C480" s="1"/>
      <c r="D480" s="1"/>
      <c r="E480" s="1"/>
      <c r="F480" s="1"/>
      <c r="G480" s="1"/>
      <c r="H480" s="1"/>
      <c r="I480" s="1"/>
      <c r="J480" s="27" t="s">
        <v>619</v>
      </c>
      <c r="K480" s="29">
        <v>46023</v>
      </c>
      <c r="L480" s="29">
        <v>46110.041666666664</v>
      </c>
      <c r="M480" s="27">
        <v>2</v>
      </c>
    </row>
    <row r="481" spans="1:13">
      <c r="A481" s="1"/>
      <c r="B481" s="1"/>
      <c r="C481" s="1"/>
      <c r="D481" s="1"/>
      <c r="E481" s="1"/>
      <c r="F481" s="1"/>
      <c r="G481" s="1"/>
      <c r="H481" s="1"/>
      <c r="I481" s="1"/>
      <c r="J481" s="27" t="s">
        <v>619</v>
      </c>
      <c r="K481" s="29">
        <v>46110.041666666664</v>
      </c>
      <c r="L481" s="29">
        <v>46320.041666666664</v>
      </c>
      <c r="M481" s="27">
        <v>3</v>
      </c>
    </row>
    <row r="482" spans="1:13">
      <c r="A482" s="1"/>
      <c r="B482" s="1"/>
      <c r="C482" s="1"/>
      <c r="D482" s="1"/>
      <c r="E482" s="1"/>
      <c r="F482" s="1"/>
      <c r="G482" s="1"/>
      <c r="H482" s="1"/>
      <c r="I482" s="1"/>
      <c r="J482" s="27" t="s">
        <v>619</v>
      </c>
      <c r="K482" s="29">
        <v>46320.041666666664</v>
      </c>
      <c r="L482" s="29">
        <v>46474.041666666664</v>
      </c>
      <c r="M482" s="27">
        <v>2</v>
      </c>
    </row>
    <row r="483" spans="1:13">
      <c r="A483" s="1"/>
      <c r="B483" s="1"/>
      <c r="C483" s="1"/>
      <c r="D483" s="1"/>
      <c r="E483" s="1"/>
      <c r="F483" s="1"/>
      <c r="G483" s="1"/>
      <c r="H483" s="1"/>
      <c r="I483" s="1"/>
      <c r="J483" s="27" t="s">
        <v>619</v>
      </c>
      <c r="K483" s="29">
        <v>46474.041666666664</v>
      </c>
      <c r="L483" s="29">
        <v>46691.041666666664</v>
      </c>
      <c r="M483" s="27">
        <v>3</v>
      </c>
    </row>
    <row r="484" spans="1:13">
      <c r="A484" s="1"/>
      <c r="B484" s="1"/>
      <c r="C484" s="1"/>
      <c r="D484" s="1"/>
      <c r="E484" s="1"/>
      <c r="F484" s="1"/>
      <c r="G484" s="1"/>
      <c r="H484" s="1"/>
      <c r="I484" s="1"/>
      <c r="J484" s="27" t="s">
        <v>619</v>
      </c>
      <c r="K484" s="29">
        <v>46691.041666666664</v>
      </c>
      <c r="L484" s="29">
        <v>46838.041666666664</v>
      </c>
      <c r="M484" s="27">
        <v>2</v>
      </c>
    </row>
    <row r="485" spans="1:13">
      <c r="A485" s="1"/>
      <c r="B485" s="1"/>
      <c r="C485" s="1"/>
      <c r="D485" s="1"/>
      <c r="E485" s="1"/>
      <c r="F485" s="1"/>
      <c r="G485" s="1"/>
      <c r="H485" s="1"/>
      <c r="I485" s="1"/>
      <c r="J485" s="27" t="s">
        <v>619</v>
      </c>
      <c r="K485" s="29">
        <v>46838.041666666664</v>
      </c>
      <c r="L485" s="29">
        <v>47055.041666666664</v>
      </c>
      <c r="M485" s="27">
        <v>3</v>
      </c>
    </row>
    <row r="486" spans="1:13">
      <c r="A486" s="1"/>
      <c r="B486" s="1"/>
      <c r="C486" s="1"/>
      <c r="D486" s="1"/>
      <c r="E486" s="1"/>
      <c r="F486" s="1"/>
      <c r="G486" s="1"/>
      <c r="H486" s="1"/>
      <c r="I486" s="1"/>
      <c r="J486" s="27" t="s">
        <v>619</v>
      </c>
      <c r="K486" s="29">
        <v>47055.041666666664</v>
      </c>
      <c r="L486" s="29">
        <v>47119</v>
      </c>
      <c r="M486" s="27">
        <v>2</v>
      </c>
    </row>
    <row r="487" spans="1:13">
      <c r="A487" s="1"/>
      <c r="B487" s="1"/>
      <c r="C487" s="1"/>
      <c r="D487" s="1"/>
      <c r="E487" s="1"/>
      <c r="F487" s="1"/>
      <c r="G487" s="1"/>
      <c r="H487" s="1"/>
      <c r="I487" s="1"/>
      <c r="J487" s="27" t="s">
        <v>622</v>
      </c>
      <c r="K487" s="29">
        <v>46023</v>
      </c>
      <c r="L487" s="29">
        <v>47119</v>
      </c>
      <c r="M487" s="27">
        <v>-3</v>
      </c>
    </row>
    <row r="488" spans="1:13">
      <c r="A488" s="1"/>
      <c r="B488" s="1"/>
      <c r="C488" s="1"/>
      <c r="D488" s="1"/>
      <c r="E488" s="1"/>
      <c r="F488" s="1"/>
      <c r="G488" s="1"/>
      <c r="H488" s="1"/>
      <c r="I488" s="1"/>
      <c r="J488" s="27" t="s">
        <v>624</v>
      </c>
      <c r="K488" s="29">
        <v>46023</v>
      </c>
      <c r="L488" s="29">
        <v>47119</v>
      </c>
      <c r="M488" s="27">
        <v>3</v>
      </c>
    </row>
    <row r="489" spans="1:13">
      <c r="A489" s="1"/>
      <c r="B489" s="1"/>
      <c r="C489" s="1"/>
      <c r="D489" s="1"/>
      <c r="E489" s="1"/>
      <c r="F489" s="1"/>
      <c r="G489" s="1"/>
      <c r="H489" s="1"/>
      <c r="I489" s="1"/>
      <c r="J489" s="27" t="s">
        <v>35</v>
      </c>
      <c r="K489" s="29">
        <v>46023</v>
      </c>
      <c r="L489" s="29">
        <v>46110.041666666664</v>
      </c>
      <c r="M489" s="27">
        <v>1</v>
      </c>
    </row>
    <row r="490" spans="1:13">
      <c r="A490" s="1"/>
      <c r="B490" s="1"/>
      <c r="C490" s="1"/>
      <c r="D490" s="1"/>
      <c r="E490" s="1"/>
      <c r="F490" s="1"/>
      <c r="G490" s="1"/>
      <c r="H490" s="1"/>
      <c r="I490" s="1"/>
      <c r="J490" s="27" t="s">
        <v>35</v>
      </c>
      <c r="K490" s="29">
        <v>46110.041666666664</v>
      </c>
      <c r="L490" s="29">
        <v>46320.041666666664</v>
      </c>
      <c r="M490" s="27">
        <v>2</v>
      </c>
    </row>
    <row r="491" spans="1:13">
      <c r="A491" s="1"/>
      <c r="B491" s="1"/>
      <c r="C491" s="1"/>
      <c r="D491" s="1"/>
      <c r="E491" s="1"/>
      <c r="F491" s="1"/>
      <c r="G491" s="1"/>
      <c r="H491" s="1"/>
      <c r="I491" s="1"/>
      <c r="J491" s="27" t="s">
        <v>35</v>
      </c>
      <c r="K491" s="29">
        <v>46320.041666666664</v>
      </c>
      <c r="L491" s="29">
        <v>46474.041666666664</v>
      </c>
      <c r="M491" s="27">
        <v>1</v>
      </c>
    </row>
    <row r="492" spans="1:13">
      <c r="A492" s="1"/>
      <c r="B492" s="1"/>
      <c r="C492" s="1"/>
      <c r="D492" s="1"/>
      <c r="E492" s="1"/>
      <c r="F492" s="1"/>
      <c r="G492" s="1"/>
      <c r="H492" s="1"/>
      <c r="I492" s="1"/>
      <c r="J492" s="27" t="s">
        <v>35</v>
      </c>
      <c r="K492" s="29">
        <v>46474.041666666664</v>
      </c>
      <c r="L492" s="29">
        <v>46691.041666666664</v>
      </c>
      <c r="M492" s="27">
        <v>2</v>
      </c>
    </row>
    <row r="493" spans="1:13">
      <c r="A493" s="1"/>
      <c r="B493" s="1"/>
      <c r="C493" s="1"/>
      <c r="D493" s="1"/>
      <c r="E493" s="1"/>
      <c r="F493" s="1"/>
      <c r="G493" s="1"/>
      <c r="H493" s="1"/>
      <c r="I493" s="1"/>
      <c r="J493" s="27" t="s">
        <v>35</v>
      </c>
      <c r="K493" s="29">
        <v>46691.041666666664</v>
      </c>
      <c r="L493" s="29">
        <v>46838.041666666664</v>
      </c>
      <c r="M493" s="27">
        <v>1</v>
      </c>
    </row>
    <row r="494" spans="1:13">
      <c r="A494" s="1"/>
      <c r="B494" s="1"/>
      <c r="C494" s="1"/>
      <c r="D494" s="1"/>
      <c r="E494" s="1"/>
      <c r="F494" s="1"/>
      <c r="G494" s="1"/>
      <c r="H494" s="1"/>
      <c r="I494" s="1"/>
      <c r="J494" s="27" t="s">
        <v>35</v>
      </c>
      <c r="K494" s="29">
        <v>46838.041666666664</v>
      </c>
      <c r="L494" s="29">
        <v>47055.041666666664</v>
      </c>
      <c r="M494" s="27">
        <v>2</v>
      </c>
    </row>
    <row r="495" spans="1:13">
      <c r="A495" s="1"/>
      <c r="B495" s="1"/>
      <c r="C495" s="1"/>
      <c r="D495" s="1"/>
      <c r="E495" s="1"/>
      <c r="F495" s="1"/>
      <c r="G495" s="1"/>
      <c r="H495" s="1"/>
      <c r="I495" s="1"/>
      <c r="J495" s="27" t="s">
        <v>35</v>
      </c>
      <c r="K495" s="29">
        <v>47055.041666666664</v>
      </c>
      <c r="L495" s="29">
        <v>47119</v>
      </c>
      <c r="M495" s="27">
        <v>1</v>
      </c>
    </row>
    <row r="496" spans="1:13">
      <c r="A496" s="1"/>
      <c r="B496" s="1"/>
      <c r="C496" s="1"/>
      <c r="D496" s="1"/>
      <c r="E496" s="1"/>
      <c r="F496" s="1"/>
      <c r="G496" s="1"/>
      <c r="H496" s="1"/>
      <c r="I496" s="1"/>
      <c r="J496" s="27" t="s">
        <v>628</v>
      </c>
      <c r="K496" s="29">
        <v>46023</v>
      </c>
      <c r="L496" s="29">
        <v>47119</v>
      </c>
      <c r="M496" s="27">
        <v>-3</v>
      </c>
    </row>
    <row r="497" spans="1:13">
      <c r="A497" s="1"/>
      <c r="B497" s="1"/>
      <c r="C497" s="1"/>
      <c r="D497" s="1"/>
      <c r="E497" s="1"/>
      <c r="F497" s="1"/>
      <c r="G497" s="1"/>
      <c r="H497" s="1"/>
      <c r="I497" s="1"/>
      <c r="J497" s="27" t="s">
        <v>630</v>
      </c>
      <c r="K497" s="29">
        <v>46023</v>
      </c>
      <c r="L497" s="29">
        <v>47119</v>
      </c>
      <c r="M497" s="27">
        <v>3</v>
      </c>
    </row>
    <row r="498" spans="1:13">
      <c r="A498" s="1"/>
      <c r="B498" s="1"/>
      <c r="C498" s="1"/>
      <c r="D498" s="1"/>
      <c r="E498" s="1"/>
      <c r="F498" s="1"/>
      <c r="G498" s="1"/>
      <c r="H498" s="1"/>
      <c r="I498" s="1"/>
      <c r="J498" s="27" t="s">
        <v>632</v>
      </c>
      <c r="K498" s="29">
        <v>46023</v>
      </c>
      <c r="L498" s="29">
        <v>47119</v>
      </c>
      <c r="M498" s="27">
        <v>-3</v>
      </c>
    </row>
    <row r="499" spans="1:13">
      <c r="A499" s="1"/>
      <c r="B499" s="1"/>
      <c r="C499" s="1"/>
      <c r="D499" s="1"/>
      <c r="E499" s="1"/>
      <c r="F499" s="1"/>
      <c r="G499" s="1"/>
      <c r="H499" s="1"/>
      <c r="I499" s="1"/>
      <c r="J499" s="27" t="s">
        <v>636</v>
      </c>
      <c r="K499" s="29">
        <v>46023</v>
      </c>
      <c r="L499" s="29">
        <v>47119</v>
      </c>
      <c r="M499" s="27">
        <v>4</v>
      </c>
    </row>
    <row r="500" spans="1:13">
      <c r="A500" s="1"/>
      <c r="B500" s="1"/>
      <c r="C500" s="1"/>
      <c r="D500" s="1"/>
      <c r="E500" s="1"/>
      <c r="F500" s="1"/>
      <c r="G500" s="1"/>
      <c r="H500" s="1"/>
      <c r="I500" s="1"/>
      <c r="J500" s="27" t="s">
        <v>640</v>
      </c>
      <c r="K500" s="29">
        <v>46023</v>
      </c>
      <c r="L500" s="29">
        <v>46089.333333333336</v>
      </c>
      <c r="M500" s="27">
        <v>-6</v>
      </c>
    </row>
    <row r="501" spans="1:13">
      <c r="A501" s="1"/>
      <c r="B501" s="1"/>
      <c r="C501" s="1"/>
      <c r="D501" s="1"/>
      <c r="E501" s="1"/>
      <c r="F501" s="1"/>
      <c r="G501" s="1"/>
      <c r="H501" s="1"/>
      <c r="I501" s="1"/>
      <c r="J501" s="27" t="s">
        <v>640</v>
      </c>
      <c r="K501" s="29">
        <v>46089.333333333336</v>
      </c>
      <c r="L501" s="29">
        <v>46327.291666666664</v>
      </c>
      <c r="M501" s="27">
        <v>-5</v>
      </c>
    </row>
    <row r="502" spans="1:13">
      <c r="A502" s="1"/>
      <c r="B502" s="1"/>
      <c r="C502" s="1"/>
      <c r="D502" s="1"/>
      <c r="E502" s="1"/>
      <c r="F502" s="1"/>
      <c r="G502" s="1"/>
      <c r="H502" s="1"/>
      <c r="I502" s="1"/>
      <c r="J502" s="27" t="s">
        <v>640</v>
      </c>
      <c r="K502" s="29">
        <v>46327.291666666664</v>
      </c>
      <c r="L502" s="29">
        <v>46460.333333333336</v>
      </c>
      <c r="M502" s="27">
        <v>-6</v>
      </c>
    </row>
    <row r="503" spans="1:13">
      <c r="A503" s="1"/>
      <c r="B503" s="1"/>
      <c r="C503" s="1"/>
      <c r="D503" s="1"/>
      <c r="E503" s="1"/>
      <c r="F503" s="1"/>
      <c r="G503" s="1"/>
      <c r="H503" s="1"/>
      <c r="I503" s="1"/>
      <c r="J503" s="27" t="s">
        <v>640</v>
      </c>
      <c r="K503" s="29">
        <v>46460.333333333336</v>
      </c>
      <c r="L503" s="29">
        <v>46698.291666666664</v>
      </c>
      <c r="M503" s="27">
        <v>-5</v>
      </c>
    </row>
    <row r="504" spans="1:13">
      <c r="A504" s="1"/>
      <c r="B504" s="1"/>
      <c r="C504" s="1"/>
      <c r="D504" s="1"/>
      <c r="E504" s="1"/>
      <c r="F504" s="1"/>
      <c r="G504" s="1"/>
      <c r="H504" s="1"/>
      <c r="I504" s="1"/>
      <c r="J504" s="27" t="s">
        <v>640</v>
      </c>
      <c r="K504" s="29">
        <v>46698.291666666664</v>
      </c>
      <c r="L504" s="29">
        <v>46824.333333333336</v>
      </c>
      <c r="M504" s="27">
        <v>-6</v>
      </c>
    </row>
    <row r="505" spans="1:13">
      <c r="A505" s="1"/>
      <c r="B505" s="1"/>
      <c r="C505" s="1"/>
      <c r="D505" s="1"/>
      <c r="E505" s="1"/>
      <c r="F505" s="1"/>
      <c r="G505" s="1"/>
      <c r="H505" s="1"/>
      <c r="I505" s="1"/>
      <c r="J505" s="27" t="s">
        <v>640</v>
      </c>
      <c r="K505" s="29">
        <v>46824.333333333336</v>
      </c>
      <c r="L505" s="29">
        <v>47062.291666666664</v>
      </c>
      <c r="M505" s="27">
        <v>-5</v>
      </c>
    </row>
    <row r="506" spans="1:13">
      <c r="A506" s="1"/>
      <c r="B506" s="1"/>
      <c r="C506" s="1"/>
      <c r="D506" s="1"/>
      <c r="E506" s="1"/>
      <c r="F506" s="1"/>
      <c r="G506" s="1"/>
      <c r="H506" s="1"/>
      <c r="I506" s="1"/>
      <c r="J506" s="27" t="s">
        <v>640</v>
      </c>
      <c r="K506" s="29">
        <v>47062.291666666664</v>
      </c>
      <c r="L506" s="29">
        <v>47119</v>
      </c>
      <c r="M506" s="27">
        <v>-6</v>
      </c>
    </row>
    <row r="507" spans="1:13">
      <c r="A507" s="1"/>
      <c r="B507" s="1"/>
      <c r="C507" s="1"/>
      <c r="D507" s="1"/>
      <c r="E507" s="1"/>
      <c r="F507" s="1"/>
      <c r="G507" s="1"/>
      <c r="H507" s="1"/>
      <c r="I507" s="1"/>
      <c r="J507" s="27" t="s">
        <v>642</v>
      </c>
      <c r="K507" s="29">
        <v>46023</v>
      </c>
      <c r="L507" s="29">
        <v>46089.416666666664</v>
      </c>
      <c r="M507" s="27">
        <v>-8</v>
      </c>
    </row>
    <row r="508" spans="1:13">
      <c r="A508" s="1"/>
      <c r="B508" s="1"/>
      <c r="C508" s="1"/>
      <c r="D508" s="1"/>
      <c r="E508" s="1"/>
      <c r="F508" s="1"/>
      <c r="G508" s="1"/>
      <c r="H508" s="1"/>
      <c r="I508" s="1"/>
      <c r="J508" s="27" t="s">
        <v>642</v>
      </c>
      <c r="K508" s="29">
        <v>46089.416666666664</v>
      </c>
      <c r="L508" s="29">
        <v>46327.375</v>
      </c>
      <c r="M508" s="27">
        <v>-7</v>
      </c>
    </row>
    <row r="509" spans="1:13">
      <c r="A509" s="1"/>
      <c r="B509" s="1"/>
      <c r="C509" s="1"/>
      <c r="D509" s="1"/>
      <c r="E509" s="1"/>
      <c r="F509" s="1"/>
      <c r="G509" s="1"/>
      <c r="H509" s="1"/>
      <c r="I509" s="1"/>
      <c r="J509" s="27" t="s">
        <v>642</v>
      </c>
      <c r="K509" s="29">
        <v>46327.375</v>
      </c>
      <c r="L509" s="29">
        <v>46460.416666666664</v>
      </c>
      <c r="M509" s="27">
        <v>-8</v>
      </c>
    </row>
    <row r="510" spans="1:13">
      <c r="A510" s="1"/>
      <c r="B510" s="1"/>
      <c r="C510" s="1"/>
      <c r="D510" s="1"/>
      <c r="E510" s="1"/>
      <c r="F510" s="1"/>
      <c r="G510" s="1"/>
      <c r="H510" s="1"/>
      <c r="I510" s="1"/>
      <c r="J510" s="27" t="s">
        <v>642</v>
      </c>
      <c r="K510" s="29">
        <v>46460.416666666664</v>
      </c>
      <c r="L510" s="29">
        <v>46698.375</v>
      </c>
      <c r="M510" s="27">
        <v>-7</v>
      </c>
    </row>
    <row r="511" spans="1:13">
      <c r="A511" s="1"/>
      <c r="B511" s="1"/>
      <c r="C511" s="1"/>
      <c r="D511" s="1"/>
      <c r="E511" s="1"/>
      <c r="F511" s="1"/>
      <c r="G511" s="1"/>
      <c r="H511" s="1"/>
      <c r="I511" s="1"/>
      <c r="J511" s="27" t="s">
        <v>642</v>
      </c>
      <c r="K511" s="29">
        <v>46698.375</v>
      </c>
      <c r="L511" s="29">
        <v>46824.416666666664</v>
      </c>
      <c r="M511" s="27">
        <v>-8</v>
      </c>
    </row>
    <row r="512" spans="1:13">
      <c r="A512" s="1"/>
      <c r="B512" s="1"/>
      <c r="C512" s="1"/>
      <c r="D512" s="1"/>
      <c r="E512" s="1"/>
      <c r="F512" s="1"/>
      <c r="G512" s="1"/>
      <c r="H512" s="1"/>
      <c r="I512" s="1"/>
      <c r="J512" s="27" t="s">
        <v>642</v>
      </c>
      <c r="K512" s="29">
        <v>46824.416666666664</v>
      </c>
      <c r="L512" s="29">
        <v>47062.375</v>
      </c>
      <c r="M512" s="27">
        <v>-7</v>
      </c>
    </row>
    <row r="513" spans="1:13">
      <c r="A513" s="1"/>
      <c r="B513" s="1"/>
      <c r="C513" s="1"/>
      <c r="D513" s="1"/>
      <c r="E513" s="1"/>
      <c r="F513" s="1"/>
      <c r="G513" s="1"/>
      <c r="H513" s="1"/>
      <c r="I513" s="1"/>
      <c r="J513" s="27" t="s">
        <v>642</v>
      </c>
      <c r="K513" s="29">
        <v>47062.375</v>
      </c>
      <c r="L513" s="29">
        <v>47119</v>
      </c>
      <c r="M513" s="27">
        <v>-8</v>
      </c>
    </row>
    <row r="514" spans="1:13">
      <c r="A514" s="1"/>
      <c r="B514" s="1"/>
      <c r="C514" s="1"/>
      <c r="D514" s="1"/>
      <c r="E514" s="1"/>
      <c r="F514" s="1"/>
      <c r="G514" s="1"/>
      <c r="H514" s="1"/>
      <c r="I514" s="1"/>
      <c r="J514" s="27" t="s">
        <v>644</v>
      </c>
      <c r="K514" s="29">
        <v>46023</v>
      </c>
      <c r="L514" s="29">
        <v>46089.416666666664</v>
      </c>
      <c r="M514" s="27">
        <v>-8</v>
      </c>
    </row>
    <row r="515" spans="1:13">
      <c r="A515" s="1"/>
      <c r="B515" s="1"/>
      <c r="C515" s="1"/>
      <c r="D515" s="1"/>
      <c r="E515" s="1"/>
      <c r="F515" s="1"/>
      <c r="G515" s="1"/>
      <c r="H515" s="1"/>
      <c r="I515" s="1"/>
      <c r="J515" s="27" t="s">
        <v>644</v>
      </c>
      <c r="K515" s="29">
        <v>46089.416666666664</v>
      </c>
      <c r="L515" s="29">
        <v>46327.375</v>
      </c>
      <c r="M515" s="27">
        <v>-7</v>
      </c>
    </row>
    <row r="516" spans="1:13">
      <c r="A516" s="1"/>
      <c r="B516" s="1"/>
      <c r="C516" s="1"/>
      <c r="D516" s="1"/>
      <c r="E516" s="1"/>
      <c r="F516" s="1"/>
      <c r="G516" s="1"/>
      <c r="H516" s="1"/>
      <c r="I516" s="1"/>
      <c r="J516" s="27" t="s">
        <v>644</v>
      </c>
      <c r="K516" s="29">
        <v>46327.375</v>
      </c>
      <c r="L516" s="29">
        <v>46460.416666666664</v>
      </c>
      <c r="M516" s="27">
        <v>-8</v>
      </c>
    </row>
    <row r="517" spans="1:13">
      <c r="A517" s="1"/>
      <c r="B517" s="1"/>
      <c r="C517" s="1"/>
      <c r="D517" s="1"/>
      <c r="E517" s="1"/>
      <c r="F517" s="1"/>
      <c r="G517" s="1"/>
      <c r="H517" s="1"/>
      <c r="I517" s="1"/>
      <c r="J517" s="27" t="s">
        <v>644</v>
      </c>
      <c r="K517" s="29">
        <v>46460.416666666664</v>
      </c>
      <c r="L517" s="29">
        <v>46698.375</v>
      </c>
      <c r="M517" s="27">
        <v>-7</v>
      </c>
    </row>
    <row r="518" spans="1:13">
      <c r="A518" s="1"/>
      <c r="B518" s="1"/>
      <c r="C518" s="1"/>
      <c r="D518" s="1"/>
      <c r="E518" s="1"/>
      <c r="F518" s="1"/>
      <c r="G518" s="1"/>
      <c r="H518" s="1"/>
      <c r="I518" s="1"/>
      <c r="J518" s="27" t="s">
        <v>644</v>
      </c>
      <c r="K518" s="29">
        <v>46698.375</v>
      </c>
      <c r="L518" s="29">
        <v>46824.416666666664</v>
      </c>
      <c r="M518" s="27">
        <v>-8</v>
      </c>
    </row>
    <row r="519" spans="1:13">
      <c r="A519" s="1"/>
      <c r="B519" s="1"/>
      <c r="C519" s="1"/>
      <c r="D519" s="1"/>
      <c r="E519" s="1"/>
      <c r="F519" s="1"/>
      <c r="G519" s="1"/>
      <c r="H519" s="1"/>
      <c r="I519" s="1"/>
      <c r="J519" s="27" t="s">
        <v>644</v>
      </c>
      <c r="K519" s="29">
        <v>46824.416666666664</v>
      </c>
      <c r="L519" s="29">
        <v>47062.375</v>
      </c>
      <c r="M519" s="27">
        <v>-7</v>
      </c>
    </row>
    <row r="520" spans="1:13">
      <c r="A520" s="1"/>
      <c r="B520" s="1"/>
      <c r="C520" s="1"/>
      <c r="D520" s="1"/>
      <c r="E520" s="1"/>
      <c r="F520" s="1"/>
      <c r="G520" s="1"/>
      <c r="H520" s="1"/>
      <c r="I520" s="1"/>
      <c r="J520" s="27" t="s">
        <v>644</v>
      </c>
      <c r="K520" s="29">
        <v>47062.375</v>
      </c>
      <c r="L520" s="29">
        <v>47119</v>
      </c>
      <c r="M520" s="27">
        <v>-8</v>
      </c>
    </row>
    <row r="521" spans="1:13">
      <c r="A521" s="1"/>
      <c r="B521" s="1"/>
      <c r="C521" s="1"/>
      <c r="D521" s="1"/>
      <c r="E521" s="1"/>
      <c r="F521" s="1"/>
      <c r="G521" s="1"/>
      <c r="H521" s="1"/>
      <c r="I521" s="1"/>
      <c r="J521" s="27" t="s">
        <v>646</v>
      </c>
      <c r="K521" s="29">
        <v>46023</v>
      </c>
      <c r="L521" s="29">
        <v>46110.041666666664</v>
      </c>
      <c r="M521" s="27">
        <v>1</v>
      </c>
    </row>
    <row r="522" spans="1:13">
      <c r="A522" s="1"/>
      <c r="B522" s="1"/>
      <c r="C522" s="1"/>
      <c r="D522" s="1"/>
      <c r="E522" s="1"/>
      <c r="F522" s="1"/>
      <c r="G522" s="1"/>
      <c r="H522" s="1"/>
      <c r="I522" s="1"/>
      <c r="J522" s="27" t="s">
        <v>646</v>
      </c>
      <c r="K522" s="29">
        <v>46110.041666666664</v>
      </c>
      <c r="L522" s="29">
        <v>46320.041666666664</v>
      </c>
      <c r="M522" s="27">
        <v>2</v>
      </c>
    </row>
    <row r="523" spans="1:13">
      <c r="A523" s="1"/>
      <c r="B523" s="1"/>
      <c r="C523" s="1"/>
      <c r="D523" s="1"/>
      <c r="E523" s="1"/>
      <c r="F523" s="1"/>
      <c r="G523" s="1"/>
      <c r="H523" s="1"/>
      <c r="I523" s="1"/>
      <c r="J523" s="27" t="s">
        <v>646</v>
      </c>
      <c r="K523" s="29">
        <v>46320.041666666664</v>
      </c>
      <c r="L523" s="29">
        <v>46474.041666666664</v>
      </c>
      <c r="M523" s="27">
        <v>1</v>
      </c>
    </row>
    <row r="524" spans="1:13">
      <c r="A524" s="1"/>
      <c r="B524" s="1"/>
      <c r="C524" s="1"/>
      <c r="D524" s="1"/>
      <c r="E524" s="1"/>
      <c r="F524" s="1"/>
      <c r="G524" s="1"/>
      <c r="H524" s="1"/>
      <c r="I524" s="1"/>
      <c r="J524" s="27" t="s">
        <v>646</v>
      </c>
      <c r="K524" s="29">
        <v>46474.041666666664</v>
      </c>
      <c r="L524" s="29">
        <v>46691.041666666664</v>
      </c>
      <c r="M524" s="27">
        <v>2</v>
      </c>
    </row>
    <row r="525" spans="1:13">
      <c r="A525" s="1"/>
      <c r="B525" s="1"/>
      <c r="C525" s="1"/>
      <c r="D525" s="1"/>
      <c r="E525" s="1"/>
      <c r="F525" s="1"/>
      <c r="G525" s="1"/>
      <c r="H525" s="1"/>
      <c r="I525" s="1"/>
      <c r="J525" s="27" t="s">
        <v>646</v>
      </c>
      <c r="K525" s="29">
        <v>46691.041666666664</v>
      </c>
      <c r="L525" s="29">
        <v>46838.041666666664</v>
      </c>
      <c r="M525" s="27">
        <v>1</v>
      </c>
    </row>
    <row r="526" spans="1:13">
      <c r="A526" s="1"/>
      <c r="B526" s="1"/>
      <c r="C526" s="1"/>
      <c r="D526" s="1"/>
      <c r="E526" s="1"/>
      <c r="F526" s="1"/>
      <c r="G526" s="1"/>
      <c r="H526" s="1"/>
      <c r="I526" s="1"/>
      <c r="J526" s="27" t="s">
        <v>646</v>
      </c>
      <c r="K526" s="29">
        <v>46838.041666666664</v>
      </c>
      <c r="L526" s="29">
        <v>47055.041666666664</v>
      </c>
      <c r="M526" s="27">
        <v>2</v>
      </c>
    </row>
    <row r="527" spans="1:13">
      <c r="A527" s="1"/>
      <c r="B527" s="1"/>
      <c r="C527" s="1"/>
      <c r="D527" s="1"/>
      <c r="E527" s="1"/>
      <c r="F527" s="1"/>
      <c r="G527" s="1"/>
      <c r="H527" s="1"/>
      <c r="I527" s="1"/>
      <c r="J527" s="27" t="s">
        <v>646</v>
      </c>
      <c r="K527" s="29">
        <v>47055.041666666664</v>
      </c>
      <c r="L527" s="29">
        <v>47119</v>
      </c>
      <c r="M527" s="27">
        <v>1</v>
      </c>
    </row>
    <row r="528" spans="1:13">
      <c r="A528" s="1"/>
      <c r="B528" s="1"/>
      <c r="C528" s="1"/>
      <c r="D528" s="1"/>
      <c r="E528" s="1"/>
      <c r="F528" s="1"/>
      <c r="G528" s="1"/>
      <c r="H528" s="1"/>
      <c r="I528" s="1"/>
      <c r="J528" s="27" t="s">
        <v>649</v>
      </c>
      <c r="K528" s="29">
        <v>46023</v>
      </c>
      <c r="L528" s="29">
        <v>47119</v>
      </c>
      <c r="M528" s="27">
        <v>3</v>
      </c>
    </row>
    <row r="529" spans="1:13">
      <c r="A529" s="1"/>
      <c r="B529" s="1"/>
      <c r="C529" s="1"/>
      <c r="D529" s="1"/>
      <c r="E529" s="1"/>
      <c r="F529" s="1"/>
      <c r="G529" s="1"/>
      <c r="H529" s="1"/>
      <c r="I529" s="1"/>
      <c r="J529" s="27" t="s">
        <v>652</v>
      </c>
      <c r="K529" s="29">
        <v>46023</v>
      </c>
      <c r="L529" s="29">
        <v>46117.125</v>
      </c>
      <c r="M529" s="27">
        <v>-3</v>
      </c>
    </row>
    <row r="530" spans="1:13">
      <c r="A530" s="1"/>
      <c r="B530" s="1"/>
      <c r="C530" s="1"/>
      <c r="D530" s="1"/>
      <c r="E530" s="1"/>
      <c r="F530" s="1"/>
      <c r="G530" s="1"/>
      <c r="H530" s="1"/>
      <c r="I530" s="1"/>
      <c r="J530" s="27" t="s">
        <v>652</v>
      </c>
      <c r="K530" s="29">
        <v>46117.125</v>
      </c>
      <c r="L530" s="29">
        <v>46271.166666666664</v>
      </c>
      <c r="M530" s="27">
        <v>-4</v>
      </c>
    </row>
    <row r="531" spans="1:13">
      <c r="A531" s="1"/>
      <c r="B531" s="1"/>
      <c r="C531" s="1"/>
      <c r="D531" s="1"/>
      <c r="E531" s="1"/>
      <c r="F531" s="1"/>
      <c r="G531" s="1"/>
      <c r="H531" s="1"/>
      <c r="I531" s="1"/>
      <c r="J531" s="27" t="s">
        <v>652</v>
      </c>
      <c r="K531" s="29">
        <v>46271.166666666664</v>
      </c>
      <c r="L531" s="29">
        <v>46481.125</v>
      </c>
      <c r="M531" s="27">
        <v>-3</v>
      </c>
    </row>
    <row r="532" spans="1:13">
      <c r="A532" s="1"/>
      <c r="B532" s="1"/>
      <c r="C532" s="1"/>
      <c r="D532" s="1"/>
      <c r="E532" s="1"/>
      <c r="F532" s="1"/>
      <c r="G532" s="1"/>
      <c r="H532" s="1"/>
      <c r="I532" s="1"/>
      <c r="J532" s="27" t="s">
        <v>652</v>
      </c>
      <c r="K532" s="29">
        <v>46481.125</v>
      </c>
      <c r="L532" s="29">
        <v>46635.166666666664</v>
      </c>
      <c r="M532" s="27">
        <v>-4</v>
      </c>
    </row>
    <row r="533" spans="1:13">
      <c r="A533" s="1"/>
      <c r="B533" s="1"/>
      <c r="C533" s="1"/>
      <c r="D533" s="1"/>
      <c r="E533" s="1"/>
      <c r="F533" s="1"/>
      <c r="G533" s="1"/>
      <c r="H533" s="1"/>
      <c r="I533" s="1"/>
      <c r="J533" s="27" t="s">
        <v>652</v>
      </c>
      <c r="K533" s="29">
        <v>46635.166666666664</v>
      </c>
      <c r="L533" s="29">
        <v>46845.125</v>
      </c>
      <c r="M533" s="27">
        <v>-3</v>
      </c>
    </row>
    <row r="534" spans="1:13">
      <c r="A534" s="1"/>
      <c r="B534" s="1"/>
      <c r="C534" s="1"/>
      <c r="D534" s="1"/>
      <c r="E534" s="1"/>
      <c r="F534" s="1"/>
      <c r="G534" s="1"/>
      <c r="H534" s="1"/>
      <c r="I534" s="1"/>
      <c r="J534" s="27" t="s">
        <v>652</v>
      </c>
      <c r="K534" s="29">
        <v>46845.125</v>
      </c>
      <c r="L534" s="29">
        <v>46999.166666666664</v>
      </c>
      <c r="M534" s="27">
        <v>-4</v>
      </c>
    </row>
    <row r="535" spans="1:13">
      <c r="A535" s="1"/>
      <c r="B535" s="1"/>
      <c r="C535" s="1"/>
      <c r="D535" s="1"/>
      <c r="E535" s="1"/>
      <c r="F535" s="1"/>
      <c r="G535" s="1"/>
      <c r="H535" s="1"/>
      <c r="I535" s="1"/>
      <c r="J535" s="27" t="s">
        <v>652</v>
      </c>
      <c r="K535" s="29">
        <v>46999.166666666664</v>
      </c>
      <c r="L535" s="29">
        <v>47119</v>
      </c>
      <c r="M535" s="27">
        <v>-3</v>
      </c>
    </row>
    <row r="536" spans="1:13">
      <c r="A536" s="1"/>
      <c r="B536" s="1"/>
      <c r="C536" s="1"/>
      <c r="D536" s="1"/>
      <c r="E536" s="1"/>
      <c r="F536" s="1"/>
      <c r="G536" s="1"/>
      <c r="H536" s="1"/>
      <c r="I536" s="1"/>
      <c r="J536" s="27" t="s">
        <v>656</v>
      </c>
      <c r="K536" s="29">
        <v>46023</v>
      </c>
      <c r="L536" s="29">
        <v>47119</v>
      </c>
      <c r="M536" s="27">
        <v>-4</v>
      </c>
    </row>
    <row r="537" spans="1:13">
      <c r="A537" s="1"/>
      <c r="B537" s="1"/>
      <c r="C537" s="1"/>
      <c r="D537" s="1"/>
      <c r="E537" s="1"/>
      <c r="F537" s="1"/>
      <c r="G537" s="1"/>
      <c r="H537" s="1"/>
      <c r="I537" s="1"/>
      <c r="J537" s="27" t="s">
        <v>688</v>
      </c>
      <c r="K537" s="29">
        <v>46023</v>
      </c>
      <c r="L537" s="29">
        <v>47119</v>
      </c>
      <c r="M537" s="27">
        <v>-3</v>
      </c>
    </row>
    <row r="538" spans="1:13">
      <c r="A538" s="1"/>
      <c r="B538" s="1"/>
      <c r="C538" s="1"/>
      <c r="D538" s="1"/>
      <c r="E538" s="1"/>
      <c r="F538" s="1"/>
      <c r="G538" s="1"/>
      <c r="H538" s="1"/>
      <c r="I538" s="1"/>
      <c r="J538" s="27" t="s">
        <v>659</v>
      </c>
      <c r="K538" s="29">
        <v>46023</v>
      </c>
      <c r="L538" s="29">
        <v>46110.041666666664</v>
      </c>
      <c r="M538" s="27">
        <v>1</v>
      </c>
    </row>
    <row r="539" spans="1:13">
      <c r="A539" s="1"/>
      <c r="B539" s="1"/>
      <c r="C539" s="1"/>
      <c r="D539" s="1"/>
      <c r="E539" s="1"/>
      <c r="F539" s="1"/>
      <c r="G539" s="1"/>
      <c r="H539" s="1"/>
      <c r="I539" s="1"/>
      <c r="J539" s="27" t="s">
        <v>659</v>
      </c>
      <c r="K539" s="29">
        <v>46110.041666666664</v>
      </c>
      <c r="L539" s="29">
        <v>46320.041666666664</v>
      </c>
      <c r="M539" s="27">
        <v>2</v>
      </c>
    </row>
    <row r="540" spans="1:13">
      <c r="A540" s="1"/>
      <c r="B540" s="1"/>
      <c r="C540" s="1"/>
      <c r="D540" s="1"/>
      <c r="E540" s="1"/>
      <c r="F540" s="1"/>
      <c r="G540" s="1"/>
      <c r="H540" s="1"/>
      <c r="I540" s="1"/>
      <c r="J540" s="27" t="s">
        <v>659</v>
      </c>
      <c r="K540" s="29">
        <v>46320.041666666664</v>
      </c>
      <c r="L540" s="29">
        <v>46474.041666666664</v>
      </c>
      <c r="M540" s="27">
        <v>1</v>
      </c>
    </row>
    <row r="541" spans="1:13">
      <c r="A541" s="1"/>
      <c r="B541" s="1"/>
      <c r="C541" s="1"/>
      <c r="D541" s="1"/>
      <c r="E541" s="1"/>
      <c r="F541" s="1"/>
      <c r="G541" s="1"/>
      <c r="H541" s="1"/>
      <c r="I541" s="1"/>
      <c r="J541" s="27" t="s">
        <v>659</v>
      </c>
      <c r="K541" s="29">
        <v>46474.041666666664</v>
      </c>
      <c r="L541" s="29">
        <v>46691.041666666664</v>
      </c>
      <c r="M541" s="27">
        <v>2</v>
      </c>
    </row>
    <row r="542" spans="1:13">
      <c r="A542" s="1"/>
      <c r="B542" s="1"/>
      <c r="C542" s="1"/>
      <c r="D542" s="1"/>
      <c r="E542" s="1"/>
      <c r="F542" s="1"/>
      <c r="G542" s="1"/>
      <c r="H542" s="1"/>
      <c r="I542" s="1"/>
      <c r="J542" s="27" t="s">
        <v>659</v>
      </c>
      <c r="K542" s="29">
        <v>46691.041666666664</v>
      </c>
      <c r="L542" s="29">
        <v>46838.041666666664</v>
      </c>
      <c r="M542" s="27">
        <v>1</v>
      </c>
    </row>
    <row r="543" spans="1:13">
      <c r="A543" s="1"/>
      <c r="B543" s="1"/>
      <c r="C543" s="1"/>
      <c r="D543" s="1"/>
      <c r="E543" s="1"/>
      <c r="F543" s="1"/>
      <c r="G543" s="1"/>
      <c r="H543" s="1"/>
      <c r="I543" s="1"/>
      <c r="J543" s="27" t="s">
        <v>659</v>
      </c>
      <c r="K543" s="29">
        <v>46838.041666666664</v>
      </c>
      <c r="L543" s="29">
        <v>47055.041666666664</v>
      </c>
      <c r="M543" s="27">
        <v>2</v>
      </c>
    </row>
    <row r="544" spans="1:13">
      <c r="A544" s="1"/>
      <c r="B544" s="1"/>
      <c r="C544" s="1"/>
      <c r="D544" s="1"/>
      <c r="E544" s="1"/>
      <c r="F544" s="1"/>
      <c r="G544" s="1"/>
      <c r="H544" s="1"/>
      <c r="I544" s="1"/>
      <c r="J544" s="27" t="s">
        <v>659</v>
      </c>
      <c r="K544" s="29">
        <v>47055.041666666664</v>
      </c>
      <c r="L544" s="29">
        <v>47119</v>
      </c>
      <c r="M544" s="27">
        <v>1</v>
      </c>
    </row>
    <row r="545" spans="1:13">
      <c r="A545" s="1"/>
      <c r="B545" s="1"/>
      <c r="C545" s="1"/>
      <c r="D545" s="1"/>
      <c r="E545" s="1"/>
      <c r="F545" s="1"/>
      <c r="G545" s="1"/>
      <c r="H545" s="1"/>
      <c r="I545" s="1"/>
      <c r="J545" s="27" t="s">
        <v>662</v>
      </c>
      <c r="K545" s="29">
        <v>46023</v>
      </c>
      <c r="L545" s="29">
        <v>47119</v>
      </c>
      <c r="M545" s="27">
        <v>7</v>
      </c>
    </row>
    <row r="546" spans="1:13">
      <c r="A546" s="1"/>
      <c r="B546" s="1"/>
      <c r="C546" s="1"/>
      <c r="D546" s="1"/>
      <c r="E546" s="1"/>
      <c r="F546" s="1"/>
      <c r="G546" s="1"/>
      <c r="H546" s="1"/>
      <c r="I546" s="1"/>
      <c r="J546" s="27" t="s">
        <v>664</v>
      </c>
      <c r="K546" s="29">
        <v>46023</v>
      </c>
      <c r="L546" s="29">
        <v>47119</v>
      </c>
      <c r="M546" s="27">
        <v>9</v>
      </c>
    </row>
    <row r="547" spans="1:13">
      <c r="A547" s="1"/>
      <c r="B547" s="1"/>
      <c r="C547" s="1"/>
      <c r="D547" s="1"/>
      <c r="E547" s="1"/>
      <c r="F547" s="1"/>
      <c r="G547" s="1"/>
      <c r="H547" s="1"/>
      <c r="I547" s="1"/>
      <c r="J547" s="27" t="s">
        <v>668</v>
      </c>
      <c r="K547" s="29">
        <v>46023</v>
      </c>
      <c r="L547" s="29">
        <v>46110.041666666664</v>
      </c>
      <c r="M547" s="27">
        <v>1</v>
      </c>
    </row>
    <row r="548" spans="1:13">
      <c r="A548" s="1"/>
      <c r="B548" s="1"/>
      <c r="C548" s="1"/>
      <c r="D548" s="1"/>
      <c r="E548" s="1"/>
      <c r="F548" s="1"/>
      <c r="G548" s="1"/>
      <c r="H548" s="1"/>
      <c r="I548" s="1"/>
      <c r="J548" s="27" t="s">
        <v>668</v>
      </c>
      <c r="K548" s="29">
        <v>46110.041666666664</v>
      </c>
      <c r="L548" s="29">
        <v>46320.041666666664</v>
      </c>
      <c r="M548" s="27">
        <v>2</v>
      </c>
    </row>
    <row r="549" spans="1:13">
      <c r="A549" s="1"/>
      <c r="B549" s="1"/>
      <c r="C549" s="1"/>
      <c r="D549" s="1"/>
      <c r="E549" s="1"/>
      <c r="F549" s="1"/>
      <c r="G549" s="1"/>
      <c r="H549" s="1"/>
      <c r="I549" s="1"/>
      <c r="J549" s="27" t="s">
        <v>668</v>
      </c>
      <c r="K549" s="29">
        <v>46320.041666666664</v>
      </c>
      <c r="L549" s="29">
        <v>46474.041666666664</v>
      </c>
      <c r="M549" s="27">
        <v>1</v>
      </c>
    </row>
    <row r="550" spans="1:13">
      <c r="A550" s="1"/>
      <c r="B550" s="1"/>
      <c r="C550" s="1"/>
      <c r="D550" s="1"/>
      <c r="E550" s="1"/>
      <c r="F550" s="1"/>
      <c r="G550" s="1"/>
      <c r="H550" s="1"/>
      <c r="I550" s="1"/>
      <c r="J550" s="27" t="s">
        <v>668</v>
      </c>
      <c r="K550" s="29">
        <v>46474.041666666664</v>
      </c>
      <c r="L550" s="29">
        <v>46691.041666666664</v>
      </c>
      <c r="M550" s="27">
        <v>2</v>
      </c>
    </row>
    <row r="551" spans="1:13">
      <c r="A551" s="1"/>
      <c r="B551" s="1"/>
      <c r="C551" s="1"/>
      <c r="D551" s="1"/>
      <c r="E551" s="1"/>
      <c r="F551" s="1"/>
      <c r="G551" s="1"/>
      <c r="H551" s="1"/>
      <c r="I551" s="1"/>
      <c r="J551" s="27" t="s">
        <v>668</v>
      </c>
      <c r="K551" s="29">
        <v>46691.041666666664</v>
      </c>
      <c r="L551" s="29">
        <v>46838.041666666664</v>
      </c>
      <c r="M551" s="27">
        <v>1</v>
      </c>
    </row>
    <row r="552" spans="1:13">
      <c r="A552" s="1"/>
      <c r="B552" s="1"/>
      <c r="C552" s="1"/>
      <c r="D552" s="1"/>
      <c r="E552" s="1"/>
      <c r="F552" s="1"/>
      <c r="G552" s="1"/>
      <c r="H552" s="1"/>
      <c r="I552" s="1"/>
      <c r="J552" s="27" t="s">
        <v>668</v>
      </c>
      <c r="K552" s="29">
        <v>46838.041666666664</v>
      </c>
      <c r="L552" s="29">
        <v>47055.041666666664</v>
      </c>
      <c r="M552" s="27">
        <v>2</v>
      </c>
    </row>
    <row r="553" spans="1:13">
      <c r="A553" s="1"/>
      <c r="B553" s="1"/>
      <c r="C553" s="1"/>
      <c r="D553" s="1"/>
      <c r="E553" s="1"/>
      <c r="F553" s="1"/>
      <c r="G553" s="1"/>
      <c r="H553" s="1"/>
      <c r="I553" s="1"/>
      <c r="J553" s="27" t="s">
        <v>668</v>
      </c>
      <c r="K553" s="29">
        <v>47055.041666666664</v>
      </c>
      <c r="L553" s="29">
        <v>47119</v>
      </c>
      <c r="M553" s="27">
        <v>1</v>
      </c>
    </row>
    <row r="554" spans="1:13">
      <c r="A554" s="1"/>
      <c r="B554" s="1"/>
      <c r="C554" s="1"/>
      <c r="D554" s="1"/>
      <c r="E554" s="1"/>
      <c r="F554" s="1"/>
      <c r="G554" s="1"/>
      <c r="H554" s="1"/>
      <c r="I554" s="1"/>
      <c r="J554" s="27" t="s">
        <v>670</v>
      </c>
      <c r="K554" s="29">
        <v>46023</v>
      </c>
      <c r="L554" s="29">
        <v>47119</v>
      </c>
      <c r="M554" s="27">
        <v>8</v>
      </c>
    </row>
    <row r="555" spans="1:13">
      <c r="A555" s="1"/>
      <c r="B555" s="1"/>
      <c r="C555" s="1"/>
      <c r="D555" s="1"/>
      <c r="E555" s="1"/>
      <c r="F555" s="1"/>
      <c r="G555" s="1"/>
      <c r="H555" s="1"/>
      <c r="I555" s="1"/>
      <c r="J555" s="27" t="s">
        <v>673</v>
      </c>
      <c r="K555" s="29">
        <v>46023</v>
      </c>
      <c r="L555" s="29">
        <v>46110.041666666664</v>
      </c>
      <c r="M555" s="27">
        <v>1</v>
      </c>
    </row>
    <row r="556" spans="1:13">
      <c r="A556" s="1"/>
      <c r="B556" s="1"/>
      <c r="C556" s="1"/>
      <c r="D556" s="1"/>
      <c r="E556" s="1"/>
      <c r="F556" s="1"/>
      <c r="G556" s="1"/>
      <c r="H556" s="1"/>
      <c r="I556" s="1"/>
      <c r="J556" s="27" t="s">
        <v>673</v>
      </c>
      <c r="K556" s="29">
        <v>46110.041666666664</v>
      </c>
      <c r="L556" s="29">
        <v>46320.041666666664</v>
      </c>
      <c r="M556" s="27">
        <v>2</v>
      </c>
    </row>
    <row r="557" spans="1:13">
      <c r="A557" s="1"/>
      <c r="B557" s="1"/>
      <c r="C557" s="1"/>
      <c r="D557" s="1"/>
      <c r="E557" s="1"/>
      <c r="F557" s="1"/>
      <c r="G557" s="1"/>
      <c r="H557" s="1"/>
      <c r="I557" s="1"/>
      <c r="J557" s="27" t="s">
        <v>673</v>
      </c>
      <c r="K557" s="29">
        <v>46320.041666666664</v>
      </c>
      <c r="L557" s="29">
        <v>46474.041666666664</v>
      </c>
      <c r="M557" s="27">
        <v>1</v>
      </c>
    </row>
    <row r="558" spans="1:13">
      <c r="A558" s="1"/>
      <c r="B558" s="1"/>
      <c r="C558" s="1"/>
      <c r="D558" s="1"/>
      <c r="E558" s="1"/>
      <c r="F558" s="1"/>
      <c r="G558" s="1"/>
      <c r="H558" s="1"/>
      <c r="I558" s="1"/>
      <c r="J558" s="27" t="s">
        <v>673</v>
      </c>
      <c r="K558" s="29">
        <v>46474.041666666664</v>
      </c>
      <c r="L558" s="29">
        <v>46691.041666666664</v>
      </c>
      <c r="M558" s="27">
        <v>2</v>
      </c>
    </row>
    <row r="559" spans="1:13">
      <c r="A559" s="1"/>
      <c r="B559" s="1"/>
      <c r="C559" s="1"/>
      <c r="D559" s="1"/>
      <c r="E559" s="1"/>
      <c r="F559" s="1"/>
      <c r="G559" s="1"/>
      <c r="H559" s="1"/>
      <c r="I559" s="1"/>
      <c r="J559" s="27" t="s">
        <v>673</v>
      </c>
      <c r="K559" s="29">
        <v>46691.041666666664</v>
      </c>
      <c r="L559" s="29">
        <v>46838.041666666664</v>
      </c>
      <c r="M559" s="27">
        <v>1</v>
      </c>
    </row>
    <row r="560" spans="1:13">
      <c r="A560" s="1"/>
      <c r="B560" s="1"/>
      <c r="C560" s="1"/>
      <c r="D560" s="1"/>
      <c r="E560" s="1"/>
      <c r="F560" s="1"/>
      <c r="G560" s="1"/>
      <c r="H560" s="1"/>
      <c r="I560" s="1"/>
      <c r="J560" s="27" t="s">
        <v>673</v>
      </c>
      <c r="K560" s="29">
        <v>46838.041666666664</v>
      </c>
      <c r="L560" s="29">
        <v>47055.041666666664</v>
      </c>
      <c r="M560" s="27">
        <v>2</v>
      </c>
    </row>
    <row r="561" spans="1:13">
      <c r="A561" s="1"/>
      <c r="B561" s="1"/>
      <c r="C561" s="1"/>
      <c r="D561" s="1"/>
      <c r="E561" s="1"/>
      <c r="F561" s="1"/>
      <c r="G561" s="1"/>
      <c r="H561" s="1"/>
      <c r="I561" s="1"/>
      <c r="J561" s="27" t="s">
        <v>673</v>
      </c>
      <c r="K561" s="29">
        <v>47055.041666666664</v>
      </c>
      <c r="L561" s="29">
        <v>47119</v>
      </c>
      <c r="M561" s="27">
        <v>1</v>
      </c>
    </row>
    <row r="562" spans="1:13">
      <c r="A562" s="1"/>
      <c r="B562" s="1"/>
      <c r="C562" s="1"/>
      <c r="D562" s="1"/>
      <c r="E562" s="1"/>
      <c r="F562" s="1"/>
      <c r="G562" s="1"/>
      <c r="H562" s="1"/>
      <c r="I562" s="1"/>
      <c r="J562" s="27" t="s">
        <v>676</v>
      </c>
      <c r="K562" s="29">
        <v>46023</v>
      </c>
      <c r="L562" s="29">
        <v>46110.041666666664</v>
      </c>
      <c r="M562" s="27">
        <v>2</v>
      </c>
    </row>
    <row r="563" spans="1:13">
      <c r="A563" s="1"/>
      <c r="B563" s="1"/>
      <c r="C563" s="1"/>
      <c r="D563" s="1"/>
      <c r="E563" s="1"/>
      <c r="F563" s="1"/>
      <c r="G563" s="1"/>
      <c r="H563" s="1"/>
      <c r="I563" s="1"/>
      <c r="J563" s="27" t="s">
        <v>676</v>
      </c>
      <c r="K563" s="29">
        <v>46110.041666666664</v>
      </c>
      <c r="L563" s="29">
        <v>46320.041666666664</v>
      </c>
      <c r="M563" s="27">
        <v>3</v>
      </c>
    </row>
    <row r="564" spans="1:13">
      <c r="A564" s="1"/>
      <c r="B564" s="1"/>
      <c r="C564" s="1"/>
      <c r="D564" s="1"/>
      <c r="E564" s="1"/>
      <c r="F564" s="1"/>
      <c r="G564" s="1"/>
      <c r="H564" s="1"/>
      <c r="I564" s="1"/>
      <c r="J564" s="27" t="s">
        <v>676</v>
      </c>
      <c r="K564" s="29">
        <v>46320.041666666664</v>
      </c>
      <c r="L564" s="29">
        <v>46474.041666666664</v>
      </c>
      <c r="M564" s="27">
        <v>2</v>
      </c>
    </row>
    <row r="565" spans="1:13">
      <c r="A565" s="1"/>
      <c r="B565" s="1"/>
      <c r="C565" s="1"/>
      <c r="D565" s="1"/>
      <c r="E565" s="1"/>
      <c r="F565" s="1"/>
      <c r="G565" s="1"/>
      <c r="H565" s="1"/>
      <c r="I565" s="1"/>
      <c r="J565" s="27" t="s">
        <v>676</v>
      </c>
      <c r="K565" s="29">
        <v>46474.041666666664</v>
      </c>
      <c r="L565" s="29">
        <v>46691.041666666664</v>
      </c>
      <c r="M565" s="27">
        <v>3</v>
      </c>
    </row>
    <row r="566" spans="1:13">
      <c r="A566" s="1"/>
      <c r="B566" s="1"/>
      <c r="C566" s="1"/>
      <c r="D566" s="1"/>
      <c r="E566" s="1"/>
      <c r="F566" s="1"/>
      <c r="G566" s="1"/>
      <c r="H566" s="1"/>
      <c r="I566" s="1"/>
      <c r="J566" s="27" t="s">
        <v>676</v>
      </c>
      <c r="K566" s="29">
        <v>46691.041666666664</v>
      </c>
      <c r="L566" s="29">
        <v>46838.041666666664</v>
      </c>
      <c r="M566" s="27">
        <v>2</v>
      </c>
    </row>
    <row r="567" spans="1:13">
      <c r="A567" s="1"/>
      <c r="B567" s="1"/>
      <c r="C567" s="1"/>
      <c r="D567" s="1"/>
      <c r="E567" s="1"/>
      <c r="F567" s="1"/>
      <c r="G567" s="1"/>
      <c r="H567" s="1"/>
      <c r="I567" s="1"/>
      <c r="J567" s="27" t="s">
        <v>676</v>
      </c>
      <c r="K567" s="29">
        <v>46838.041666666664</v>
      </c>
      <c r="L567" s="29">
        <v>47055.041666666664</v>
      </c>
      <c r="M567" s="27">
        <v>3</v>
      </c>
    </row>
    <row r="568" spans="1:13">
      <c r="A568" s="1"/>
      <c r="B568" s="1"/>
      <c r="C568" s="1"/>
      <c r="D568" s="1"/>
      <c r="E568" s="1"/>
      <c r="F568" s="1"/>
      <c r="G568" s="1"/>
      <c r="H568" s="1"/>
      <c r="I568" s="1"/>
      <c r="J568" s="27" t="s">
        <v>676</v>
      </c>
      <c r="K568" s="29">
        <v>47055.041666666664</v>
      </c>
      <c r="L568" s="29">
        <v>47119</v>
      </c>
      <c r="M568" s="27">
        <v>2</v>
      </c>
    </row>
    <row r="569" spans="1:13">
      <c r="A569" s="1"/>
      <c r="B569" s="1"/>
      <c r="C569" s="1"/>
      <c r="D569" s="1"/>
      <c r="E569" s="1"/>
      <c r="F569" s="1"/>
      <c r="G569" s="1"/>
      <c r="H569" s="1"/>
      <c r="I569" s="1"/>
      <c r="J569" s="27" t="s">
        <v>679</v>
      </c>
      <c r="K569" s="29">
        <v>46023</v>
      </c>
      <c r="L569" s="29">
        <v>46110.041666666664</v>
      </c>
      <c r="M569" s="27">
        <v>1</v>
      </c>
    </row>
    <row r="570" spans="1:13">
      <c r="A570" s="1"/>
      <c r="B570" s="1"/>
      <c r="C570" s="1"/>
      <c r="D570" s="1"/>
      <c r="E570" s="1"/>
      <c r="F570" s="1"/>
      <c r="G570" s="1"/>
      <c r="H570" s="1"/>
      <c r="I570" s="1"/>
      <c r="J570" s="27" t="s">
        <v>679</v>
      </c>
      <c r="K570" s="29">
        <v>46110.041666666664</v>
      </c>
      <c r="L570" s="29">
        <v>46320.041666666664</v>
      </c>
      <c r="M570" s="27">
        <v>2</v>
      </c>
    </row>
    <row r="571" spans="1:13">
      <c r="A571" s="1"/>
      <c r="B571" s="1"/>
      <c r="C571" s="1"/>
      <c r="D571" s="1"/>
      <c r="E571" s="1"/>
      <c r="F571" s="1"/>
      <c r="G571" s="1"/>
      <c r="H571" s="1"/>
      <c r="I571" s="1"/>
      <c r="J571" s="27" t="s">
        <v>679</v>
      </c>
      <c r="K571" s="29">
        <v>46320.041666666664</v>
      </c>
      <c r="L571" s="29">
        <v>46474.041666666664</v>
      </c>
      <c r="M571" s="27">
        <v>1</v>
      </c>
    </row>
    <row r="572" spans="1:13">
      <c r="A572" s="1"/>
      <c r="B572" s="1"/>
      <c r="C572" s="1"/>
      <c r="D572" s="1"/>
      <c r="E572" s="1"/>
      <c r="F572" s="1"/>
      <c r="G572" s="1"/>
      <c r="H572" s="1"/>
      <c r="I572" s="1"/>
      <c r="J572" s="27" t="s">
        <v>679</v>
      </c>
      <c r="K572" s="29">
        <v>46474.041666666664</v>
      </c>
      <c r="L572" s="29">
        <v>46691.041666666664</v>
      </c>
      <c r="M572" s="27">
        <v>2</v>
      </c>
    </row>
    <row r="573" spans="1:13">
      <c r="A573" s="1"/>
      <c r="B573" s="1"/>
      <c r="C573" s="1"/>
      <c r="D573" s="1"/>
      <c r="E573" s="1"/>
      <c r="F573" s="1"/>
      <c r="G573" s="1"/>
      <c r="H573" s="1"/>
      <c r="I573" s="1"/>
      <c r="J573" s="27" t="s">
        <v>679</v>
      </c>
      <c r="K573" s="29">
        <v>46691.041666666664</v>
      </c>
      <c r="L573" s="29">
        <v>46838.041666666664</v>
      </c>
      <c r="M573" s="27">
        <v>1</v>
      </c>
    </row>
    <row r="574" spans="1:13">
      <c r="A574" s="1"/>
      <c r="B574" s="1"/>
      <c r="C574" s="1"/>
      <c r="D574" s="1"/>
      <c r="E574" s="1"/>
      <c r="F574" s="1"/>
      <c r="G574" s="1"/>
      <c r="H574" s="1"/>
      <c r="I574" s="1"/>
      <c r="J574" s="27" t="s">
        <v>679</v>
      </c>
      <c r="K574" s="29">
        <v>46838.041666666664</v>
      </c>
      <c r="L574" s="29">
        <v>47055.041666666664</v>
      </c>
      <c r="M574" s="27">
        <v>2</v>
      </c>
    </row>
    <row r="575" spans="1:13">
      <c r="A575" s="1"/>
      <c r="B575" s="1"/>
      <c r="C575" s="1"/>
      <c r="D575" s="1"/>
      <c r="E575" s="1"/>
      <c r="F575" s="1"/>
      <c r="G575" s="1"/>
      <c r="H575" s="1"/>
      <c r="I575" s="1"/>
      <c r="J575" s="27" t="s">
        <v>679</v>
      </c>
      <c r="K575" s="29">
        <v>47055.041666666664</v>
      </c>
      <c r="L575" s="29">
        <v>47119</v>
      </c>
      <c r="M575" s="27">
        <v>1</v>
      </c>
    </row>
    <row r="576" spans="1:13">
      <c r="A576" s="1"/>
      <c r="B576" s="1"/>
      <c r="C576" s="1"/>
      <c r="D576" s="1"/>
      <c r="E576" s="1"/>
      <c r="F576" s="1"/>
      <c r="G576" s="1"/>
      <c r="H576" s="1"/>
      <c r="I576" s="1"/>
      <c r="J576" s="27" t="s">
        <v>682</v>
      </c>
      <c r="K576" s="29">
        <v>46023</v>
      </c>
      <c r="L576" s="29">
        <v>47119</v>
      </c>
      <c r="M576" s="27">
        <v>-4</v>
      </c>
    </row>
    <row r="577" spans="1:13">
      <c r="A577" s="1"/>
      <c r="B577" s="1"/>
      <c r="C577" s="1"/>
      <c r="D577" s="1"/>
      <c r="E577" s="1"/>
      <c r="F577" s="1"/>
      <c r="G577" s="1"/>
      <c r="H577" s="1"/>
      <c r="I577" s="1"/>
      <c r="J577" s="27" t="s">
        <v>684</v>
      </c>
      <c r="K577" s="29">
        <v>46023</v>
      </c>
      <c r="L577" s="29">
        <v>47119</v>
      </c>
      <c r="M577" s="27">
        <v>7</v>
      </c>
    </row>
    <row r="578" spans="1:13">
      <c r="A578" s="1"/>
      <c r="B578" s="1"/>
      <c r="C578" s="1"/>
      <c r="D578" s="1"/>
      <c r="E578" s="1"/>
      <c r="F578" s="1"/>
      <c r="G578" s="1"/>
      <c r="H578" s="1"/>
      <c r="I578" s="1"/>
      <c r="J578" s="27" t="s">
        <v>686</v>
      </c>
      <c r="K578" s="29">
        <v>46023</v>
      </c>
      <c r="L578" s="29">
        <v>46116.666666666664</v>
      </c>
      <c r="M578" s="27">
        <v>11</v>
      </c>
    </row>
    <row r="579" spans="1:13">
      <c r="A579" s="1"/>
      <c r="B579" s="1"/>
      <c r="C579" s="1"/>
      <c r="D579" s="1"/>
      <c r="E579" s="1"/>
      <c r="F579" s="1"/>
      <c r="G579" s="1"/>
      <c r="H579" s="1"/>
      <c r="I579" s="1"/>
      <c r="J579" s="27" t="s">
        <v>686</v>
      </c>
      <c r="K579" s="29">
        <v>46116.666666666664</v>
      </c>
      <c r="L579" s="29">
        <v>46298.666666666664</v>
      </c>
      <c r="M579" s="27">
        <v>10</v>
      </c>
    </row>
    <row r="580" spans="1:13">
      <c r="A580" s="1"/>
      <c r="B580" s="1"/>
      <c r="C580" s="1"/>
      <c r="D580" s="1"/>
      <c r="E580" s="1"/>
      <c r="F580" s="1"/>
      <c r="G580" s="1"/>
      <c r="H580" s="1"/>
      <c r="I580" s="1"/>
      <c r="J580" s="27" t="s">
        <v>686</v>
      </c>
      <c r="K580" s="29">
        <v>46298.666666666664</v>
      </c>
      <c r="L580" s="29">
        <v>46480.666666666664</v>
      </c>
      <c r="M580" s="27">
        <v>11</v>
      </c>
    </row>
    <row r="581" spans="1:13">
      <c r="A581" s="1"/>
      <c r="B581" s="1"/>
      <c r="C581" s="1"/>
      <c r="D581" s="1"/>
      <c r="E581" s="1"/>
      <c r="F581" s="1"/>
      <c r="G581" s="1"/>
      <c r="H581" s="1"/>
      <c r="I581" s="1"/>
      <c r="J581" s="27" t="s">
        <v>686</v>
      </c>
      <c r="K581" s="29">
        <v>46480.666666666664</v>
      </c>
      <c r="L581" s="29">
        <v>46662.666666666664</v>
      </c>
      <c r="M581" s="27">
        <v>10</v>
      </c>
    </row>
    <row r="582" spans="1:13">
      <c r="A582" s="1"/>
      <c r="B582" s="1"/>
      <c r="C582" s="1"/>
      <c r="D582" s="1"/>
      <c r="E582" s="1"/>
      <c r="F582" s="1"/>
      <c r="G582" s="1"/>
      <c r="H582" s="1"/>
      <c r="I582" s="1"/>
      <c r="J582" s="27" t="s">
        <v>686</v>
      </c>
      <c r="K582" s="29">
        <v>46662.666666666664</v>
      </c>
      <c r="L582" s="29">
        <v>46844.666666666664</v>
      </c>
      <c r="M582" s="27">
        <v>11</v>
      </c>
    </row>
    <row r="583" spans="1:13">
      <c r="A583" s="1"/>
      <c r="B583" s="1"/>
      <c r="C583" s="1"/>
      <c r="D583" s="1"/>
      <c r="E583" s="1"/>
      <c r="F583" s="1"/>
      <c r="G583" s="1"/>
      <c r="H583" s="1"/>
      <c r="I583" s="1"/>
      <c r="J583" s="27" t="s">
        <v>686</v>
      </c>
      <c r="K583" s="29">
        <v>46844.666666666664</v>
      </c>
      <c r="L583" s="29">
        <v>47026.666666666664</v>
      </c>
      <c r="M583" s="27">
        <v>10</v>
      </c>
    </row>
    <row r="584" spans="1:13">
      <c r="A584" s="1"/>
      <c r="B584" s="1"/>
      <c r="C584" s="1"/>
      <c r="D584" s="1"/>
      <c r="E584" s="1"/>
      <c r="F584" s="1"/>
      <c r="G584" s="1"/>
      <c r="H584" s="1"/>
      <c r="I584" s="1"/>
      <c r="J584" s="27" t="s">
        <v>686</v>
      </c>
      <c r="K584" s="29">
        <v>47026.666666666664</v>
      </c>
      <c r="L584" s="29">
        <v>47119</v>
      </c>
      <c r="M584" s="27">
        <v>11</v>
      </c>
    </row>
    <row r="585" spans="1:13">
      <c r="A585" s="1"/>
      <c r="B585" s="1"/>
      <c r="C585" s="1"/>
      <c r="D585" s="1"/>
      <c r="E585" s="1"/>
      <c r="F585" s="1"/>
      <c r="G585" s="1"/>
      <c r="H585" s="1"/>
      <c r="I585" s="1"/>
      <c r="J585" s="27" t="s">
        <v>690</v>
      </c>
      <c r="K585" s="29">
        <v>46023</v>
      </c>
      <c r="L585" s="29">
        <v>47119</v>
      </c>
      <c r="M585" s="27">
        <v>8</v>
      </c>
    </row>
    <row r="586" spans="1:13">
      <c r="A586" s="1"/>
      <c r="B586" s="1"/>
      <c r="C586" s="1"/>
      <c r="D586" s="1"/>
      <c r="E586" s="1"/>
      <c r="F586" s="1"/>
      <c r="G586" s="1"/>
      <c r="H586" s="1"/>
      <c r="I586" s="1"/>
      <c r="J586" s="27" t="s">
        <v>694</v>
      </c>
      <c r="K586" s="29">
        <v>46023</v>
      </c>
      <c r="L586" s="29">
        <v>46110.041666666664</v>
      </c>
      <c r="M586" s="27">
        <v>2</v>
      </c>
    </row>
    <row r="587" spans="1:13">
      <c r="A587" s="1"/>
      <c r="B587" s="1"/>
      <c r="C587" s="1"/>
      <c r="D587" s="1"/>
      <c r="E587" s="1"/>
      <c r="F587" s="1"/>
      <c r="G587" s="1"/>
      <c r="H587" s="1"/>
      <c r="I587" s="1"/>
      <c r="J587" s="27" t="s">
        <v>694</v>
      </c>
      <c r="K587" s="29">
        <v>46110.041666666664</v>
      </c>
      <c r="L587" s="29">
        <v>46320.041666666664</v>
      </c>
      <c r="M587" s="27">
        <v>3</v>
      </c>
    </row>
    <row r="588" spans="1:13">
      <c r="A588" s="1"/>
      <c r="B588" s="1"/>
      <c r="C588" s="1"/>
      <c r="D588" s="1"/>
      <c r="E588" s="1"/>
      <c r="F588" s="1"/>
      <c r="G588" s="1"/>
      <c r="H588" s="1"/>
      <c r="I588" s="1"/>
      <c r="J588" s="27" t="s">
        <v>694</v>
      </c>
      <c r="K588" s="29">
        <v>46320.041666666664</v>
      </c>
      <c r="L588" s="29">
        <v>46474.041666666664</v>
      </c>
      <c r="M588" s="27">
        <v>2</v>
      </c>
    </row>
    <row r="589" spans="1:13">
      <c r="A589" s="1"/>
      <c r="B589" s="1"/>
      <c r="C589" s="1"/>
      <c r="D589" s="1"/>
      <c r="E589" s="1"/>
      <c r="F589" s="1"/>
      <c r="G589" s="1"/>
      <c r="H589" s="1"/>
      <c r="I589" s="1"/>
      <c r="J589" s="27" t="s">
        <v>694</v>
      </c>
      <c r="K589" s="29">
        <v>46474.041666666664</v>
      </c>
      <c r="L589" s="29">
        <v>46691.041666666664</v>
      </c>
      <c r="M589" s="27">
        <v>3</v>
      </c>
    </row>
    <row r="590" spans="1:13">
      <c r="A590" s="1"/>
      <c r="B590" s="1"/>
      <c r="C590" s="1"/>
      <c r="D590" s="1"/>
      <c r="E590" s="1"/>
      <c r="F590" s="1"/>
      <c r="G590" s="1"/>
      <c r="H590" s="1"/>
      <c r="I590" s="1"/>
      <c r="J590" s="27" t="s">
        <v>694</v>
      </c>
      <c r="K590" s="29">
        <v>46691.041666666664</v>
      </c>
      <c r="L590" s="29">
        <v>46838.041666666664</v>
      </c>
      <c r="M590" s="27">
        <v>2</v>
      </c>
    </row>
    <row r="591" spans="1:13">
      <c r="A591" s="1"/>
      <c r="B591" s="1"/>
      <c r="C591" s="1"/>
      <c r="D591" s="1"/>
      <c r="E591" s="1"/>
      <c r="F591" s="1"/>
      <c r="G591" s="1"/>
      <c r="H591" s="1"/>
      <c r="I591" s="1"/>
      <c r="J591" s="27" t="s">
        <v>694</v>
      </c>
      <c r="K591" s="29">
        <v>46838.041666666664</v>
      </c>
      <c r="L591" s="29">
        <v>47055.041666666664</v>
      </c>
      <c r="M591" s="27">
        <v>3</v>
      </c>
    </row>
    <row r="592" spans="1:13">
      <c r="A592" s="1"/>
      <c r="B592" s="1"/>
      <c r="C592" s="1"/>
      <c r="D592" s="1"/>
      <c r="E592" s="1"/>
      <c r="F592" s="1"/>
      <c r="G592" s="1"/>
      <c r="H592" s="1"/>
      <c r="I592" s="1"/>
      <c r="J592" s="27" t="s">
        <v>694</v>
      </c>
      <c r="K592" s="29">
        <v>47055.041666666664</v>
      </c>
      <c r="L592" s="29">
        <v>47119</v>
      </c>
      <c r="M592" s="27">
        <v>2</v>
      </c>
    </row>
    <row r="593" spans="1:13">
      <c r="A593" s="1"/>
      <c r="B593" s="1"/>
      <c r="C593" s="1"/>
      <c r="D593" s="1"/>
      <c r="E593" s="1"/>
      <c r="F593" s="1"/>
      <c r="G593" s="1"/>
      <c r="H593" s="1"/>
      <c r="I593" s="1"/>
      <c r="J593" s="27" t="s">
        <v>697</v>
      </c>
      <c r="K593" s="29">
        <v>46023</v>
      </c>
      <c r="L593" s="29">
        <v>47119</v>
      </c>
      <c r="M593" s="27">
        <v>7</v>
      </c>
    </row>
    <row r="594" spans="1:13">
      <c r="A594" s="1"/>
      <c r="B594" s="1"/>
      <c r="C594" s="1"/>
      <c r="D594" s="1"/>
      <c r="E594" s="1"/>
      <c r="F594" s="1"/>
      <c r="G594" s="1"/>
      <c r="H594" s="1"/>
      <c r="I594" s="1"/>
      <c r="J594" s="27" t="s">
        <v>699</v>
      </c>
      <c r="K594" s="29">
        <v>46023</v>
      </c>
      <c r="L594" s="29">
        <v>47119</v>
      </c>
      <c r="M594" s="27">
        <v>5</v>
      </c>
    </row>
    <row r="595" spans="1:13">
      <c r="A595" s="1"/>
      <c r="B595" s="1"/>
      <c r="C595" s="1"/>
      <c r="D595" s="1"/>
      <c r="E595" s="1"/>
      <c r="F595" s="1"/>
      <c r="G595" s="1"/>
      <c r="H595" s="1"/>
      <c r="I595" s="1"/>
      <c r="J595" s="27" t="s">
        <v>702</v>
      </c>
      <c r="K595" s="29">
        <v>46023</v>
      </c>
      <c r="L595" s="29">
        <v>47119</v>
      </c>
      <c r="M595" s="27">
        <v>4</v>
      </c>
    </row>
    <row r="596" spans="1:13">
      <c r="A596" s="1"/>
      <c r="B596" s="1"/>
      <c r="C596" s="1"/>
      <c r="D596" s="1"/>
      <c r="E596" s="1"/>
      <c r="F596" s="1"/>
      <c r="G596" s="1"/>
      <c r="H596" s="1"/>
      <c r="I596" s="1"/>
      <c r="J596" s="27" t="s">
        <v>706</v>
      </c>
      <c r="K596" s="29">
        <v>46023</v>
      </c>
      <c r="L596" s="29">
        <v>47119</v>
      </c>
      <c r="M596" s="27">
        <v>3.5</v>
      </c>
    </row>
    <row r="597" spans="1:13">
      <c r="A597" s="1"/>
      <c r="B597" s="1"/>
      <c r="C597" s="1"/>
      <c r="D597" s="1"/>
      <c r="E597" s="1"/>
      <c r="F597" s="1"/>
      <c r="G597" s="1"/>
      <c r="H597" s="1"/>
      <c r="I597" s="1"/>
      <c r="J597" s="27" t="s">
        <v>710</v>
      </c>
      <c r="K597" s="29">
        <v>46023</v>
      </c>
      <c r="L597" s="29">
        <v>47119</v>
      </c>
      <c r="M597" s="27">
        <v>7</v>
      </c>
    </row>
    <row r="598" spans="1:13">
      <c r="A598" s="1"/>
      <c r="B598" s="1"/>
      <c r="C598" s="1"/>
      <c r="D598" s="1"/>
      <c r="E598" s="1"/>
      <c r="F598" s="1"/>
      <c r="G598" s="1"/>
      <c r="H598" s="1"/>
      <c r="I598" s="1"/>
      <c r="J598" s="27" t="s">
        <v>712</v>
      </c>
      <c r="K598" s="29">
        <v>46023</v>
      </c>
      <c r="L598" s="29">
        <v>47119</v>
      </c>
      <c r="M598" s="27">
        <v>7</v>
      </c>
    </row>
    <row r="599" spans="1:13">
      <c r="A599" s="1"/>
      <c r="B599" s="1"/>
      <c r="C599" s="1"/>
      <c r="D599" s="1"/>
      <c r="E599" s="1"/>
      <c r="F599" s="1"/>
      <c r="G599" s="1"/>
      <c r="H599" s="1"/>
      <c r="I599" s="1"/>
      <c r="J599" s="27" t="s">
        <v>714</v>
      </c>
      <c r="K599" s="29">
        <v>46023</v>
      </c>
      <c r="L599" s="29">
        <v>46110.041666666664</v>
      </c>
      <c r="M599" s="27">
        <v>1</v>
      </c>
    </row>
    <row r="600" spans="1:13">
      <c r="A600" s="1"/>
      <c r="B600" s="1"/>
      <c r="C600" s="1"/>
      <c r="D600" s="1"/>
      <c r="E600" s="1"/>
      <c r="F600" s="1"/>
      <c r="G600" s="1"/>
      <c r="H600" s="1"/>
      <c r="I600" s="1"/>
      <c r="J600" s="27" t="s">
        <v>714</v>
      </c>
      <c r="K600" s="29">
        <v>46110.041666666664</v>
      </c>
      <c r="L600" s="29">
        <v>46320.041666666664</v>
      </c>
      <c r="M600" s="27">
        <v>2</v>
      </c>
    </row>
    <row r="601" spans="1:13">
      <c r="A601" s="1"/>
      <c r="B601" s="1"/>
      <c r="C601" s="1"/>
      <c r="D601" s="1"/>
      <c r="E601" s="1"/>
      <c r="F601" s="1"/>
      <c r="G601" s="1"/>
      <c r="H601" s="1"/>
      <c r="I601" s="1"/>
      <c r="J601" s="27" t="s">
        <v>714</v>
      </c>
      <c r="K601" s="29">
        <v>46320.041666666664</v>
      </c>
      <c r="L601" s="29">
        <v>46474.041666666664</v>
      </c>
      <c r="M601" s="27">
        <v>1</v>
      </c>
    </row>
    <row r="602" spans="1:13">
      <c r="A602" s="1"/>
      <c r="B602" s="1"/>
      <c r="C602" s="1"/>
      <c r="D602" s="1"/>
      <c r="E602" s="1"/>
      <c r="F602" s="1"/>
      <c r="G602" s="1"/>
      <c r="H602" s="1"/>
      <c r="I602" s="1"/>
      <c r="J602" s="27" t="s">
        <v>714</v>
      </c>
      <c r="K602" s="29">
        <v>46474.041666666664</v>
      </c>
      <c r="L602" s="29">
        <v>46691.041666666664</v>
      </c>
      <c r="M602" s="27">
        <v>2</v>
      </c>
    </row>
    <row r="603" spans="1:13">
      <c r="A603" s="1"/>
      <c r="B603" s="1"/>
      <c r="C603" s="1"/>
      <c r="D603" s="1"/>
      <c r="E603" s="1"/>
      <c r="F603" s="1"/>
      <c r="G603" s="1"/>
      <c r="H603" s="1"/>
      <c r="I603" s="1"/>
      <c r="J603" s="27" t="s">
        <v>714</v>
      </c>
      <c r="K603" s="29">
        <v>46691.041666666664</v>
      </c>
      <c r="L603" s="29">
        <v>46838.041666666664</v>
      </c>
      <c r="M603" s="27">
        <v>1</v>
      </c>
    </row>
    <row r="604" spans="1:13">
      <c r="A604" s="1"/>
      <c r="B604" s="1"/>
      <c r="C604" s="1"/>
      <c r="D604" s="1"/>
      <c r="E604" s="1"/>
      <c r="F604" s="1"/>
      <c r="G604" s="1"/>
      <c r="H604" s="1"/>
      <c r="I604" s="1"/>
      <c r="J604" s="27" t="s">
        <v>714</v>
      </c>
      <c r="K604" s="29">
        <v>46838.041666666664</v>
      </c>
      <c r="L604" s="29">
        <v>47055.041666666664</v>
      </c>
      <c r="M604" s="27">
        <v>2</v>
      </c>
    </row>
    <row r="605" spans="1:13">
      <c r="A605" s="1"/>
      <c r="B605" s="1"/>
      <c r="C605" s="1"/>
      <c r="D605" s="1"/>
      <c r="E605" s="1"/>
      <c r="F605" s="1"/>
      <c r="G605" s="1"/>
      <c r="H605" s="1"/>
      <c r="I605" s="1"/>
      <c r="J605" s="27" t="s">
        <v>714</v>
      </c>
      <c r="K605" s="29">
        <v>47055.041666666664</v>
      </c>
      <c r="L605" s="29">
        <v>47119</v>
      </c>
      <c r="M605" s="27">
        <v>1</v>
      </c>
    </row>
    <row r="606" spans="1:13">
      <c r="A606" s="1"/>
      <c r="B606" s="1"/>
      <c r="C606" s="1"/>
      <c r="D606" s="1"/>
      <c r="E606" s="1"/>
      <c r="F606" s="1"/>
      <c r="G606" s="1"/>
      <c r="H606" s="1"/>
      <c r="I606" s="1"/>
      <c r="J606" s="27" t="s">
        <v>717</v>
      </c>
      <c r="K606" s="29">
        <v>46023</v>
      </c>
      <c r="L606" s="29">
        <v>47119</v>
      </c>
      <c r="M606" s="27">
        <v>9</v>
      </c>
    </row>
    <row r="607" spans="1:13">
      <c r="A607" s="1"/>
      <c r="B607" s="1"/>
      <c r="C607" s="1"/>
      <c r="D607" s="1"/>
      <c r="E607" s="1"/>
      <c r="F607" s="1"/>
      <c r="G607" s="1"/>
      <c r="H607" s="1"/>
      <c r="I607" s="1"/>
      <c r="J607" s="27" t="s">
        <v>721</v>
      </c>
      <c r="K607" s="29">
        <v>46023</v>
      </c>
      <c r="L607" s="29">
        <v>46089.291666666664</v>
      </c>
      <c r="M607" s="27">
        <v>-5</v>
      </c>
    </row>
    <row r="608" spans="1:13">
      <c r="A608" s="1"/>
      <c r="B608" s="1"/>
      <c r="C608" s="1"/>
      <c r="D608" s="1"/>
      <c r="E608" s="1"/>
      <c r="F608" s="1"/>
      <c r="G608" s="1"/>
      <c r="H608" s="1"/>
      <c r="I608" s="1"/>
      <c r="J608" s="27" t="s">
        <v>721</v>
      </c>
      <c r="K608" s="29">
        <v>46089.291666666664</v>
      </c>
      <c r="L608" s="29">
        <v>46327.25</v>
      </c>
      <c r="M608" s="27">
        <v>-4</v>
      </c>
    </row>
    <row r="609" spans="1:13">
      <c r="A609" s="1"/>
      <c r="B609" s="1"/>
      <c r="C609" s="1"/>
      <c r="D609" s="1"/>
      <c r="E609" s="1"/>
      <c r="F609" s="1"/>
      <c r="G609" s="1"/>
      <c r="H609" s="1"/>
      <c r="I609" s="1"/>
      <c r="J609" s="27" t="s">
        <v>721</v>
      </c>
      <c r="K609" s="29">
        <v>46327.25</v>
      </c>
      <c r="L609" s="29">
        <v>46460.291666666664</v>
      </c>
      <c r="M609" s="27">
        <v>-5</v>
      </c>
    </row>
    <row r="610" spans="1:13">
      <c r="A610" s="1"/>
      <c r="B610" s="1"/>
      <c r="C610" s="1"/>
      <c r="D610" s="1"/>
      <c r="E610" s="1"/>
      <c r="F610" s="1"/>
      <c r="G610" s="1"/>
      <c r="H610" s="1"/>
      <c r="I610" s="1"/>
      <c r="J610" s="27" t="s">
        <v>721</v>
      </c>
      <c r="K610" s="29">
        <v>46460.291666666664</v>
      </c>
      <c r="L610" s="29">
        <v>46698.25</v>
      </c>
      <c r="M610" s="27">
        <v>-4</v>
      </c>
    </row>
    <row r="611" spans="1:13">
      <c r="A611" s="1"/>
      <c r="B611" s="1"/>
      <c r="C611" s="1"/>
      <c r="D611" s="1"/>
      <c r="E611" s="1"/>
      <c r="F611" s="1"/>
      <c r="G611" s="1"/>
      <c r="H611" s="1"/>
      <c r="I611" s="1"/>
      <c r="J611" s="27" t="s">
        <v>721</v>
      </c>
      <c r="K611" s="29">
        <v>46698.25</v>
      </c>
      <c r="L611" s="29">
        <v>46824.291666666664</v>
      </c>
      <c r="M611" s="27">
        <v>-5</v>
      </c>
    </row>
    <row r="612" spans="1:13">
      <c r="A612" s="1"/>
      <c r="B612" s="1"/>
      <c r="C612" s="1"/>
      <c r="D612" s="1"/>
      <c r="E612" s="1"/>
      <c r="F612" s="1"/>
      <c r="G612" s="1"/>
      <c r="H612" s="1"/>
      <c r="I612" s="1"/>
      <c r="J612" s="27" t="s">
        <v>721</v>
      </c>
      <c r="K612" s="29">
        <v>46824.291666666664</v>
      </c>
      <c r="L612" s="29">
        <v>47062.25</v>
      </c>
      <c r="M612" s="27">
        <v>-4</v>
      </c>
    </row>
    <row r="613" spans="1:13">
      <c r="A613" s="1"/>
      <c r="B613" s="1"/>
      <c r="C613" s="1"/>
      <c r="D613" s="1"/>
      <c r="E613" s="1"/>
      <c r="F613" s="1"/>
      <c r="G613" s="1"/>
      <c r="H613" s="1"/>
      <c r="I613" s="1"/>
      <c r="J613" s="27" t="s">
        <v>721</v>
      </c>
      <c r="K613" s="29">
        <v>47062.25</v>
      </c>
      <c r="L613" s="29">
        <v>47119</v>
      </c>
      <c r="M613" s="27">
        <v>-5</v>
      </c>
    </row>
    <row r="614" spans="1:13">
      <c r="A614" s="1"/>
      <c r="B614" s="1"/>
      <c r="C614" s="1"/>
      <c r="D614" s="1"/>
      <c r="E614" s="1"/>
      <c r="F614" s="1"/>
      <c r="G614" s="1"/>
      <c r="H614" s="1"/>
      <c r="I614" s="1"/>
      <c r="J614" s="27" t="s">
        <v>723</v>
      </c>
      <c r="K614" s="29">
        <v>46023</v>
      </c>
      <c r="L614" s="29">
        <v>47119</v>
      </c>
      <c r="M614" s="27">
        <v>2</v>
      </c>
    </row>
    <row r="615" spans="1:13">
      <c r="A615" s="1"/>
      <c r="B615" s="1"/>
      <c r="C615" s="1"/>
      <c r="D615" s="1"/>
      <c r="E615" s="1"/>
      <c r="F615" s="1"/>
      <c r="G615" s="1"/>
      <c r="H615" s="1"/>
      <c r="I615" s="1"/>
      <c r="J615" s="27" t="s">
        <v>727</v>
      </c>
      <c r="K615" s="29">
        <v>46023</v>
      </c>
      <c r="L615" s="29">
        <v>47119</v>
      </c>
      <c r="M615" s="27">
        <v>5</v>
      </c>
    </row>
    <row r="616" spans="1:13">
      <c r="A616" s="1"/>
      <c r="B616" s="1"/>
      <c r="C616" s="1"/>
      <c r="D616" s="1"/>
      <c r="E616" s="1"/>
      <c r="F616" s="1"/>
      <c r="G616" s="1"/>
      <c r="H616" s="1"/>
      <c r="I616" s="1"/>
      <c r="J616" s="27" t="s">
        <v>729</v>
      </c>
      <c r="K616" s="29">
        <v>46023</v>
      </c>
      <c r="L616" s="29">
        <v>46110.041666666664</v>
      </c>
      <c r="M616" s="27">
        <v>1</v>
      </c>
    </row>
    <row r="617" spans="1:13">
      <c r="A617" s="1"/>
      <c r="B617" s="1"/>
      <c r="C617" s="1"/>
      <c r="D617" s="1"/>
      <c r="E617" s="1"/>
      <c r="F617" s="1"/>
      <c r="G617" s="1"/>
      <c r="H617" s="1"/>
      <c r="I617" s="1"/>
      <c r="J617" s="27" t="s">
        <v>729</v>
      </c>
      <c r="K617" s="29">
        <v>46110.041666666664</v>
      </c>
      <c r="L617" s="29">
        <v>46320.041666666664</v>
      </c>
      <c r="M617" s="27">
        <v>2</v>
      </c>
    </row>
    <row r="618" spans="1:13">
      <c r="A618" s="1"/>
      <c r="B618" s="1"/>
      <c r="C618" s="1"/>
      <c r="D618" s="1"/>
      <c r="E618" s="1"/>
      <c r="F618" s="1"/>
      <c r="G618" s="1"/>
      <c r="H618" s="1"/>
      <c r="I618" s="1"/>
      <c r="J618" s="27" t="s">
        <v>729</v>
      </c>
      <c r="K618" s="29">
        <v>46320.041666666664</v>
      </c>
      <c r="L618" s="29">
        <v>46474.041666666664</v>
      </c>
      <c r="M618" s="27">
        <v>1</v>
      </c>
    </row>
    <row r="619" spans="1:13">
      <c r="A619" s="1"/>
      <c r="B619" s="1"/>
      <c r="C619" s="1"/>
      <c r="D619" s="1"/>
      <c r="E619" s="1"/>
      <c r="F619" s="1"/>
      <c r="G619" s="1"/>
      <c r="H619" s="1"/>
      <c r="I619" s="1"/>
      <c r="J619" s="27" t="s">
        <v>729</v>
      </c>
      <c r="K619" s="29">
        <v>46474.041666666664</v>
      </c>
      <c r="L619" s="29">
        <v>46691.041666666664</v>
      </c>
      <c r="M619" s="27">
        <v>2</v>
      </c>
    </row>
    <row r="620" spans="1:13">
      <c r="A620" s="1"/>
      <c r="B620" s="1"/>
      <c r="C620" s="1"/>
      <c r="D620" s="1"/>
      <c r="E620" s="1"/>
      <c r="F620" s="1"/>
      <c r="G620" s="1"/>
      <c r="H620" s="1"/>
      <c r="I620" s="1"/>
      <c r="J620" s="27" t="s">
        <v>729</v>
      </c>
      <c r="K620" s="29">
        <v>46691.041666666664</v>
      </c>
      <c r="L620" s="29">
        <v>46838.041666666664</v>
      </c>
      <c r="M620" s="27">
        <v>1</v>
      </c>
    </row>
    <row r="621" spans="1:13">
      <c r="A621" s="1"/>
      <c r="B621" s="1"/>
      <c r="C621" s="1"/>
      <c r="D621" s="1"/>
      <c r="E621" s="1"/>
      <c r="F621" s="1"/>
      <c r="G621" s="1"/>
      <c r="H621" s="1"/>
      <c r="I621" s="1"/>
      <c r="J621" s="27" t="s">
        <v>729</v>
      </c>
      <c r="K621" s="29">
        <v>46838.041666666664</v>
      </c>
      <c r="L621" s="29">
        <v>47055.041666666664</v>
      </c>
      <c r="M621" s="27">
        <v>2</v>
      </c>
    </row>
    <row r="622" spans="1:13">
      <c r="A622" s="1"/>
      <c r="B622" s="1"/>
      <c r="C622" s="1"/>
      <c r="D622" s="1"/>
      <c r="E622" s="1"/>
      <c r="F622" s="1"/>
      <c r="G622" s="1"/>
      <c r="H622" s="1"/>
      <c r="I622" s="1"/>
      <c r="J622" s="27" t="s">
        <v>729</v>
      </c>
      <c r="K622" s="29">
        <v>47055.041666666664</v>
      </c>
      <c r="L622" s="29">
        <v>47119</v>
      </c>
      <c r="M622" s="27">
        <v>1</v>
      </c>
    </row>
    <row r="623" spans="1:13">
      <c r="A623" s="1"/>
      <c r="B623" s="1"/>
      <c r="C623" s="1"/>
      <c r="D623" s="1"/>
      <c r="E623" s="1"/>
      <c r="F623" s="1"/>
      <c r="G623" s="1"/>
      <c r="H623" s="1"/>
      <c r="I623" s="1"/>
      <c r="J623" s="27" t="s">
        <v>732</v>
      </c>
      <c r="K623" s="29">
        <v>46023</v>
      </c>
      <c r="L623" s="29">
        <v>46110.041666666664</v>
      </c>
      <c r="M623" s="27">
        <v>1</v>
      </c>
    </row>
    <row r="624" spans="1:13">
      <c r="A624" s="1"/>
      <c r="B624" s="1"/>
      <c r="C624" s="1"/>
      <c r="D624" s="1"/>
      <c r="E624" s="1"/>
      <c r="F624" s="1"/>
      <c r="G624" s="1"/>
      <c r="H624" s="1"/>
      <c r="I624" s="1"/>
      <c r="J624" s="27" t="s">
        <v>732</v>
      </c>
      <c r="K624" s="29">
        <v>46110.041666666664</v>
      </c>
      <c r="L624" s="29">
        <v>46320.041666666664</v>
      </c>
      <c r="M624" s="27">
        <v>2</v>
      </c>
    </row>
    <row r="625" spans="1:13">
      <c r="A625" s="1"/>
      <c r="B625" s="1"/>
      <c r="C625" s="1"/>
      <c r="D625" s="1"/>
      <c r="E625" s="1"/>
      <c r="F625" s="1"/>
      <c r="G625" s="1"/>
      <c r="H625" s="1"/>
      <c r="I625" s="1"/>
      <c r="J625" s="27" t="s">
        <v>732</v>
      </c>
      <c r="K625" s="29">
        <v>46320.041666666664</v>
      </c>
      <c r="L625" s="29">
        <v>46474.041666666664</v>
      </c>
      <c r="M625" s="27">
        <v>1</v>
      </c>
    </row>
    <row r="626" spans="1:13">
      <c r="A626" s="1"/>
      <c r="B626" s="1"/>
      <c r="C626" s="1"/>
      <c r="D626" s="1"/>
      <c r="E626" s="1"/>
      <c r="F626" s="1"/>
      <c r="G626" s="1"/>
      <c r="H626" s="1"/>
      <c r="I626" s="1"/>
      <c r="J626" s="27" t="s">
        <v>732</v>
      </c>
      <c r="K626" s="29">
        <v>46474.041666666664</v>
      </c>
      <c r="L626" s="29">
        <v>46691.041666666664</v>
      </c>
      <c r="M626" s="27">
        <v>2</v>
      </c>
    </row>
    <row r="627" spans="1:13">
      <c r="A627" s="1"/>
      <c r="B627" s="1"/>
      <c r="C627" s="1"/>
      <c r="D627" s="1"/>
      <c r="E627" s="1"/>
      <c r="F627" s="1"/>
      <c r="G627" s="1"/>
      <c r="H627" s="1"/>
      <c r="I627" s="1"/>
      <c r="J627" s="27" t="s">
        <v>732</v>
      </c>
      <c r="K627" s="29">
        <v>46691.041666666664</v>
      </c>
      <c r="L627" s="29">
        <v>46838.041666666664</v>
      </c>
      <c r="M627" s="27">
        <v>1</v>
      </c>
    </row>
    <row r="628" spans="1:13">
      <c r="A628" s="1"/>
      <c r="B628" s="1"/>
      <c r="C628" s="1"/>
      <c r="D628" s="1"/>
      <c r="E628" s="1"/>
      <c r="F628" s="1"/>
      <c r="G628" s="1"/>
      <c r="H628" s="1"/>
      <c r="I628" s="1"/>
      <c r="J628" s="27" t="s">
        <v>732</v>
      </c>
      <c r="K628" s="29">
        <v>46838.041666666664</v>
      </c>
      <c r="L628" s="29">
        <v>47055.041666666664</v>
      </c>
      <c r="M628" s="27">
        <v>2</v>
      </c>
    </row>
    <row r="629" spans="1:13">
      <c r="A629" s="1"/>
      <c r="B629" s="1"/>
      <c r="C629" s="1"/>
      <c r="D629" s="1"/>
      <c r="E629" s="1"/>
      <c r="F629" s="1"/>
      <c r="G629" s="1"/>
      <c r="H629" s="1"/>
      <c r="I629" s="1"/>
      <c r="J629" s="27" t="s">
        <v>732</v>
      </c>
      <c r="K629" s="29">
        <v>47055.041666666664</v>
      </c>
      <c r="L629" s="29">
        <v>47119</v>
      </c>
      <c r="M629" s="27">
        <v>1</v>
      </c>
    </row>
    <row r="630" spans="1:13">
      <c r="A630" s="1"/>
      <c r="B630" s="1"/>
      <c r="C630" s="1"/>
      <c r="D630" s="1"/>
      <c r="E630" s="1"/>
      <c r="F630" s="1"/>
      <c r="G630" s="1"/>
      <c r="H630" s="1"/>
      <c r="I630" s="1"/>
      <c r="J630" s="27" t="s">
        <v>735</v>
      </c>
      <c r="K630" s="29">
        <v>46023</v>
      </c>
      <c r="L630" s="29">
        <v>46117.125</v>
      </c>
      <c r="M630" s="27">
        <v>-3</v>
      </c>
    </row>
    <row r="631" spans="1:13">
      <c r="A631" s="1"/>
      <c r="B631" s="1"/>
      <c r="C631" s="1"/>
      <c r="D631" s="1"/>
      <c r="E631" s="1"/>
      <c r="F631" s="1"/>
      <c r="G631" s="1"/>
      <c r="H631" s="1"/>
      <c r="I631" s="1"/>
      <c r="J631" s="27" t="s">
        <v>735</v>
      </c>
      <c r="K631" s="29">
        <v>46117.125</v>
      </c>
      <c r="L631" s="29">
        <v>46271.166666666664</v>
      </c>
      <c r="M631" s="27">
        <v>-4</v>
      </c>
    </row>
    <row r="632" spans="1:13">
      <c r="A632" s="1"/>
      <c r="B632" s="1"/>
      <c r="C632" s="1"/>
      <c r="D632" s="1"/>
      <c r="E632" s="1"/>
      <c r="F632" s="1"/>
      <c r="G632" s="1"/>
      <c r="H632" s="1"/>
      <c r="I632" s="1"/>
      <c r="J632" s="27" t="s">
        <v>735</v>
      </c>
      <c r="K632" s="29">
        <v>46271.166666666664</v>
      </c>
      <c r="L632" s="29">
        <v>46481.125</v>
      </c>
      <c r="M632" s="27">
        <v>-3</v>
      </c>
    </row>
    <row r="633" spans="1:13">
      <c r="A633" s="1"/>
      <c r="B633" s="1"/>
      <c r="C633" s="1"/>
      <c r="D633" s="1"/>
      <c r="E633" s="1"/>
      <c r="F633" s="1"/>
      <c r="G633" s="1"/>
      <c r="H633" s="1"/>
      <c r="I633" s="1"/>
      <c r="J633" s="27" t="s">
        <v>735</v>
      </c>
      <c r="K633" s="29">
        <v>46481.125</v>
      </c>
      <c r="L633" s="29">
        <v>46635.166666666664</v>
      </c>
      <c r="M633" s="27">
        <v>-4</v>
      </c>
    </row>
    <row r="634" spans="1:13">
      <c r="A634" s="1"/>
      <c r="B634" s="1"/>
      <c r="C634" s="1"/>
      <c r="D634" s="1"/>
      <c r="E634" s="1"/>
      <c r="F634" s="1"/>
      <c r="G634" s="1"/>
      <c r="H634" s="1"/>
      <c r="I634" s="1"/>
      <c r="J634" s="27" t="s">
        <v>735</v>
      </c>
      <c r="K634" s="29">
        <v>46635.166666666664</v>
      </c>
      <c r="L634" s="29">
        <v>46845.125</v>
      </c>
      <c r="M634" s="27">
        <v>-3</v>
      </c>
    </row>
    <row r="635" spans="1:13">
      <c r="A635" s="1"/>
      <c r="B635" s="1"/>
      <c r="C635" s="1"/>
      <c r="D635" s="1"/>
      <c r="E635" s="1"/>
      <c r="F635" s="1"/>
      <c r="G635" s="1"/>
      <c r="H635" s="1"/>
      <c r="I635" s="1"/>
      <c r="J635" s="27" t="s">
        <v>735</v>
      </c>
      <c r="K635" s="29">
        <v>46845.125</v>
      </c>
      <c r="L635" s="29">
        <v>46999.166666666664</v>
      </c>
      <c r="M635" s="27">
        <v>-4</v>
      </c>
    </row>
    <row r="636" spans="1:13">
      <c r="A636" s="1"/>
      <c r="B636" s="1"/>
      <c r="C636" s="1"/>
      <c r="D636" s="1"/>
      <c r="E636" s="1"/>
      <c r="F636" s="1"/>
      <c r="G636" s="1"/>
      <c r="H636" s="1"/>
      <c r="I636" s="1"/>
      <c r="J636" s="27" t="s">
        <v>735</v>
      </c>
      <c r="K636" s="29">
        <v>46999.166666666664</v>
      </c>
      <c r="L636" s="29">
        <v>47119</v>
      </c>
      <c r="M636" s="27">
        <v>-3</v>
      </c>
    </row>
    <row r="637" spans="1:13">
      <c r="A637" s="1"/>
      <c r="B637" s="1"/>
      <c r="C637" s="1"/>
      <c r="D637" s="1"/>
      <c r="E637" s="1"/>
      <c r="F637" s="1"/>
      <c r="G637" s="1"/>
      <c r="H637" s="1"/>
      <c r="I637" s="1"/>
      <c r="J637" s="27" t="s">
        <v>737</v>
      </c>
      <c r="K637" s="29">
        <v>46023</v>
      </c>
      <c r="L637" s="29">
        <v>46110.041666666664</v>
      </c>
      <c r="M637" s="27">
        <v>1</v>
      </c>
    </row>
    <row r="638" spans="1:13">
      <c r="A638" s="1"/>
      <c r="B638" s="1"/>
      <c r="C638" s="1"/>
      <c r="D638" s="1"/>
      <c r="E638" s="1"/>
      <c r="F638" s="1"/>
      <c r="G638" s="1"/>
      <c r="H638" s="1"/>
      <c r="I638" s="1"/>
      <c r="J638" s="27" t="s">
        <v>737</v>
      </c>
      <c r="K638" s="29">
        <v>46110.041666666664</v>
      </c>
      <c r="L638" s="29">
        <v>46320.041666666664</v>
      </c>
      <c r="M638" s="27">
        <v>2</v>
      </c>
    </row>
    <row r="639" spans="1:13">
      <c r="A639" s="1"/>
      <c r="B639" s="1"/>
      <c r="C639" s="1"/>
      <c r="D639" s="1"/>
      <c r="E639" s="1"/>
      <c r="F639" s="1"/>
      <c r="G639" s="1"/>
      <c r="H639" s="1"/>
      <c r="I639" s="1"/>
      <c r="J639" s="27" t="s">
        <v>737</v>
      </c>
      <c r="K639" s="29">
        <v>46320.041666666664</v>
      </c>
      <c r="L639" s="29">
        <v>46474.041666666664</v>
      </c>
      <c r="M639" s="27">
        <v>1</v>
      </c>
    </row>
    <row r="640" spans="1:13">
      <c r="A640" s="1"/>
      <c r="B640" s="1"/>
      <c r="C640" s="1"/>
      <c r="D640" s="1"/>
      <c r="E640" s="1"/>
      <c r="F640" s="1"/>
      <c r="G640" s="1"/>
      <c r="H640" s="1"/>
      <c r="I640" s="1"/>
      <c r="J640" s="27" t="s">
        <v>737</v>
      </c>
      <c r="K640" s="29">
        <v>46474.041666666664</v>
      </c>
      <c r="L640" s="29">
        <v>46691.041666666664</v>
      </c>
      <c r="M640" s="27">
        <v>2</v>
      </c>
    </row>
    <row r="641" spans="1:13">
      <c r="A641" s="1"/>
      <c r="B641" s="1"/>
      <c r="C641" s="1"/>
      <c r="D641" s="1"/>
      <c r="E641" s="1"/>
      <c r="F641" s="1"/>
      <c r="G641" s="1"/>
      <c r="H641" s="1"/>
      <c r="I641" s="1"/>
      <c r="J641" s="27" t="s">
        <v>737</v>
      </c>
      <c r="K641" s="29">
        <v>46691.041666666664</v>
      </c>
      <c r="L641" s="29">
        <v>46838.041666666664</v>
      </c>
      <c r="M641" s="27">
        <v>1</v>
      </c>
    </row>
    <row r="642" spans="1:13">
      <c r="A642" s="1"/>
      <c r="B642" s="1"/>
      <c r="C642" s="1"/>
      <c r="D642" s="1"/>
      <c r="E642" s="1"/>
      <c r="F642" s="1"/>
      <c r="G642" s="1"/>
      <c r="H642" s="1"/>
      <c r="I642" s="1"/>
      <c r="J642" s="27" t="s">
        <v>737</v>
      </c>
      <c r="K642" s="29">
        <v>46838.041666666664</v>
      </c>
      <c r="L642" s="29">
        <v>47055.041666666664</v>
      </c>
      <c r="M642" s="27">
        <v>2</v>
      </c>
    </row>
    <row r="643" spans="1:13">
      <c r="A643" s="1"/>
      <c r="B643" s="1"/>
      <c r="C643" s="1"/>
      <c r="D643" s="1"/>
      <c r="E643" s="1"/>
      <c r="F643" s="1"/>
      <c r="G643" s="1"/>
      <c r="H643" s="1"/>
      <c r="I643" s="1"/>
      <c r="J643" s="27" t="s">
        <v>737</v>
      </c>
      <c r="K643" s="29">
        <v>47055.041666666664</v>
      </c>
      <c r="L643" s="29">
        <v>47119</v>
      </c>
      <c r="M643" s="27">
        <v>1</v>
      </c>
    </row>
    <row r="644" spans="1:13">
      <c r="A644" s="1"/>
      <c r="B644" s="1"/>
      <c r="C644" s="1"/>
      <c r="D644" s="1"/>
      <c r="E644" s="1"/>
      <c r="F644" s="1"/>
      <c r="G644" s="1"/>
      <c r="H644" s="1"/>
      <c r="I644" s="1"/>
      <c r="J644" s="27" t="s">
        <v>739</v>
      </c>
      <c r="K644" s="29">
        <v>46023</v>
      </c>
      <c r="L644" s="29">
        <v>46110.041666666664</v>
      </c>
      <c r="M644" s="27">
        <v>1</v>
      </c>
    </row>
    <row r="645" spans="1:13">
      <c r="A645" s="1"/>
      <c r="B645" s="1"/>
      <c r="C645" s="1"/>
      <c r="D645" s="1"/>
      <c r="E645" s="1"/>
      <c r="F645" s="1"/>
      <c r="G645" s="1"/>
      <c r="H645" s="1"/>
      <c r="I645" s="1"/>
      <c r="J645" s="27" t="s">
        <v>739</v>
      </c>
      <c r="K645" s="29">
        <v>46110.041666666664</v>
      </c>
      <c r="L645" s="29">
        <v>46320.041666666664</v>
      </c>
      <c r="M645" s="27">
        <v>2</v>
      </c>
    </row>
    <row r="646" spans="1:13">
      <c r="A646" s="1"/>
      <c r="B646" s="1"/>
      <c r="C646" s="1"/>
      <c r="D646" s="1"/>
      <c r="E646" s="1"/>
      <c r="F646" s="1"/>
      <c r="G646" s="1"/>
      <c r="H646" s="1"/>
      <c r="I646" s="1"/>
      <c r="J646" s="27" t="s">
        <v>739</v>
      </c>
      <c r="K646" s="29">
        <v>46320.041666666664</v>
      </c>
      <c r="L646" s="29">
        <v>46474.041666666664</v>
      </c>
      <c r="M646" s="27">
        <v>1</v>
      </c>
    </row>
    <row r="647" spans="1:13">
      <c r="A647" s="1"/>
      <c r="B647" s="1"/>
      <c r="C647" s="1"/>
      <c r="D647" s="1"/>
      <c r="E647" s="1"/>
      <c r="F647" s="1"/>
      <c r="G647" s="1"/>
      <c r="H647" s="1"/>
      <c r="I647" s="1"/>
      <c r="J647" s="27" t="s">
        <v>739</v>
      </c>
      <c r="K647" s="29">
        <v>46474.041666666664</v>
      </c>
      <c r="L647" s="29">
        <v>46691.041666666664</v>
      </c>
      <c r="M647" s="27">
        <v>2</v>
      </c>
    </row>
    <row r="648" spans="1:13">
      <c r="A648" s="1"/>
      <c r="B648" s="1"/>
      <c r="C648" s="1"/>
      <c r="D648" s="1"/>
      <c r="E648" s="1"/>
      <c r="F648" s="1"/>
      <c r="G648" s="1"/>
      <c r="H648" s="1"/>
      <c r="I648" s="1"/>
      <c r="J648" s="27" t="s">
        <v>739</v>
      </c>
      <c r="K648" s="29">
        <v>46691.041666666664</v>
      </c>
      <c r="L648" s="29">
        <v>46838.041666666664</v>
      </c>
      <c r="M648" s="27">
        <v>1</v>
      </c>
    </row>
    <row r="649" spans="1:13">
      <c r="A649" s="1"/>
      <c r="B649" s="1"/>
      <c r="C649" s="1"/>
      <c r="D649" s="1"/>
      <c r="E649" s="1"/>
      <c r="F649" s="1"/>
      <c r="G649" s="1"/>
      <c r="H649" s="1"/>
      <c r="I649" s="1"/>
      <c r="J649" s="27" t="s">
        <v>739</v>
      </c>
      <c r="K649" s="29">
        <v>46838.041666666664</v>
      </c>
      <c r="L649" s="29">
        <v>47055.041666666664</v>
      </c>
      <c r="M649" s="27">
        <v>2</v>
      </c>
    </row>
    <row r="650" spans="1:13">
      <c r="A650" s="1"/>
      <c r="B650" s="1"/>
      <c r="C650" s="1"/>
      <c r="D650" s="1"/>
      <c r="E650" s="1"/>
      <c r="F650" s="1"/>
      <c r="G650" s="1"/>
      <c r="H650" s="1"/>
      <c r="I650" s="1"/>
      <c r="J650" s="27" t="s">
        <v>739</v>
      </c>
      <c r="K650" s="29">
        <v>47055.041666666664</v>
      </c>
      <c r="L650" s="29">
        <v>47119</v>
      </c>
      <c r="M650" s="27">
        <v>1</v>
      </c>
    </row>
    <row r="651" spans="1:13">
      <c r="A651" s="1"/>
      <c r="B651" s="1"/>
      <c r="C651" s="1"/>
      <c r="D651" s="1"/>
      <c r="E651" s="1"/>
      <c r="F651" s="1"/>
      <c r="G651" s="1"/>
      <c r="H651" s="1"/>
      <c r="I651" s="1"/>
      <c r="J651" s="27" t="s">
        <v>742</v>
      </c>
      <c r="K651" s="29">
        <v>46023</v>
      </c>
      <c r="L651" s="29">
        <v>46110.041666666664</v>
      </c>
      <c r="M651" s="27">
        <v>2</v>
      </c>
    </row>
    <row r="652" spans="1:13">
      <c r="A652" s="1"/>
      <c r="B652" s="1"/>
      <c r="C652" s="1"/>
      <c r="D652" s="1"/>
      <c r="E652" s="1"/>
      <c r="F652" s="1"/>
      <c r="G652" s="1"/>
      <c r="H652" s="1"/>
      <c r="I652" s="1"/>
      <c r="J652" s="27" t="s">
        <v>742</v>
      </c>
      <c r="K652" s="29">
        <v>46110.041666666664</v>
      </c>
      <c r="L652" s="29">
        <v>46320.041666666664</v>
      </c>
      <c r="M652" s="27">
        <v>3</v>
      </c>
    </row>
    <row r="653" spans="1:13">
      <c r="A653" s="1"/>
      <c r="B653" s="1"/>
      <c r="C653" s="1"/>
      <c r="D653" s="1"/>
      <c r="E653" s="1"/>
      <c r="F653" s="1"/>
      <c r="G653" s="1"/>
      <c r="H653" s="1"/>
      <c r="I653" s="1"/>
      <c r="J653" s="27" t="s">
        <v>742</v>
      </c>
      <c r="K653" s="29">
        <v>46320.041666666664</v>
      </c>
      <c r="L653" s="29">
        <v>46474.041666666664</v>
      </c>
      <c r="M653" s="27">
        <v>2</v>
      </c>
    </row>
    <row r="654" spans="1:13">
      <c r="A654" s="1"/>
      <c r="B654" s="1"/>
      <c r="C654" s="1"/>
      <c r="D654" s="1"/>
      <c r="E654" s="1"/>
      <c r="F654" s="1"/>
      <c r="G654" s="1"/>
      <c r="H654" s="1"/>
      <c r="I654" s="1"/>
      <c r="J654" s="27" t="s">
        <v>742</v>
      </c>
      <c r="K654" s="29">
        <v>46474.041666666664</v>
      </c>
      <c r="L654" s="29">
        <v>46691.041666666664</v>
      </c>
      <c r="M654" s="27">
        <v>3</v>
      </c>
    </row>
    <row r="655" spans="1:13">
      <c r="A655" s="1"/>
      <c r="B655" s="1"/>
      <c r="C655" s="1"/>
      <c r="D655" s="1"/>
      <c r="E655" s="1"/>
      <c r="F655" s="1"/>
      <c r="G655" s="1"/>
      <c r="H655" s="1"/>
      <c r="I655" s="1"/>
      <c r="J655" s="27" t="s">
        <v>742</v>
      </c>
      <c r="K655" s="29">
        <v>46691.041666666664</v>
      </c>
      <c r="L655" s="29">
        <v>46838.041666666664</v>
      </c>
      <c r="M655" s="27">
        <v>2</v>
      </c>
    </row>
    <row r="656" spans="1:13">
      <c r="A656" s="1"/>
      <c r="B656" s="1"/>
      <c r="C656" s="1"/>
      <c r="D656" s="1"/>
      <c r="E656" s="1"/>
      <c r="F656" s="1"/>
      <c r="G656" s="1"/>
      <c r="H656" s="1"/>
      <c r="I656" s="1"/>
      <c r="J656" s="27" t="s">
        <v>742</v>
      </c>
      <c r="K656" s="29">
        <v>46838.041666666664</v>
      </c>
      <c r="L656" s="29">
        <v>47055.041666666664</v>
      </c>
      <c r="M656" s="27">
        <v>3</v>
      </c>
    </row>
    <row r="657" spans="1:13">
      <c r="A657" s="1"/>
      <c r="B657" s="1"/>
      <c r="C657" s="1"/>
      <c r="D657" s="1"/>
      <c r="E657" s="1"/>
      <c r="F657" s="1"/>
      <c r="G657" s="1"/>
      <c r="H657" s="1"/>
      <c r="I657" s="1"/>
      <c r="J657" s="27" t="s">
        <v>742</v>
      </c>
      <c r="K657" s="29">
        <v>47055.041666666664</v>
      </c>
      <c r="L657" s="29">
        <v>47119</v>
      </c>
      <c r="M657" s="27">
        <v>2</v>
      </c>
    </row>
    <row r="658" spans="1:13">
      <c r="A658" s="1"/>
      <c r="B658" s="1"/>
      <c r="C658" s="1"/>
      <c r="D658" s="1"/>
      <c r="E658" s="1"/>
      <c r="F658" s="1"/>
      <c r="G658" s="1"/>
      <c r="H658" s="1"/>
      <c r="I658" s="1"/>
      <c r="J658" s="27" t="s">
        <v>745</v>
      </c>
      <c r="K658" s="29">
        <v>46023</v>
      </c>
      <c r="L658" s="29">
        <v>47119</v>
      </c>
      <c r="M658" s="27">
        <v>7</v>
      </c>
    </row>
    <row r="659" spans="1:13">
      <c r="A659" s="1"/>
      <c r="B659" s="1"/>
      <c r="C659" s="1"/>
      <c r="D659" s="1"/>
      <c r="E659" s="1"/>
      <c r="F659" s="1"/>
      <c r="G659" s="1"/>
      <c r="H659" s="1"/>
      <c r="I659" s="1"/>
      <c r="J659" s="27" t="s">
        <v>747</v>
      </c>
      <c r="K659" s="29">
        <v>46023</v>
      </c>
      <c r="L659" s="29">
        <v>46110.041666666664</v>
      </c>
      <c r="M659" s="27">
        <v>1</v>
      </c>
    </row>
    <row r="660" spans="1:13">
      <c r="A660" s="1"/>
      <c r="B660" s="1"/>
      <c r="C660" s="1"/>
      <c r="D660" s="1"/>
      <c r="E660" s="1"/>
      <c r="F660" s="1"/>
      <c r="G660" s="1"/>
      <c r="H660" s="1"/>
      <c r="I660" s="1"/>
      <c r="J660" s="27" t="s">
        <v>747</v>
      </c>
      <c r="K660" s="29">
        <v>46110.041666666664</v>
      </c>
      <c r="L660" s="29">
        <v>46320.041666666664</v>
      </c>
      <c r="M660" s="27">
        <v>2</v>
      </c>
    </row>
    <row r="661" spans="1:13">
      <c r="A661" s="1"/>
      <c r="B661" s="1"/>
      <c r="C661" s="1"/>
      <c r="D661" s="1"/>
      <c r="E661" s="1"/>
      <c r="F661" s="1"/>
      <c r="G661" s="1"/>
      <c r="H661" s="1"/>
      <c r="I661" s="1"/>
      <c r="J661" s="27" t="s">
        <v>747</v>
      </c>
      <c r="K661" s="29">
        <v>46320.041666666664</v>
      </c>
      <c r="L661" s="29">
        <v>46474.041666666664</v>
      </c>
      <c r="M661" s="27">
        <v>1</v>
      </c>
    </row>
    <row r="662" spans="1:13">
      <c r="A662" s="1"/>
      <c r="B662" s="1"/>
      <c r="C662" s="1"/>
      <c r="D662" s="1"/>
      <c r="E662" s="1"/>
      <c r="F662" s="1"/>
      <c r="G662" s="1"/>
      <c r="H662" s="1"/>
      <c r="I662" s="1"/>
      <c r="J662" s="27" t="s">
        <v>747</v>
      </c>
      <c r="K662" s="29">
        <v>46474.041666666664</v>
      </c>
      <c r="L662" s="29">
        <v>46691.041666666664</v>
      </c>
      <c r="M662" s="27">
        <v>2</v>
      </c>
    </row>
    <row r="663" spans="1:13">
      <c r="A663" s="1"/>
      <c r="B663" s="1"/>
      <c r="C663" s="1"/>
      <c r="D663" s="1"/>
      <c r="E663" s="1"/>
      <c r="F663" s="1"/>
      <c r="G663" s="1"/>
      <c r="H663" s="1"/>
      <c r="I663" s="1"/>
      <c r="J663" s="27" t="s">
        <v>747</v>
      </c>
      <c r="K663" s="29">
        <v>46691.041666666664</v>
      </c>
      <c r="L663" s="29">
        <v>46838.041666666664</v>
      </c>
      <c r="M663" s="27">
        <v>1</v>
      </c>
    </row>
    <row r="664" spans="1:13">
      <c r="A664" s="1"/>
      <c r="B664" s="1"/>
      <c r="C664" s="1"/>
      <c r="D664" s="1"/>
      <c r="E664" s="1"/>
      <c r="F664" s="1"/>
      <c r="G664" s="1"/>
      <c r="H664" s="1"/>
      <c r="I664" s="1"/>
      <c r="J664" s="27" t="s">
        <v>747</v>
      </c>
      <c r="K664" s="29">
        <v>46838.041666666664</v>
      </c>
      <c r="L664" s="29">
        <v>47055.041666666664</v>
      </c>
      <c r="M664" s="27">
        <v>2</v>
      </c>
    </row>
    <row r="665" spans="1:13">
      <c r="A665" s="1"/>
      <c r="B665" s="1"/>
      <c r="C665" s="1"/>
      <c r="D665" s="1"/>
      <c r="E665" s="1"/>
      <c r="F665" s="1"/>
      <c r="G665" s="1"/>
      <c r="H665" s="1"/>
      <c r="I665" s="1"/>
      <c r="J665" s="27" t="s">
        <v>747</v>
      </c>
      <c r="K665" s="29">
        <v>47055.041666666664</v>
      </c>
      <c r="L665" s="29">
        <v>47119</v>
      </c>
      <c r="M665" s="27">
        <v>1</v>
      </c>
    </row>
    <row r="666" spans="1:13">
      <c r="A666" s="1"/>
      <c r="B666" s="1"/>
      <c r="C666" s="1"/>
      <c r="D666" s="1"/>
      <c r="E666" s="1"/>
      <c r="F666" s="1"/>
      <c r="G666" s="1"/>
      <c r="H666" s="1"/>
      <c r="I666" s="1"/>
      <c r="J666" s="27" t="s">
        <v>749</v>
      </c>
      <c r="K666" s="29">
        <v>46023</v>
      </c>
      <c r="L666" s="29">
        <v>47119</v>
      </c>
      <c r="M666" s="27">
        <v>1</v>
      </c>
    </row>
    <row r="667" spans="1:13">
      <c r="A667" s="1"/>
      <c r="B667" s="1"/>
      <c r="C667" s="1"/>
      <c r="D667" s="1"/>
      <c r="E667" s="1"/>
      <c r="F667" s="1"/>
      <c r="G667" s="1"/>
      <c r="H667" s="1"/>
      <c r="I667" s="1"/>
      <c r="J667" s="27" t="s">
        <v>752</v>
      </c>
      <c r="K667" s="29">
        <v>46023</v>
      </c>
      <c r="L667" s="29">
        <v>47119</v>
      </c>
      <c r="M667" s="27">
        <v>5</v>
      </c>
    </row>
    <row r="668" spans="1:13">
      <c r="A668" s="1"/>
      <c r="B668" s="1"/>
      <c r="C668" s="1"/>
      <c r="D668" s="1"/>
      <c r="E668" s="1"/>
      <c r="F668" s="1"/>
      <c r="G668" s="1"/>
      <c r="H668" s="1"/>
      <c r="I668" s="1"/>
      <c r="J668" s="27" t="s">
        <v>754</v>
      </c>
      <c r="K668" s="29">
        <v>46023</v>
      </c>
      <c r="L668" s="29">
        <v>47119</v>
      </c>
      <c r="M668" s="27">
        <v>4</v>
      </c>
    </row>
    <row r="669" spans="1:13">
      <c r="A669" s="1"/>
      <c r="B669" s="1"/>
      <c r="C669" s="1"/>
      <c r="D669" s="1"/>
      <c r="E669" s="1"/>
      <c r="F669" s="1"/>
      <c r="G669" s="1"/>
      <c r="H669" s="1"/>
      <c r="I669" s="1"/>
      <c r="J669" s="27" t="s">
        <v>758</v>
      </c>
      <c r="K669" s="29">
        <v>46023</v>
      </c>
      <c r="L669" s="29">
        <v>46110.041666666664</v>
      </c>
      <c r="M669" s="27">
        <v>1</v>
      </c>
    </row>
    <row r="670" spans="1:13">
      <c r="A670" s="1"/>
      <c r="B670" s="1"/>
      <c r="C670" s="1"/>
      <c r="D670" s="1"/>
      <c r="E670" s="1"/>
      <c r="F670" s="1"/>
      <c r="G670" s="1"/>
      <c r="H670" s="1"/>
      <c r="I670" s="1"/>
      <c r="J670" s="27" t="s">
        <v>758</v>
      </c>
      <c r="K670" s="29">
        <v>46110.041666666664</v>
      </c>
      <c r="L670" s="29">
        <v>46320.041666666664</v>
      </c>
      <c r="M670" s="27">
        <v>2</v>
      </c>
    </row>
    <row r="671" spans="1:13">
      <c r="A671" s="1"/>
      <c r="B671" s="1"/>
      <c r="C671" s="1"/>
      <c r="D671" s="1"/>
      <c r="E671" s="1"/>
      <c r="F671" s="1"/>
      <c r="G671" s="1"/>
      <c r="H671" s="1"/>
      <c r="I671" s="1"/>
      <c r="J671" s="27" t="s">
        <v>758</v>
      </c>
      <c r="K671" s="29">
        <v>46320.041666666664</v>
      </c>
      <c r="L671" s="29">
        <v>46474.041666666664</v>
      </c>
      <c r="M671" s="27">
        <v>1</v>
      </c>
    </row>
    <row r="672" spans="1:13">
      <c r="A672" s="1"/>
      <c r="B672" s="1"/>
      <c r="C672" s="1"/>
      <c r="D672" s="1"/>
      <c r="E672" s="1"/>
      <c r="F672" s="1"/>
      <c r="G672" s="1"/>
      <c r="H672" s="1"/>
      <c r="I672" s="1"/>
      <c r="J672" s="27" t="s">
        <v>758</v>
      </c>
      <c r="K672" s="29">
        <v>46474.041666666664</v>
      </c>
      <c r="L672" s="29">
        <v>46691.041666666664</v>
      </c>
      <c r="M672" s="27">
        <v>2</v>
      </c>
    </row>
    <row r="673" spans="1:13">
      <c r="A673" s="1"/>
      <c r="B673" s="1"/>
      <c r="C673" s="1"/>
      <c r="D673" s="1"/>
      <c r="E673" s="1"/>
      <c r="F673" s="1"/>
      <c r="G673" s="1"/>
      <c r="H673" s="1"/>
      <c r="I673" s="1"/>
      <c r="J673" s="27" t="s">
        <v>758</v>
      </c>
      <c r="K673" s="29">
        <v>46691.041666666664</v>
      </c>
      <c r="L673" s="29">
        <v>46838.041666666664</v>
      </c>
      <c r="M673" s="27">
        <v>1</v>
      </c>
    </row>
    <row r="674" spans="1:13">
      <c r="A674" s="1"/>
      <c r="B674" s="1"/>
      <c r="C674" s="1"/>
      <c r="D674" s="1"/>
      <c r="E674" s="1"/>
      <c r="F674" s="1"/>
      <c r="G674" s="1"/>
      <c r="H674" s="1"/>
      <c r="I674" s="1"/>
      <c r="J674" s="27" t="s">
        <v>758</v>
      </c>
      <c r="K674" s="29">
        <v>46838.041666666664</v>
      </c>
      <c r="L674" s="29">
        <v>47055.041666666664</v>
      </c>
      <c r="M674" s="27">
        <v>2</v>
      </c>
    </row>
    <row r="675" spans="1:13">
      <c r="A675" s="1"/>
      <c r="B675" s="1"/>
      <c r="C675" s="1"/>
      <c r="D675" s="1"/>
      <c r="E675" s="1"/>
      <c r="F675" s="1"/>
      <c r="G675" s="1"/>
      <c r="H675" s="1"/>
      <c r="I675" s="1"/>
      <c r="J675" s="27" t="s">
        <v>758</v>
      </c>
      <c r="K675" s="29">
        <v>47055.041666666664</v>
      </c>
      <c r="L675" s="29">
        <v>47119</v>
      </c>
      <c r="M675" s="27">
        <v>1</v>
      </c>
    </row>
    <row r="676" spans="1:13">
      <c r="A676" s="1"/>
      <c r="B676" s="1"/>
      <c r="C676" s="1"/>
      <c r="D676" s="1"/>
      <c r="E676" s="1"/>
      <c r="F676" s="1"/>
      <c r="G676" s="1"/>
      <c r="H676" s="1"/>
      <c r="I676" s="1"/>
      <c r="J676" s="1"/>
      <c r="K676" s="1"/>
      <c r="L676" s="1"/>
      <c r="M676" s="1"/>
    </row>
  </sheetData>
  <WedgeCells count="5">
    <WedgeCell ref="A1:H1"/>
    <WedgeCell ref="A2:H2"/>
    <WedgeCell ref="A3:H3"/>
    <WedgeCell ref="A214:H214"/>
    <WedgeCell ref="A216:H216"/>
  </WedgeCells>
  <phoneticPr fontId="14" type="noConversion"/>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Tue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594A0"/>
  </sheetPr>
  <dimension ref="A1:B36"/>
  <sheetViews>
    <sheetView showGridLines="0" zoomScale="90" zoomScaleNormal="90" workbookViewId="0"/>
  </sheetViews>
  <sheetFormatPr defaultRowHeight="13.5"/>
  <cols>
    <col min="1" max="1" width="28" customWidth="1"/>
    <col min="2" max="2" width="114" customWidth="1"/>
  </cols>
  <sheetData>
    <row r="1" spans="1:2" ht="36" customHeight="1">
      <c r="A1" s="26" t="s">
        <v>763</v>
      </c>
      <c r="B1" s="24" t="s">
        <v>764</v>
      </c>
    </row>
    <row r="2" spans="1:2" ht="36" customHeight="1">
      <c r="A2" s="23"/>
      <c r="B2" s="23"/>
    </row>
    <row r="3" spans="1:2" ht="36" customHeight="1">
      <c r="A3" s="25" t="s">
        <v>765</v>
      </c>
      <c r="B3" s="23" t="s">
        <v>766</v>
      </c>
    </row>
    <row r="4" spans="1:2" ht="36" customHeight="1">
      <c r="A4" s="25" t="s">
        <v>767</v>
      </c>
      <c r="B4" s="23" t="s">
        <v>768</v>
      </c>
    </row>
    <row r="5" spans="1:2" ht="36" customHeight="1">
      <c r="A5" s="25" t="s">
        <v>769</v>
      </c>
      <c r="B5" s="23" t="s">
        <v>770</v>
      </c>
    </row>
    <row r="6" spans="1:2" ht="36" customHeight="1">
      <c r="A6" s="25" t="s">
        <v>771</v>
      </c>
      <c r="B6" s="23" t="s">
        <v>772</v>
      </c>
    </row>
    <row r="7" spans="1:2" ht="36" customHeight="1">
      <c r="A7" s="25" t="s">
        <v>773</v>
      </c>
      <c r="B7" s="23" t="s">
        <v>774</v>
      </c>
    </row>
    <row r="8" spans="1:2" ht="36" customHeight="1">
      <c r="A8" s="25" t="s">
        <v>775</v>
      </c>
      <c r="B8" s="23" t="s">
        <v>776</v>
      </c>
    </row>
    <row r="9" spans="1:2" ht="36" customHeight="1">
      <c r="A9" s="25" t="s">
        <v>777</v>
      </c>
      <c r="B9" s="23" t="s">
        <v>778</v>
      </c>
    </row>
    <row r="10" spans="1:2" ht="36" customHeight="1">
      <c r="A10" s="25" t="s">
        <v>779</v>
      </c>
      <c r="B10" s="23" t="s">
        <v>1461</v>
      </c>
    </row>
    <row r="11" spans="1:2" ht="36" customHeight="1">
      <c r="A11" s="25" t="s">
        <v>780</v>
      </c>
      <c r="B11" s="23" t="s">
        <v>1462</v>
      </c>
    </row>
    <row r="12" spans="1:2" ht="36" customHeight="1">
      <c r="A12" s="25" t="s">
        <v>781</v>
      </c>
      <c r="B12" s="23" t="s">
        <v>1463</v>
      </c>
    </row>
    <row r="13" spans="1:2" ht="36" customHeight="1">
      <c r="A13" s="25" t="s">
        <v>782</v>
      </c>
      <c r="B13" s="23" t="s">
        <v>1464</v>
      </c>
    </row>
    <row r="14" spans="1:2" ht="36" customHeight="1">
      <c r="A14" s="25" t="s">
        <v>783</v>
      </c>
      <c r="B14" s="23" t="s">
        <v>784</v>
      </c>
    </row>
    <row r="15" spans="1:2" ht="36" customHeight="1">
      <c r="A15" s="25" t="s">
        <v>785</v>
      </c>
      <c r="B15" s="23" t="s">
        <v>786</v>
      </c>
    </row>
    <row r="16" spans="1:2" ht="36" customHeight="1">
      <c r="A16" s="25" t="s">
        <v>787</v>
      </c>
      <c r="B16" s="23" t="s">
        <v>788</v>
      </c>
    </row>
    <row r="17" spans="1:2" ht="36" customHeight="1">
      <c r="A17" s="25" t="s">
        <v>789</v>
      </c>
      <c r="B17" s="23" t="s">
        <v>790</v>
      </c>
    </row>
    <row r="18" spans="1:2" ht="36" customHeight="1">
      <c r="A18" s="25" t="s">
        <v>791</v>
      </c>
      <c r="B18" s="23" t="s">
        <v>792</v>
      </c>
    </row>
    <row r="19" spans="1:2" ht="36" customHeight="1">
      <c r="A19" s="25" t="s">
        <v>793</v>
      </c>
      <c r="B19" s="23" t="s">
        <v>794</v>
      </c>
    </row>
    <row r="20" spans="1:2" ht="36" customHeight="1">
      <c r="A20" s="25" t="s">
        <v>795</v>
      </c>
      <c r="B20" s="23" t="s">
        <v>1465</v>
      </c>
    </row>
    <row r="21" spans="1:2" ht="36" customHeight="1">
      <c r="A21" s="25" t="s">
        <v>796</v>
      </c>
      <c r="B21" s="23" t="s">
        <v>1466</v>
      </c>
    </row>
    <row r="22" spans="1:2" ht="36" customHeight="1">
      <c r="A22" s="25" t="s">
        <v>797</v>
      </c>
      <c r="B22" s="23" t="s">
        <v>1467</v>
      </c>
    </row>
    <row r="23" spans="1:2" ht="36" customHeight="1">
      <c r="A23" s="25" t="s">
        <v>798</v>
      </c>
      <c r="B23" s="23" t="s">
        <v>799</v>
      </c>
    </row>
    <row r="24" spans="1:2" ht="36" customHeight="1">
      <c r="A24" s="25" t="s">
        <v>800</v>
      </c>
      <c r="B24" s="23" t="s">
        <v>1468</v>
      </c>
    </row>
    <row r="25" spans="1:2" ht="36" customHeight="1">
      <c r="A25" s="25" t="s">
        <v>801</v>
      </c>
      <c r="B25" s="23" t="s">
        <v>802</v>
      </c>
    </row>
    <row r="26" spans="1:2" ht="36" customHeight="1">
      <c r="A26" s="25" t="s">
        <v>803</v>
      </c>
      <c r="B26" s="23" t="s">
        <v>804</v>
      </c>
    </row>
    <row r="27" spans="1:2" ht="36" customHeight="1">
      <c r="A27" s="23"/>
      <c r="B27" s="23"/>
    </row>
    <row r="28" spans="1:2" ht="36" customHeight="1">
      <c r="A28" s="23" t="s">
        <v>847</v>
      </c>
      <c r="B28" s="23" t="s">
        <v>1469</v>
      </c>
    </row>
    <row r="29" spans="1:2" ht="36" customHeight="1">
      <c r="A29" s="23" t="s">
        <v>1470</v>
      </c>
      <c r="B29" s="23" t="s">
        <v>1471</v>
      </c>
    </row>
    <row r="30" spans="1:2" ht="36" customHeight="1">
      <c r="A30" s="23"/>
      <c r="B30" s="23"/>
    </row>
    <row r="31" spans="1:2" ht="36" customHeight="1">
      <c r="A31" s="23"/>
      <c r="B31" s="23"/>
    </row>
    <row r="32" spans="1:2" ht="36" customHeight="1">
      <c r="A32" s="23"/>
      <c r="B32" s="23"/>
    </row>
    <row r="33" spans="1:2" ht="36" customHeight="1">
      <c r="A33" s="23"/>
      <c r="B33" s="23"/>
    </row>
    <row r="34" spans="1:2" ht="36" customHeight="1">
      <c r="A34" s="23"/>
      <c r="B34" s="23"/>
    </row>
    <row r="35" spans="1:2" ht="36" customHeight="1">
      <c r="A35" s="23"/>
      <c r="B35" s="23"/>
    </row>
    <row r="36" spans="1:2" ht="36" customHeight="1">
      <c r="A36" s="23"/>
      <c r="B36" s="2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Tue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S102"/>
  <sheetViews>
    <sheetView showGridLines="0" workbookViewId="0"/>
  </sheetViews>
  <sheetFormatPr defaultRowHeight="13.5"/>
  <sheetData>
    <row r="1" spans="1:71">
      <c r="A1" s="1" t="s">
        <v>805</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7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71">
      <c r="A3" s="1" t="s">
        <v>806</v>
      </c>
      <c r="B3" s="22">
        <f>Planner!B4+Planner!D4</f>
        <v>46289</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71">
      <c r="A4" s="1" t="s">
        <v>807</v>
      </c>
      <c r="B4" s="1">
        <f>SUMPRODUCT((ZonePeriods[Code]=Planner!$B$9)*($B$3&gt;=ZonePeriods[FromUtc]+ZonePeriods[OffsetHours]/24)*($B$3&lt;ZonePeriods[UntilUtc]+ZonePeriods[OffsetHours]/24))</f>
        <v>1</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row>
    <row r="5" spans="1:71">
      <c r="A5" s="1" t="s">
        <v>808</v>
      </c>
      <c r="B5" s="1">
        <f>IF(B4=1,SUMPRODUCT((ZonePeriods[Code]=Planner!$B$9)*($B$3&gt;=ZonePeriods[FromUtc]+ZonePeriods[OffsetHours]/24)*($B$3&lt;ZonePeriods[UntilUtc]+ZonePeriods[OffsetHours]/24)*ZonePeriods[OffsetHours]),NA())</f>
        <v>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row>
    <row r="6" spans="1:71">
      <c r="A6" s="1" t="s">
        <v>809</v>
      </c>
      <c r="B6" s="22">
        <f>ROUND((B3-B5/24)*1440,0)/1440</f>
        <v>46288.708333333336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row>
    <row r="7" spans="1:71">
      <c r="A7" s="1" t="s">
        <v>810</v>
      </c>
      <c r="B7" s="1" t="b">
        <f>IFERROR(AND(B4=1,ISNUMBER(Planner!B4),Planner!B4=INT(Planner!B4),ISNUMBER(Planner!D4),Planner!D4&gt;=0,Planner!D4&lt;1,ISNUMBER(Planner!B5),Planner!B5&gt;=0,Planner!B5&lt;=24,ISNUMBER(Planner!D5),Planner!D5&gt;=0,Planner!D5&lt;=24,OR(Planner!F4=30,Planner!F4=60)),FALSE)</f>
        <v>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row>
    <row r="8" spans="1:71">
      <c r="A8" s="1" t="s">
        <v>1427</v>
      </c>
      <c r="B8" s="1" t="b">
        <f>COUNTIF(PersonalExceptions[Validazione],"CONTROLLA")=0</f>
        <v>1</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row>
    <row r="9" spans="1:71">
      <c r="A9" s="1" t="s">
        <v>13</v>
      </c>
      <c r="B9" s="1" t="str">
        <f>Planner!B8</f>
        <v> Hanoi</v>
      </c>
      <c r="C9" s="1" t="str">
        <f>Planner!C8</f>
        <v> Mumbai</v>
      </c>
      <c r="D9" s="1" t="str">
        <f>Planner!D8</f>
        <v> Minsk</v>
      </c>
      <c r="E9" s="1" t="str">
        <f>Planner!E8</f>
        <v> Rome</v>
      </c>
      <c r="F9" s="1" t="str">
        <f>Planner!F8</f>
        <v> London</v>
      </c>
      <c r="G9" s="1" t="str">
        <f>Planner!G8</f>
        <v> New York</v>
      </c>
      <c r="H9" s="1" t="str">
        <f>Planner!H8</f>
        <v> Los Angeles</v>
      </c>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row>
    <row r="10" spans="1:71">
      <c r="A10" s="1" t="s">
        <v>811</v>
      </c>
      <c r="B10" s="1" t="b">
        <f>IFERROR(AND(COUNTIF(ZoneCatalog[Code],Planner!B9)=1,COUNTIF(Calendari!$A$6:$A$25,Planner!B10)=1,ISNUMBER(Planner!B11),Planner!B11&gt;=0,Planner!B11&lt;1,ISNUMBER(Planner!B12),Planner!B12&gt;=0,Planner!B12&lt;1,MOD(ROUND((Planner!B12-Planner!B11)*1440,0),1440)&gt;0,COUNT(Parametri!G12:M12)=7,COUNTIF(Parametri!G12:M12,0)+COUNTIF(Parametri!G12:M12,1)=7),FALSE)</f>
        <v>1</v>
      </c>
      <c r="C10" s="1" t="b">
        <f>IFERROR(AND(COUNTIF(ZoneCatalog[Code],Planner!C9)=1,COUNTIF(Calendari!$A$6:$A$25,Planner!C10)=1,ISNUMBER(Planner!C11),Planner!C11&gt;=0,Planner!C11&lt;1,ISNUMBER(Planner!C12),Planner!C12&gt;=0,Planner!C12&lt;1,MOD(ROUND((Planner!C12-Planner!C11)*1440,0),1440)&gt;0,COUNT(Parametri!G13:M13)=7,COUNTIF(Parametri!G13:M13,0)+COUNTIF(Parametri!G13:M13,1)=7),FALSE)</f>
        <v>1</v>
      </c>
      <c r="D10" s="1" t="b">
        <f>IFERROR(AND(COUNTIF(ZoneCatalog[Code],Planner!D9)=1,COUNTIF(Calendari!$A$6:$A$25,Planner!D10)=1,ISNUMBER(Planner!D11),Planner!D11&gt;=0,Planner!D11&lt;1,ISNUMBER(Planner!D12),Planner!D12&gt;=0,Planner!D12&lt;1,MOD(ROUND((Planner!D12-Planner!D11)*1440,0),1440)&gt;0,COUNT(Parametri!G14:M14)=7,COUNTIF(Parametri!G14:M14,0)+COUNTIF(Parametri!G14:M14,1)=7),FALSE)</f>
        <v>1</v>
      </c>
      <c r="E10" s="1" t="b">
        <f>IFERROR(AND(COUNTIF(ZoneCatalog[Code],Planner!E9)=1,COUNTIF(Calendari!$A$6:$A$25,Planner!E10)=1,ISNUMBER(Planner!E11),Planner!E11&gt;=0,Planner!E11&lt;1,ISNUMBER(Planner!E12),Planner!E12&gt;=0,Planner!E12&lt;1,MOD(ROUND((Planner!E12-Planner!E11)*1440,0),1440)&gt;0,COUNT(Parametri!G15:M15)=7,COUNTIF(Parametri!G15:M15,0)+COUNTIF(Parametri!G15:M15,1)=7),FALSE)</f>
        <v>1</v>
      </c>
      <c r="F10" s="1" t="b">
        <f>IFERROR(AND(COUNTIF(ZoneCatalog[Code],Planner!F9)=1,COUNTIF(Calendari!$A$6:$A$25,Planner!F10)=1,ISNUMBER(Planner!F11),Planner!F11&gt;=0,Planner!F11&lt;1,ISNUMBER(Planner!F12),Planner!F12&gt;=0,Planner!F12&lt;1,MOD(ROUND((Planner!F12-Planner!F11)*1440,0),1440)&gt;0,COUNT(Parametri!G16:M16)=7,COUNTIF(Parametri!G16:M16,0)+COUNTIF(Parametri!G16:M16,1)=7),FALSE)</f>
        <v>1</v>
      </c>
      <c r="G10" s="1" t="b">
        <f>IFERROR(AND(COUNTIF(ZoneCatalog[Code],Planner!G9)=1,COUNTIF(Calendari!$A$6:$A$25,Planner!G10)=1,ISNUMBER(Planner!G11),Planner!G11&gt;=0,Planner!G11&lt;1,ISNUMBER(Planner!G12),Planner!G12&gt;=0,Planner!G12&lt;1,MOD(ROUND((Planner!G12-Planner!G11)*1440,0),1440)&gt;0,COUNT(Parametri!G17:M17)=7,COUNTIF(Parametri!G17:M17,0)+COUNTIF(Parametri!G17:M17,1)=7),FALSE)</f>
        <v>1</v>
      </c>
      <c r="H10" s="1" t="b">
        <f>IFERROR(AND(COUNTIF(ZoneCatalog[Code],Planner!H9)=1,COUNTIF(Calendari!$A$6:$A$25,Planner!H10)=1,ISNUMBER(Planner!H11),Planner!H11&gt;=0,Planner!H11&lt;1,ISNUMBER(Planner!H12),Planner!H12&gt;=0,Planner!H12&lt;1,MOD(ROUND((Planner!H12-Planner!H11)*1440,0),1440)&gt;0,COUNT(Parametri!G18:M18)=7,COUNTIF(Parametri!G18:M18,0)+COUNTIF(Parametri!G18:M18,1)=7),FALSE)</f>
        <v>1</v>
      </c>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row>
    <row r="11" spans="1:71">
      <c r="A11" s="1" t="s">
        <v>812</v>
      </c>
      <c r="B11" s="1">
        <f>ROUND(Planner!B11*1440,0)</f>
        <v>300</v>
      </c>
      <c r="C11" s="1">
        <f>ROUND(Planner!C11*1440,0)</f>
        <v>540</v>
      </c>
      <c r="D11" s="1">
        <f>ROUND(Planner!D11*1440,0)</f>
        <v>540</v>
      </c>
      <c r="E11" s="1">
        <f>ROUND(Planner!E11*1440,0)</f>
        <v>540</v>
      </c>
      <c r="F11" s="1">
        <f>ROUND(Planner!F11*1440,0)</f>
        <v>540</v>
      </c>
      <c r="G11" s="1">
        <f>ROUND(Planner!G11*1440,0)</f>
        <v>540</v>
      </c>
      <c r="H11" s="1">
        <f>ROUND(Planner!H11*1440,0)</f>
        <v>540</v>
      </c>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row>
    <row r="12" spans="1:71">
      <c r="A12" s="1" t="s">
        <v>813</v>
      </c>
      <c r="B12" s="1">
        <f>MOD(ROUND((Planner!B12-Planner!B11)*1440,0),1440)</f>
        <v>1080</v>
      </c>
      <c r="C12" s="1">
        <f>MOD(ROUND((Planner!C12-Planner!C11)*1440,0),1440)</f>
        <v>540</v>
      </c>
      <c r="D12" s="1">
        <f>MOD(ROUND((Planner!D12-Planner!D11)*1440,0),1440)</f>
        <v>540</v>
      </c>
      <c r="E12" s="1">
        <f>MOD(ROUND((Planner!E12-Planner!E11)*1440,0),1440)</f>
        <v>540</v>
      </c>
      <c r="F12" s="1">
        <f>MOD(ROUND((Planner!F12-Planner!F11)*1440,0),1440)</f>
        <v>540</v>
      </c>
      <c r="G12" s="1">
        <f>MOD(ROUND((Planner!G12-Planner!G11)*1440,0),1440)</f>
        <v>540</v>
      </c>
      <c r="H12" s="1">
        <f>MOD(ROUND((Planner!H12-Planner!H11)*1440,0),1440)</f>
        <v>540</v>
      </c>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row>
    <row r="13" spans="1:71">
      <c r="A13" s="1" t="s">
        <v>814</v>
      </c>
      <c r="B13" s="1" t="str">
        <f>Planner!B13</f>
        <v>—</v>
      </c>
      <c r="C13" s="1" t="str">
        <f>Planner!C13</f>
        <v>Sat Sun</v>
      </c>
      <c r="D13" s="1" t="str">
        <f>Planner!D13</f>
        <v>Sat Sun</v>
      </c>
      <c r="E13" s="1" t="str">
        <f>Planner!E13</f>
        <v>Sat Sun</v>
      </c>
      <c r="F13" s="1" t="str">
        <f>Planner!F13</f>
        <v>Sat Sun</v>
      </c>
      <c r="G13" s="1" t="str">
        <f>Planner!G13</f>
        <v>Sat Sun</v>
      </c>
      <c r="H13" s="1" t="str">
        <f>Planner!H13</f>
        <v>Sat Sun</v>
      </c>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row>
    <row r="14" spans="1:71">
      <c r="A14" s="1" t="s">
        <v>815</v>
      </c>
      <c r="B14" s="1" t="str">
        <f>IFERROR(IF(Planner!B10="Nessuno","Disattivato",IF(COUNTIFS(Calendari!$A$6:$A$25,Planner!B10,Calendari!$E$6:$E$25,1)=0,"Not loaded",IF(COUNTIFS(Calendari!$A$6:$A$25,Planner!B10,Calendari!$C$6:$C$25,"&lt;="&amp;INT(MIN(B17:B40)),Calendari!$D$6:$D$25,"&gt;="&amp;INT(MAX(B17:B40)),Calendari!$E$6:$E$25,1)=1,IF(Planner!B10="GB-ENG","Outside period","Outside period"),"Outside period"))),"Errore fuso")</f>
        <v>Not loaded</v>
      </c>
      <c r="C14" s="1" t="str">
        <f>IFERROR(IF(Planner!C10="Nessuno","Disattivato",IF(COUNTIFS(Calendari!$A$6:$A$25,Planner!C10,Calendari!$E$6:$E$25,1)=0,"Not loaded",IF(COUNTIFS(Calendari!$A$6:$A$25,Planner!C10,Calendari!$C$6:$C$25,"&lt;="&amp;INT(MIN(C17:C40)),Calendari!$D$6:$D$25,"&gt;="&amp;INT(MAX(C17:C40)),Calendari!$E$6:$E$25,1)=1,IF(Planner!C10="GB-ENG","Outside period","Outside period"),"Outside period"))),"Errore fuso")</f>
        <v>Outside period</v>
      </c>
      <c r="D14" s="1" t="str">
        <f>IFERROR(IF(Planner!D10="Nessuno","Disattivato",IF(COUNTIFS(Calendari!$A$6:$A$25,Planner!D10,Calendari!$E$6:$E$25,1)=0,"Not loaded",IF(COUNTIFS(Calendari!$A$6:$A$25,Planner!D10,Calendari!$C$6:$C$25,"&lt;="&amp;INT(MIN(D17:D40)),Calendari!$D$6:$D$25,"&gt;="&amp;INT(MAX(D17:D40)),Calendari!$E$6:$E$25,1)=1,IF(Planner!D10="GB-ENG","Outside period","Outside period"),"Outside period"))),"Errore fuso")</f>
        <v>Not loaded</v>
      </c>
      <c r="E14" s="1" t="str">
        <f>IFERROR(IF(Planner!E10="Nessuno","Disattivato",IF(COUNTIFS(Calendari!$A$6:$A$25,Planner!E10,Calendari!$E$6:$E$25,1)=0,"Not loaded",IF(COUNTIFS(Calendari!$A$6:$A$25,Planner!E10,Calendari!$C$6:$C$25,"&lt;="&amp;INT(MIN(E17:E40)),Calendari!$D$6:$D$25,"&gt;="&amp;INT(MAX(E17:E40)),Calendari!$E$6:$E$25,1)=1,IF(Planner!E10="GB-ENG","Outside period","Outside period"),"Outside period"))),"Errore fuso")</f>
        <v>Outside period</v>
      </c>
      <c r="F14" s="1" t="str">
        <f>IFERROR(IF(Planner!F10="Nessuno","Disattivato",IF(COUNTIFS(Calendari!$A$6:$A$25,Planner!F10,Calendari!$E$6:$E$25,1)=0,"Not loaded",IF(COUNTIFS(Calendari!$A$6:$A$25,Planner!F10,Calendari!$C$6:$C$25,"&lt;="&amp;INT(MIN(F17:F40)),Calendari!$D$6:$D$25,"&gt;="&amp;INT(MAX(F17:F40)),Calendari!$E$6:$E$25,1)=1,IF(Planner!F10="GB-ENG","Outside period","Outside period"),"Outside period"))),"Errore fuso")</f>
        <v>Outside period</v>
      </c>
      <c r="G14" s="1" t="str">
        <f>IFERROR(IF(Planner!G10="Nessuno","Disattivato",IF(COUNTIFS(Calendari!$A$6:$A$25,Planner!G10,Calendari!$E$6:$E$25,1)=0,"Not loaded",IF(COUNTIFS(Calendari!$A$6:$A$25,Planner!G10,Calendari!$C$6:$C$25,"&lt;="&amp;INT(MIN(G17:G40)),Calendari!$D$6:$D$25,"&gt;="&amp;INT(MAX(G17:G40)),Calendari!$E$6:$E$25,1)=1,IF(Planner!G10="GB-ENG","Outside period","Outside period"),"Outside period"))),"Errore fuso")</f>
        <v>Outside period</v>
      </c>
      <c r="H14" s="1" t="str">
        <f>IFERROR(IF(Planner!H10="Nessuno","Disattivato",IF(COUNTIFS(Calendari!$A$6:$A$25,Planner!H10,Calendari!$E$6:$E$25,1)=0,"Not loaded",IF(COUNTIFS(Calendari!$A$6:$A$25,Planner!H10,Calendari!$C$6:$C$25,"&lt;="&amp;INT(MIN(H17:H40)),Calendari!$D$6:$D$25,"&gt;="&amp;INT(MAX(H17:H40)),Calendari!$E$6:$E$25,1)=1,IF(Planner!H10="GB-ENG","Outside period","Outside period"),"Outside period"))),"Errore fuso")</f>
        <v>Outside period</v>
      </c>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row>
    <row r="15" spans="1:71">
      <c r="A15" s="1" t="s">
        <v>816</v>
      </c>
      <c r="B15" s="1" t="str">
        <f>IFERROR(IF(Planner!B10="Nessuno","Disattivato",IF(COUNTIFS(Calendari!$A$6:$A$25,Planner!B10,Calendari!$E$6:$E$25,1)=0,"Not loaded",IF(COUNTIFS(Calendari!$A$6:$A$25,Planner!B10,Calendari!$C$6:$C$25,"&lt;="&amp;INT(MIN(B41:B88)),Calendari!$D$6:$D$25,"&gt;="&amp;INT(MAX(B41:B88)),Calendari!$E$6:$E$25,1)=1,IF(Planner!B10="GB-ENG","Outside period","Outside period"),"Outside period"))),"Errore fuso")</f>
        <v>Not loaded</v>
      </c>
      <c r="C15" s="1" t="str">
        <f>IFERROR(IF(Planner!C10="Nessuno","Disattivato",IF(COUNTIFS(Calendari!$A$6:$A$25,Planner!C10,Calendari!$E$6:$E$25,1)=0,"Not loaded",IF(COUNTIFS(Calendari!$A$6:$A$25,Planner!C10,Calendari!$C$6:$C$25,"&lt;="&amp;INT(MIN(C41:C88)),Calendari!$D$6:$D$25,"&gt;="&amp;INT(MAX(C41:C88)),Calendari!$E$6:$E$25,1)=1,IF(Planner!C10="GB-ENG","Outside period","Outside period"),"Outside period"))),"Errore fuso")</f>
        <v>Outside period</v>
      </c>
      <c r="D15" s="1" t="str">
        <f>IFERROR(IF(Planner!D10="Nessuno","Disattivato",IF(COUNTIFS(Calendari!$A$6:$A$25,Planner!D10,Calendari!$E$6:$E$25,1)=0,"Not loaded",IF(COUNTIFS(Calendari!$A$6:$A$25,Planner!D10,Calendari!$C$6:$C$25,"&lt;="&amp;INT(MIN(D41:D88)),Calendari!$D$6:$D$25,"&gt;="&amp;INT(MAX(D41:D88)),Calendari!$E$6:$E$25,1)=1,IF(Planner!D10="GB-ENG","Outside period","Outside period"),"Outside period"))),"Errore fuso")</f>
        <v>Not loaded</v>
      </c>
      <c r="E15" s="1" t="str">
        <f>IFERROR(IF(Planner!E10="Nessuno","Disattivato",IF(COUNTIFS(Calendari!$A$6:$A$25,Planner!E10,Calendari!$E$6:$E$25,1)=0,"Not loaded",IF(COUNTIFS(Calendari!$A$6:$A$25,Planner!E10,Calendari!$C$6:$C$25,"&lt;="&amp;INT(MIN(E41:E88)),Calendari!$D$6:$D$25,"&gt;="&amp;INT(MAX(E41:E88)),Calendari!$E$6:$E$25,1)=1,IF(Planner!E10="GB-ENG","Outside period","Outside period"),"Outside period"))),"Errore fuso")</f>
        <v>Outside period</v>
      </c>
      <c r="F15" s="1" t="str">
        <f>IFERROR(IF(Planner!F10="Nessuno","Disattivato",IF(COUNTIFS(Calendari!$A$6:$A$25,Planner!F10,Calendari!$E$6:$E$25,1)=0,"Not loaded",IF(COUNTIFS(Calendari!$A$6:$A$25,Planner!F10,Calendari!$C$6:$C$25,"&lt;="&amp;INT(MIN(F41:F88)),Calendari!$D$6:$D$25,"&gt;="&amp;INT(MAX(F41:F88)),Calendari!$E$6:$E$25,1)=1,IF(Planner!F10="GB-ENG","Outside period","Outside period"),"Outside period"))),"Errore fuso")</f>
        <v>Outside period</v>
      </c>
      <c r="G15" s="1" t="str">
        <f>IFERROR(IF(Planner!G10="Nessuno","Disattivato",IF(COUNTIFS(Calendari!$A$6:$A$25,Planner!G10,Calendari!$E$6:$E$25,1)=0,"Not loaded",IF(COUNTIFS(Calendari!$A$6:$A$25,Planner!G10,Calendari!$C$6:$C$25,"&lt;="&amp;INT(MIN(G41:G88)),Calendari!$D$6:$D$25,"&gt;="&amp;INT(MAX(G41:G88)),Calendari!$E$6:$E$25,1)=1,IF(Planner!G10="GB-ENG","Outside period","Outside period"),"Outside period"))),"Errore fuso")</f>
        <v>Outside period</v>
      </c>
      <c r="H15" s="1" t="str">
        <f>IFERROR(IF(Planner!H10="Nessuno","Disattivato",IF(COUNTIFS(Calendari!$A$6:$A$25,Planner!H10,Calendari!$E$6:$E$25,1)=0,"Not loaded",IF(COUNTIFS(Calendari!$A$6:$A$25,Planner!H10,Calendari!$C$6:$C$25,"&lt;="&amp;INT(MIN(H41:H88)),Calendari!$D$6:$D$25,"&gt;="&amp;INT(MAX(H41:H88)),Calendari!$E$6:$E$25,1)=1,IF(Planner!H10="GB-ENG","Outside period","Outside period"),"Outside period"))),"Errore fuso")</f>
        <v>Outside period</v>
      </c>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row>
    <row r="16" spans="1:71">
      <c r="A16" s="1" t="s">
        <v>817</v>
      </c>
      <c r="B16" s="1" t="s">
        <v>25</v>
      </c>
      <c r="C16" s="1" t="s">
        <v>28</v>
      </c>
      <c r="D16" s="1" t="s">
        <v>31</v>
      </c>
      <c r="E16" s="1" t="s">
        <v>34</v>
      </c>
      <c r="F16" s="1" t="s">
        <v>37</v>
      </c>
      <c r="G16" s="1" t="s">
        <v>40</v>
      </c>
      <c r="H16" s="1" t="s">
        <v>43</v>
      </c>
      <c r="I16" s="1"/>
      <c r="J16" s="1" t="s">
        <v>818</v>
      </c>
      <c r="K16" s="1" t="s">
        <v>819</v>
      </c>
      <c r="L16" s="1" t="s">
        <v>820</v>
      </c>
      <c r="M16" s="1" t="s">
        <v>821</v>
      </c>
      <c r="N16" s="1" t="s">
        <v>822</v>
      </c>
      <c r="O16" s="1" t="s">
        <v>823</v>
      </c>
      <c r="P16" s="1" t="s">
        <v>824</v>
      </c>
      <c r="Q16" s="1"/>
      <c r="R16" s="1" t="s">
        <v>825</v>
      </c>
      <c r="S16" s="1" t="s">
        <v>826</v>
      </c>
      <c r="T16" s="1" t="s">
        <v>827</v>
      </c>
      <c r="U16" s="1" t="s">
        <v>828</v>
      </c>
      <c r="V16" s="1" t="s">
        <v>829</v>
      </c>
      <c r="W16" s="1" t="s">
        <v>830</v>
      </c>
      <c r="X16" s="1" t="s">
        <v>831</v>
      </c>
      <c r="Y16" s="1"/>
      <c r="Z16" s="1" t="s">
        <v>832</v>
      </c>
      <c r="AA16" s="1" t="s">
        <v>833</v>
      </c>
      <c r="AB16" s="1" t="s">
        <v>834</v>
      </c>
      <c r="AC16" s="1" t="s">
        <v>835</v>
      </c>
      <c r="AD16" s="1" t="s">
        <v>836</v>
      </c>
      <c r="AE16" s="1" t="s">
        <v>837</v>
      </c>
      <c r="AF16" s="1" t="s">
        <v>838</v>
      </c>
      <c r="AG16" s="1"/>
      <c r="AH16" s="1" t="s">
        <v>839</v>
      </c>
      <c r="AI16" s="1" t="s">
        <v>840</v>
      </c>
      <c r="AJ16" s="1" t="s">
        <v>841</v>
      </c>
      <c r="AK16" s="1" t="s">
        <v>842</v>
      </c>
      <c r="AL16" s="1" t="s">
        <v>843</v>
      </c>
      <c r="AM16" s="1" t="s">
        <v>844</v>
      </c>
      <c r="AN16" s="1" t="s">
        <v>845</v>
      </c>
      <c r="AO16" t="s">
        <v>1428</v>
      </c>
      <c r="AP16" t="s">
        <v>1432</v>
      </c>
      <c r="AQ16" t="s">
        <v>1436</v>
      </c>
      <c r="AR16" t="s">
        <v>1440</v>
      </c>
      <c r="AS16" t="s">
        <v>1444</v>
      </c>
      <c r="AT16" t="s">
        <v>1448</v>
      </c>
      <c r="AU16" t="s">
        <v>1452</v>
      </c>
      <c r="AW16" t="s">
        <v>1429</v>
      </c>
      <c r="AX16" t="s">
        <v>1433</v>
      </c>
      <c r="AY16" t="s">
        <v>1437</v>
      </c>
      <c r="AZ16" t="s">
        <v>1441</v>
      </c>
      <c r="BA16" t="s">
        <v>1445</v>
      </c>
      <c r="BB16" t="s">
        <v>1449</v>
      </c>
      <c r="BC16" t="s">
        <v>1453</v>
      </c>
      <c r="BE16" t="s">
        <v>1430</v>
      </c>
      <c r="BF16" t="s">
        <v>1434</v>
      </c>
      <c r="BG16" t="s">
        <v>1438</v>
      </c>
      <c r="BH16" t="s">
        <v>1442</v>
      </c>
      <c r="BI16" t="s">
        <v>1446</v>
      </c>
      <c r="BJ16" t="s">
        <v>1450</v>
      </c>
      <c r="BK16" t="s">
        <v>1454</v>
      </c>
      <c r="BM16" t="s">
        <v>1431</v>
      </c>
      <c r="BN16" t="s">
        <v>1435</v>
      </c>
      <c r="BO16" t="s">
        <v>1439</v>
      </c>
      <c r="BP16" t="s">
        <v>1443</v>
      </c>
      <c r="BQ16" t="s">
        <v>1447</v>
      </c>
      <c r="BR16" t="s">
        <v>1451</v>
      </c>
      <c r="BS16" t="s">
        <v>1455</v>
      </c>
    </row>
    <row r="17" spans="1:71">
      <c r="A17" s="22">
        <f>ROUND(($B$6+0*60/1440)*1440,0)/1440</f>
        <v>46288.708333333336</v>
      </c>
      <c r="B17" s="22">
        <f>IF(COUNTIFS(ZonePeriods[Code],Planner!B$9,ZonePeriods[FromUtc],"&lt;="&amp;$A17,ZonePeriods[UntilUtc],"&gt;"&amp;$A17)=1,ROUND(($A17+SUMIFS(ZonePeriods[OffsetHours],ZonePeriods[Code],Planner!B$9,ZonePeriods[FromUtc],"&lt;="&amp;$A17,ZonePeriods[UntilUtc],"&gt;"&amp;$A17)/24)*1440,0)/1440,NA())</f>
        <v>46289</v>
      </c>
      <c r="C17" s="22">
        <f>IF(COUNTIFS(ZonePeriods[Code],Planner!C$9,ZonePeriods[FromUtc],"&lt;="&amp;$A17,ZonePeriods[UntilUtc],"&gt;"&amp;$A17)=1,ROUND(($A17+SUMIFS(ZonePeriods[OffsetHours],ZonePeriods[Code],Planner!C$9,ZonePeriods[FromUtc],"&lt;="&amp;$A17,ZonePeriods[UntilUtc],"&gt;"&amp;$A17)/24)*1440,0)/1440,NA())</f>
        <v>46288.9375</v>
      </c>
      <c r="D17" s="22">
        <f>IF(COUNTIFS(ZonePeriods[Code],Planner!D$9,ZonePeriods[FromUtc],"&lt;="&amp;$A17,ZonePeriods[UntilUtc],"&gt;"&amp;$A17)=1,ROUND(($A17+SUMIFS(ZonePeriods[OffsetHours],ZonePeriods[Code],Planner!D$9,ZonePeriods[FromUtc],"&lt;="&amp;$A17,ZonePeriods[UntilUtc],"&gt;"&amp;$A17)/24)*1440,0)/1440,NA())</f>
        <v>46288.833333333336</v>
      </c>
      <c r="E17" s="22">
        <f>IF(COUNTIFS(ZonePeriods[Code],Planner!E$9,ZonePeriods[FromUtc],"&lt;="&amp;$A17,ZonePeriods[UntilUtc],"&gt;"&amp;$A17)=1,ROUND(($A17+SUMIFS(ZonePeriods[OffsetHours],ZonePeriods[Code],Planner!E$9,ZonePeriods[FromUtc],"&lt;="&amp;$A17,ZonePeriods[UntilUtc],"&gt;"&amp;$A17)/24)*1440,0)/1440,NA())</f>
        <v>46288.791666666664</v>
      </c>
      <c r="F17" s="22">
        <f>IF(COUNTIFS(ZonePeriods[Code],Planner!F$9,ZonePeriods[FromUtc],"&lt;="&amp;$A17,ZonePeriods[UntilUtc],"&gt;"&amp;$A17)=1,ROUND(($A17+SUMIFS(ZonePeriods[OffsetHours],ZonePeriods[Code],Planner!F$9,ZonePeriods[FromUtc],"&lt;="&amp;$A17,ZonePeriods[UntilUtc],"&gt;"&amp;$A17)/24)*1440,0)/1440,NA())</f>
        <v>46288.75</v>
      </c>
      <c r="G17" s="22">
        <f>IF(COUNTIFS(ZonePeriods[Code],Planner!G$9,ZonePeriods[FromUtc],"&lt;="&amp;$A17,ZonePeriods[UntilUtc],"&gt;"&amp;$A17)=1,ROUND(($A17+SUMIFS(ZonePeriods[OffsetHours],ZonePeriods[Code],Planner!G$9,ZonePeriods[FromUtc],"&lt;="&amp;$A17,ZonePeriods[UntilUtc],"&gt;"&amp;$A17)/24)*1440,0)/1440,NA())</f>
        <v>46288.541666666664</v>
      </c>
      <c r="H17" s="22">
        <f>IF(COUNTIFS(ZonePeriods[Code],Planner!H$9,ZonePeriods[FromUtc],"&lt;="&amp;$A17,ZonePeriods[UntilUtc],"&gt;"&amp;$A17)=1,ROUND(($A17+SUMIFS(ZonePeriods[OffsetHours],ZonePeriods[Code],Planner!H$9,ZonePeriods[FromUtc],"&lt;="&amp;$A17,ZonePeriods[UntilUtc],"&gt;"&amp;$A17)/24)*1440,0)/1440,NA())</f>
        <v>46288.416666666664</v>
      </c>
      <c r="I17" s="1"/>
      <c r="J17" s="1">
        <f t="shared" ref="J17:J48" si="0">MOD(ROUND(B17*1440,0),1440)</f>
        <v>0</v>
      </c>
      <c r="K17" s="1">
        <f t="shared" ref="K17:K48" si="1">MOD(ROUND(C17*1440,0),1440)</f>
        <v>1350</v>
      </c>
      <c r="L17" s="1">
        <f t="shared" ref="L17:L48" si="2">MOD(ROUND(D17*1440,0),1440)</f>
        <v>1200</v>
      </c>
      <c r="M17" s="1">
        <f t="shared" ref="M17:M48" si="3">MOD(ROUND(E17*1440,0),1440)</f>
        <v>1140</v>
      </c>
      <c r="N17" s="1">
        <f t="shared" ref="N17:N48" si="4">MOD(ROUND(F17*1440,0),1440)</f>
        <v>1080</v>
      </c>
      <c r="O17" s="1">
        <f t="shared" ref="O17:O48" si="5">MOD(ROUND(G17*1440,0),1440)</f>
        <v>780</v>
      </c>
      <c r="P17" s="1">
        <f t="shared" ref="P17:P48" si="6">MOD(ROUND(H17*1440,0),1440)</f>
        <v>600</v>
      </c>
      <c r="Q17" s="1"/>
      <c r="R17" s="1">
        <f t="shared" ref="R17:R48" si="7">IFERROR(IF(AND($B$7,$B$8,B$10),IF(AO17+AW17&gt;1,-1,IF(AO17=1,0,IF(AW17=1,BM17,IF(Z17&gt;0,0,IF(AND(AH17,BE17=0),0,BM17))))),-1),-1)</f>
        <v>1</v>
      </c>
      <c r="S17" s="1">
        <f t="shared" ref="S17:S48" si="8">IFERROR(IF(AND($B$7,$B$8,C$10),IF(AP17+AX17&gt;1,-1,IF(AP17=1,0,IF(AX17=1,BN17,IF(AA17&gt;0,0,IF(AND(AI17,BF17=0),0,BN17))))),-1),-1)</f>
        <v>0</v>
      </c>
      <c r="T17" s="1">
        <f t="shared" ref="T17:T48" si="9">IFERROR(IF(AND($B$7,$B$8,D$10),IF(AQ17+AY17&gt;1,-1,IF(AQ17=1,0,IF(AY17=1,BO17,IF(AB17&gt;0,0,IF(AND(AJ17,BG17=0),0,BO17))))),-1),-1)</f>
        <v>0</v>
      </c>
      <c r="U17" s="1">
        <f t="shared" ref="U17:U48" si="10">IFERROR(IF(AND($B$7,$B$8,E$10),IF(AR17+AZ17&gt;1,-1,IF(AR17=1,0,IF(AZ17=1,BP17,IF(AC17&gt;0,0,IF(AND(AK17,BH17=0),0,BP17))))),-1),-1)</f>
        <v>1</v>
      </c>
      <c r="V17" s="1">
        <f t="shared" ref="V17:V48" si="11">IFERROR(IF(AND($B$7,$B$8,F$10),IF(AS17+BA17&gt;1,-1,IF(AS17=1,0,IF(BA17=1,BQ17,IF(AD17&gt;0,0,IF(AND(AL17,BI17=0),0,BQ17))))),-1),-1)</f>
        <v>1</v>
      </c>
      <c r="W17" s="1">
        <f t="shared" ref="W17:W48" si="12">IFERROR(IF(AND($B$7,$B$8,G$10),IF(AT17+BB17&gt;1,-1,IF(AT17=1,0,IF(BB17=1,BR17,IF(AE17&gt;0,0,IF(AND(AM17,BJ17=0),0,BR17))))),-1),-1)</f>
        <v>2</v>
      </c>
      <c r="X17" s="1">
        <f t="shared" ref="X17:X48" si="13">IFERROR(IF(AND($B$7,$B$8,H$10),IF(AU17+BC17&gt;1,-1,IF(AU17=1,0,IF(BC17=1,BS17,IF(AF17&gt;0,0,IF(AND(AN17,BK17=0),0,BS17))))),-1),-1)</f>
        <v>2</v>
      </c>
      <c r="Y17" s="1"/>
      <c r="Z17" s="1">
        <f>IF(Planner!B$10="Nessuno",0,COUNTIFS(HolidayDates[Calendar],Planner!B$10,HolidayDates[Local date],INT(B17),HolidayDates[Active 0/1],1)+COUNTIFS(ImportedHolidays[Calendar],Planner!B$10,ImportedHolidays[Date],INT(B17),ImportedHolidays[Active],1,ImportedHolidays[Kind],"HOLIDAY"))</f>
        <v>0</v>
      </c>
      <c r="AA17" s="1">
        <f>IF(Planner!C$10="Nessuno",0,COUNTIFS(HolidayDates[Calendar],Planner!C$10,HolidayDates[Local date],INT(C17),HolidayDates[Active 0/1],1)+COUNTIFS(ImportedHolidays[Calendar],Planner!C$10,ImportedHolidays[Date],INT(C17),ImportedHolidays[Active],1,ImportedHolidays[Kind],"HOLIDAY"))</f>
        <v>0</v>
      </c>
      <c r="AB17" s="1">
        <f>IF(Planner!D$10="Nessuno",0,COUNTIFS(HolidayDates[Calendar],Planner!D$10,HolidayDates[Local date],INT(D17),HolidayDates[Active 0/1],1)+COUNTIFS(ImportedHolidays[Calendar],Planner!D$10,ImportedHolidays[Date],INT(D17),ImportedHolidays[Active],1,ImportedHolidays[Kind],"HOLIDAY"))</f>
        <v>0</v>
      </c>
      <c r="AC17" s="1">
        <f>IF(Planner!E$10="Nessuno",0,COUNTIFS(HolidayDates[Calendar],Planner!E$10,HolidayDates[Local date],INT(E17),HolidayDates[Active 0/1],1)+COUNTIFS(ImportedHolidays[Calendar],Planner!E$10,ImportedHolidays[Date],INT(E17),ImportedHolidays[Active],1,ImportedHolidays[Kind],"HOLIDAY"))</f>
        <v>0</v>
      </c>
      <c r="AD17" s="1">
        <f>IF(Planner!F$10="Nessuno",0,COUNTIFS(HolidayDates[Calendar],Planner!F$10,HolidayDates[Local date],INT(F17),HolidayDates[Active 0/1],1)+COUNTIFS(ImportedHolidays[Calendar],Planner!F$10,ImportedHolidays[Date],INT(F17),ImportedHolidays[Active],1,ImportedHolidays[Kind],"HOLIDAY"))</f>
        <v>0</v>
      </c>
      <c r="AE17" s="1">
        <f>IF(Planner!G$10="Nessuno",0,COUNTIFS(HolidayDates[Calendar],Planner!G$10,HolidayDates[Local date],INT(G17),HolidayDates[Active 0/1],1)+COUNTIFS(ImportedHolidays[Calendar],Planner!G$10,ImportedHolidays[Date],INT(G17),ImportedHolidays[Active],1,ImportedHolidays[Kind],"HOLIDAY"))</f>
        <v>0</v>
      </c>
      <c r="AF17" s="1">
        <f>IF(Planner!H$10="Nessuno",0,COUNTIFS(HolidayDates[Calendar],Planner!H$10,HolidayDates[Local date],INT(H17),HolidayDates[Active 0/1],1)+COUNTIFS(ImportedHolidays[Calendar],Planner!H$10,ImportedHolidays[Date],INT(H17),ImportedHolidays[Active],1,ImportedHolidays[Kind],"HOLIDAY"))</f>
        <v>0</v>
      </c>
      <c r="AG17" s="1"/>
      <c r="AH17" s="1" t="b">
        <f>INDEX(Parametri!$G12:$M12,1,WEEKDAY(INT(B17),2))=1</f>
        <v>0</v>
      </c>
      <c r="AI17" s="1" t="b">
        <f>INDEX(Parametri!$G13:$M13,1,WEEKDAY(INT(C17),2))=1</f>
        <v>0</v>
      </c>
      <c r="AJ17" s="1" t="b">
        <f>INDEX(Parametri!$G14:$M14,1,WEEKDAY(INT(D17),2))=1</f>
        <v>0</v>
      </c>
      <c r="AK17" s="1" t="b">
        <f>INDEX(Parametri!$G15:$M15,1,WEEKDAY(INT(E17),2))=1</f>
        <v>0</v>
      </c>
      <c r="AL17" s="1" t="b">
        <f>INDEX(Parametri!$G16:$M16,1,WEEKDAY(INT(F17),2))=1</f>
        <v>0</v>
      </c>
      <c r="AM17" s="1" t="b">
        <f>INDEX(Parametri!$G17:$M17,1,WEEKDAY(INT(G17),2))=1</f>
        <v>0</v>
      </c>
      <c r="AN17" s="1" t="b">
        <f>INDEX(Parametri!$G18:$M18,1,WEEKDAY(INT(H17),2))=1</f>
        <v>0</v>
      </c>
      <c r="AO17">
        <f>COUNTIFS(PersonalExceptions[Colonna],1,PersonalExceptions[Dal],"&lt;="&amp;INT(B17),PersonalExceptions[Al],"&gt;="&amp;INT(B17),PersonalExceptions[Active 0/1],1,PersonalExceptions[Effetto],"Rest")</f>
        <v>0</v>
      </c>
      <c r="AP17">
        <f>COUNTIFS(PersonalExceptions[Colonna],2,PersonalExceptions[Dal],"&lt;="&amp;INT(C17),PersonalExceptions[Al],"&gt;="&amp;INT(C17),PersonalExceptions[Active 0/1],1,PersonalExceptions[Effetto],"Rest")</f>
        <v>0</v>
      </c>
      <c r="AQ17">
        <f>COUNTIFS(PersonalExceptions[Colonna],3,PersonalExceptions[Dal],"&lt;="&amp;INT(D17),PersonalExceptions[Al],"&gt;="&amp;INT(D17),PersonalExceptions[Active 0/1],1,PersonalExceptions[Effetto],"Rest")</f>
        <v>0</v>
      </c>
      <c r="AR17">
        <f>COUNTIFS(PersonalExceptions[Colonna],4,PersonalExceptions[Dal],"&lt;="&amp;INT(E17),PersonalExceptions[Al],"&gt;="&amp;INT(E17),PersonalExceptions[Active 0/1],1,PersonalExceptions[Effetto],"Rest")</f>
        <v>0</v>
      </c>
      <c r="AS17">
        <f>COUNTIFS(PersonalExceptions[Colonna],5,PersonalExceptions[Dal],"&lt;="&amp;INT(F17),PersonalExceptions[Al],"&gt;="&amp;INT(F17),PersonalExceptions[Active 0/1],1,PersonalExceptions[Effetto],"Rest")</f>
        <v>0</v>
      </c>
      <c r="AT17">
        <f>COUNTIFS(PersonalExceptions[Colonna],6,PersonalExceptions[Dal],"&lt;="&amp;INT(G17),PersonalExceptions[Al],"&gt;="&amp;INT(G17),PersonalExceptions[Active 0/1],1,PersonalExceptions[Effetto],"Rest")</f>
        <v>0</v>
      </c>
      <c r="AU17">
        <f>COUNTIFS(PersonalExceptions[Colonna],7,PersonalExceptions[Dal],"&lt;="&amp;INT(H17),PersonalExceptions[Al],"&gt;="&amp;INT(H17),PersonalExceptions[Active 0/1],1,PersonalExceptions[Effetto],"Rest")</f>
        <v>0</v>
      </c>
      <c r="AW17">
        <f>COUNTIFS(PersonalExceptions[Colonna],1,PersonalExceptions[Dal],"&lt;="&amp;INT(B17),PersonalExceptions[Al],"&gt;="&amp;INT(B17),PersonalExceptions[Active 0/1],1,PersonalExceptions[Effetto],"Activity")</f>
        <v>0</v>
      </c>
      <c r="AX17">
        <f>COUNTIFS(PersonalExceptions[Colonna],2,PersonalExceptions[Dal],"&lt;="&amp;INT(C17),PersonalExceptions[Al],"&gt;="&amp;INT(C17),PersonalExceptions[Active 0/1],1,PersonalExceptions[Effetto],"Activity")</f>
        <v>0</v>
      </c>
      <c r="AY17">
        <f>COUNTIFS(PersonalExceptions[Colonna],3,PersonalExceptions[Dal],"&lt;="&amp;INT(D17),PersonalExceptions[Al],"&gt;="&amp;INT(D17),PersonalExceptions[Active 0/1],1,PersonalExceptions[Effetto],"Activity")</f>
        <v>0</v>
      </c>
      <c r="AZ17">
        <f>COUNTIFS(PersonalExceptions[Colonna],4,PersonalExceptions[Dal],"&lt;="&amp;INT(E17),PersonalExceptions[Al],"&gt;="&amp;INT(E17),PersonalExceptions[Active 0/1],1,PersonalExceptions[Effetto],"Activity")</f>
        <v>0</v>
      </c>
      <c r="BA17">
        <f>COUNTIFS(PersonalExceptions[Colonna],5,PersonalExceptions[Dal],"&lt;="&amp;INT(F17),PersonalExceptions[Al],"&gt;="&amp;INT(F17),PersonalExceptions[Active 0/1],1,PersonalExceptions[Effetto],"Activity")</f>
        <v>0</v>
      </c>
      <c r="BB17">
        <f>COUNTIFS(PersonalExceptions[Colonna],6,PersonalExceptions[Dal],"&lt;="&amp;INT(G17),PersonalExceptions[Al],"&gt;="&amp;INT(G17),PersonalExceptions[Active 0/1],1,PersonalExceptions[Effetto],"Activity")</f>
        <v>0</v>
      </c>
      <c r="BC17">
        <f>COUNTIFS(PersonalExceptions[Colonna],7,PersonalExceptions[Dal],"&lt;="&amp;INT(H17),PersonalExceptions[Al],"&gt;="&amp;INT(H17),PersonalExceptions[Active 0/1],1,PersonalExceptions[Effetto],"Activity")</f>
        <v>0</v>
      </c>
      <c r="BE17">
        <f>IF(Planner!B$10="Nessuno",0,COUNTIFS(ImportedHolidays[Calendar],Planner!B$10,ImportedHolidays[Date],INT(B17),ImportedHolidays[Active],1,ImportedHolidays[Kind],"WORKDAY"))</f>
        <v>0</v>
      </c>
      <c r="BF17">
        <f>IF(Planner!C$10="Nessuno",0,COUNTIFS(ImportedHolidays[Calendar],Planner!C$10,ImportedHolidays[Date],INT(C17),ImportedHolidays[Active],1,ImportedHolidays[Kind],"WORKDAY"))</f>
        <v>0</v>
      </c>
      <c r="BG17">
        <f>IF(Planner!D$10="Nessuno",0,COUNTIFS(ImportedHolidays[Calendar],Planner!D$10,ImportedHolidays[Date],INT(D17),ImportedHolidays[Active],1,ImportedHolidays[Kind],"WORKDAY"))</f>
        <v>0</v>
      </c>
      <c r="BH17">
        <f>IF(Planner!E$10="Nessuno",0,COUNTIFS(ImportedHolidays[Calendar],Planner!E$10,ImportedHolidays[Date],INT(E17),ImportedHolidays[Active],1,ImportedHolidays[Kind],"WORKDAY"))</f>
        <v>0</v>
      </c>
      <c r="BI17">
        <f>IF(Planner!F$10="Nessuno",0,COUNTIFS(ImportedHolidays[Calendar],Planner!F$10,ImportedHolidays[Date],INT(F17),ImportedHolidays[Active],1,ImportedHolidays[Kind],"WORKDAY"))</f>
        <v>0</v>
      </c>
      <c r="BJ17">
        <f>IF(Planner!G$10="Nessuno",0,COUNTIFS(ImportedHolidays[Calendar],Planner!G$10,ImportedHolidays[Date],INT(G17),ImportedHolidays[Active],1,ImportedHolidays[Kind],"WORKDAY"))</f>
        <v>0</v>
      </c>
      <c r="BK17">
        <f>IF(Planner!H$10="Nessuno",0,COUNTIFS(ImportedHolidays[Calendar],Planner!H$10,ImportedHolidays[Date],INT(H17),ImportedHolidays[Active],1,ImportedHolidays[Kind],"WORKDAY"))</f>
        <v>0</v>
      </c>
      <c r="BM17">
        <f>IF(MOD(J17-B$11,1440)&lt;B$12,2,IF(OR(MOD(J17-B$11,1440)&lt;B$12+ROUND(Planner!$D$5*60,0),MOD(J17-B$11,1440)&gt;=1440-ROUND(Planner!$B$5*60,0)),1,0))</f>
        <v>1</v>
      </c>
      <c r="BN17">
        <f>IF(MOD(K17-C$11,1440)&lt;C$12,2,IF(OR(MOD(K17-C$11,1440)&lt;C$12+ROUND(Planner!$D$5*60,0),MOD(K17-C$11,1440)&gt;=1440-ROUND(Planner!$B$5*60,0)),1,0))</f>
        <v>0</v>
      </c>
      <c r="BO17">
        <f>IF(MOD(L17-D$11,1440)&lt;D$12,2,IF(OR(MOD(L17-D$11,1440)&lt;D$12+ROUND(Planner!$D$5*60,0),MOD(L17-D$11,1440)&gt;=1440-ROUND(Planner!$B$5*60,0)),1,0))</f>
        <v>0</v>
      </c>
      <c r="BP17">
        <f>IF(MOD(M17-E$11,1440)&lt;E$12,2,IF(OR(MOD(M17-E$11,1440)&lt;E$12+ROUND(Planner!$D$5*60,0),MOD(M17-E$11,1440)&gt;=1440-ROUND(Planner!$B$5*60,0)),1,0))</f>
        <v>1</v>
      </c>
      <c r="BQ17">
        <f>IF(MOD(N17-F$11,1440)&lt;F$12,2,IF(OR(MOD(N17-F$11,1440)&lt;F$12+ROUND(Planner!$D$5*60,0),MOD(N17-F$11,1440)&gt;=1440-ROUND(Planner!$B$5*60,0)),1,0))</f>
        <v>1</v>
      </c>
      <c r="BR17">
        <f>IF(MOD(O17-G$11,1440)&lt;G$12,2,IF(OR(MOD(O17-G$11,1440)&lt;G$12+ROUND(Planner!$D$5*60,0),MOD(O17-G$11,1440)&gt;=1440-ROUND(Planner!$B$5*60,0)),1,0))</f>
        <v>2</v>
      </c>
      <c r="BS17">
        <f>IF(MOD(P17-H$11,1440)&lt;H$12,2,IF(OR(MOD(P17-H$11,1440)&lt;H$12+ROUND(Planner!$D$5*60,0),MOD(P17-H$11,1440)&gt;=1440-ROUND(Planner!$B$5*60,0)),1,0))</f>
        <v>2</v>
      </c>
    </row>
    <row r="18" spans="1:71">
      <c r="A18" s="22">
        <f>ROUND(($B$6+1*60/1440)*1440,0)/1440</f>
        <v>46288.75</v>
      </c>
      <c r="B18" s="22">
        <f>IF(COUNTIFS(ZonePeriods[Code],Planner!B$9,ZonePeriods[FromUtc],"&lt;="&amp;$A18,ZonePeriods[UntilUtc],"&gt;"&amp;$A18)=1,ROUND(($A18+SUMIFS(ZonePeriods[OffsetHours],ZonePeriods[Code],Planner!B$9,ZonePeriods[FromUtc],"&lt;="&amp;$A18,ZonePeriods[UntilUtc],"&gt;"&amp;$A18)/24)*1440,0)/1440,NA())</f>
        <v>46289.041666666664</v>
      </c>
      <c r="C18" s="22">
        <f>IF(COUNTIFS(ZonePeriods[Code],Planner!C$9,ZonePeriods[FromUtc],"&lt;="&amp;$A18,ZonePeriods[UntilUtc],"&gt;"&amp;$A18)=1,ROUND(($A18+SUMIFS(ZonePeriods[OffsetHours],ZonePeriods[Code],Planner!C$9,ZonePeriods[FromUtc],"&lt;="&amp;$A18,ZonePeriods[UntilUtc],"&gt;"&amp;$A18)/24)*1440,0)/1440,NA())</f>
        <v>46288.979166666664</v>
      </c>
      <c r="D18" s="22">
        <f>IF(COUNTIFS(ZonePeriods[Code],Planner!D$9,ZonePeriods[FromUtc],"&lt;="&amp;$A18,ZonePeriods[UntilUtc],"&gt;"&amp;$A18)=1,ROUND(($A18+SUMIFS(ZonePeriods[OffsetHours],ZonePeriods[Code],Planner!D$9,ZonePeriods[FromUtc],"&lt;="&amp;$A18,ZonePeriods[UntilUtc],"&gt;"&amp;$A18)/24)*1440,0)/1440,NA())</f>
        <v>46288.875</v>
      </c>
      <c r="E18" s="22">
        <f>IF(COUNTIFS(ZonePeriods[Code],Planner!E$9,ZonePeriods[FromUtc],"&lt;="&amp;$A18,ZonePeriods[UntilUtc],"&gt;"&amp;$A18)=1,ROUND(($A18+SUMIFS(ZonePeriods[OffsetHours],ZonePeriods[Code],Planner!E$9,ZonePeriods[FromUtc],"&lt;="&amp;$A18,ZonePeriods[UntilUtc],"&gt;"&amp;$A18)/24)*1440,0)/1440,NA())</f>
        <v>46288.833333333336</v>
      </c>
      <c r="F18" s="22">
        <f>IF(COUNTIFS(ZonePeriods[Code],Planner!F$9,ZonePeriods[FromUtc],"&lt;="&amp;$A18,ZonePeriods[UntilUtc],"&gt;"&amp;$A18)=1,ROUND(($A18+SUMIFS(ZonePeriods[OffsetHours],ZonePeriods[Code],Planner!F$9,ZonePeriods[FromUtc],"&lt;="&amp;$A18,ZonePeriods[UntilUtc],"&gt;"&amp;$A18)/24)*1440,0)/1440,NA())</f>
        <v>46288.791666666664</v>
      </c>
      <c r="G18" s="22">
        <f>IF(COUNTIFS(ZonePeriods[Code],Planner!G$9,ZonePeriods[FromUtc],"&lt;="&amp;$A18,ZonePeriods[UntilUtc],"&gt;"&amp;$A18)=1,ROUND(($A18+SUMIFS(ZonePeriods[OffsetHours],ZonePeriods[Code],Planner!G$9,ZonePeriods[FromUtc],"&lt;="&amp;$A18,ZonePeriods[UntilUtc],"&gt;"&amp;$A18)/24)*1440,0)/1440,NA())</f>
        <v>46288.583333333336</v>
      </c>
      <c r="H18" s="22">
        <f>IF(COUNTIFS(ZonePeriods[Code],Planner!H$9,ZonePeriods[FromUtc],"&lt;="&amp;$A18,ZonePeriods[UntilUtc],"&gt;"&amp;$A18)=1,ROUND(($A18+SUMIFS(ZonePeriods[OffsetHours],ZonePeriods[Code],Planner!H$9,ZonePeriods[FromUtc],"&lt;="&amp;$A18,ZonePeriods[UntilUtc],"&gt;"&amp;$A18)/24)*1440,0)/1440,NA())</f>
        <v>46288.458333333336</v>
      </c>
      <c r="I18" s="1"/>
      <c r="J18" s="1">
        <f t="shared" si="0"/>
        <v>60</v>
      </c>
      <c r="K18" s="1">
        <f t="shared" si="1"/>
        <v>1410</v>
      </c>
      <c r="L18" s="1">
        <f t="shared" si="2"/>
        <v>1260</v>
      </c>
      <c r="M18" s="1">
        <f t="shared" si="3"/>
        <v>1200</v>
      </c>
      <c r="N18" s="1">
        <f t="shared" si="4"/>
        <v>1140</v>
      </c>
      <c r="O18" s="1">
        <f t="shared" si="5"/>
        <v>840</v>
      </c>
      <c r="P18" s="1">
        <f t="shared" si="6"/>
        <v>660</v>
      </c>
      <c r="Q18" s="1"/>
      <c r="R18" s="1">
        <f t="shared" si="7"/>
        <v>0</v>
      </c>
      <c r="S18" s="1">
        <f t="shared" si="8"/>
        <v>0</v>
      </c>
      <c r="T18" s="1">
        <f t="shared" si="9"/>
        <v>0</v>
      </c>
      <c r="U18" s="1">
        <f t="shared" si="10"/>
        <v>0</v>
      </c>
      <c r="V18" s="1">
        <f t="shared" si="11"/>
        <v>1</v>
      </c>
      <c r="W18" s="1">
        <f t="shared" si="12"/>
        <v>2</v>
      </c>
      <c r="X18" s="1">
        <f t="shared" si="13"/>
        <v>2</v>
      </c>
      <c r="Y18" s="1"/>
      <c r="Z18" s="1">
        <f>IF(Planner!B$10="Nessuno",0,COUNTIFS(HolidayDates[Calendar],Planner!B$10,HolidayDates[Local date],INT(B18),HolidayDates[Active 0/1],1)+COUNTIFS(ImportedHolidays[Calendar],Planner!B$10,ImportedHolidays[Date],INT(B18),ImportedHolidays[Active],1,ImportedHolidays[Kind],"HOLIDAY"))</f>
        <v>0</v>
      </c>
      <c r="AA18" s="1">
        <f>IF(Planner!C$10="Nessuno",0,COUNTIFS(HolidayDates[Calendar],Planner!C$10,HolidayDates[Local date],INT(C18),HolidayDates[Active 0/1],1)+COUNTIFS(ImportedHolidays[Calendar],Planner!C$10,ImportedHolidays[Date],INT(C18),ImportedHolidays[Active],1,ImportedHolidays[Kind],"HOLIDAY"))</f>
        <v>0</v>
      </c>
      <c r="AB18" s="1">
        <f>IF(Planner!D$10="Nessuno",0,COUNTIFS(HolidayDates[Calendar],Planner!D$10,HolidayDates[Local date],INT(D18),HolidayDates[Active 0/1],1)+COUNTIFS(ImportedHolidays[Calendar],Planner!D$10,ImportedHolidays[Date],INT(D18),ImportedHolidays[Active],1,ImportedHolidays[Kind],"HOLIDAY"))</f>
        <v>0</v>
      </c>
      <c r="AC18" s="1">
        <f>IF(Planner!E$10="Nessuno",0,COUNTIFS(HolidayDates[Calendar],Planner!E$10,HolidayDates[Local date],INT(E18),HolidayDates[Active 0/1],1)+COUNTIFS(ImportedHolidays[Calendar],Planner!E$10,ImportedHolidays[Date],INT(E18),ImportedHolidays[Active],1,ImportedHolidays[Kind],"HOLIDAY"))</f>
        <v>0</v>
      </c>
      <c r="AD18" s="1">
        <f>IF(Planner!F$10="Nessuno",0,COUNTIFS(HolidayDates[Calendar],Planner!F$10,HolidayDates[Local date],INT(F18),HolidayDates[Active 0/1],1)+COUNTIFS(ImportedHolidays[Calendar],Planner!F$10,ImportedHolidays[Date],INT(F18),ImportedHolidays[Active],1,ImportedHolidays[Kind],"HOLIDAY"))</f>
        <v>0</v>
      </c>
      <c r="AE18" s="1">
        <f>IF(Planner!G$10="Nessuno",0,COUNTIFS(HolidayDates[Calendar],Planner!G$10,HolidayDates[Local date],INT(G18),HolidayDates[Active 0/1],1)+COUNTIFS(ImportedHolidays[Calendar],Planner!G$10,ImportedHolidays[Date],INT(G18),ImportedHolidays[Active],1,ImportedHolidays[Kind],"HOLIDAY"))</f>
        <v>0</v>
      </c>
      <c r="AF18" s="1">
        <f>IF(Planner!H$10="Nessuno",0,COUNTIFS(HolidayDates[Calendar],Planner!H$10,HolidayDates[Local date],INT(H18),HolidayDates[Active 0/1],1)+COUNTIFS(ImportedHolidays[Calendar],Planner!H$10,ImportedHolidays[Date],INT(H18),ImportedHolidays[Active],1,ImportedHolidays[Kind],"HOLIDAY"))</f>
        <v>0</v>
      </c>
      <c r="AG18" s="1"/>
      <c r="AH18" s="1" t="b">
        <f>INDEX(Parametri!$G12:$M12,1,WEEKDAY(INT(B18),2))=1</f>
        <v>0</v>
      </c>
      <c r="AI18" s="1" t="b">
        <f>INDEX(Parametri!$G13:$M13,1,WEEKDAY(INT(C18),2))=1</f>
        <v>0</v>
      </c>
      <c r="AJ18" s="1" t="b">
        <f>INDEX(Parametri!$G14:$M14,1,WEEKDAY(INT(D18),2))=1</f>
        <v>0</v>
      </c>
      <c r="AK18" s="1" t="b">
        <f>INDEX(Parametri!$G15:$M15,1,WEEKDAY(INT(E18),2))=1</f>
        <v>0</v>
      </c>
      <c r="AL18" s="1" t="b">
        <f>INDEX(Parametri!$G16:$M16,1,WEEKDAY(INT(F18),2))=1</f>
        <v>0</v>
      </c>
      <c r="AM18" s="1" t="b">
        <f>INDEX(Parametri!$G17:$M17,1,WEEKDAY(INT(G18),2))=1</f>
        <v>0</v>
      </c>
      <c r="AN18" s="1" t="b">
        <f>INDEX(Parametri!$G18:$M18,1,WEEKDAY(INT(H18),2))=1</f>
        <v>0</v>
      </c>
      <c r="AO18">
        <f>COUNTIFS(PersonalExceptions[Colonna],1,PersonalExceptions[Dal],"&lt;="&amp;INT(B18),PersonalExceptions[Al],"&gt;="&amp;INT(B18),PersonalExceptions[Active 0/1],1,PersonalExceptions[Effetto],"Rest")</f>
        <v>0</v>
      </c>
      <c r="AP18">
        <f>COUNTIFS(PersonalExceptions[Colonna],2,PersonalExceptions[Dal],"&lt;="&amp;INT(C18),PersonalExceptions[Al],"&gt;="&amp;INT(C18),PersonalExceptions[Active 0/1],1,PersonalExceptions[Effetto],"Rest")</f>
        <v>0</v>
      </c>
      <c r="AQ18">
        <f>COUNTIFS(PersonalExceptions[Colonna],3,PersonalExceptions[Dal],"&lt;="&amp;INT(D18),PersonalExceptions[Al],"&gt;="&amp;INT(D18),PersonalExceptions[Active 0/1],1,PersonalExceptions[Effetto],"Rest")</f>
        <v>0</v>
      </c>
      <c r="AR18">
        <f>COUNTIFS(PersonalExceptions[Colonna],4,PersonalExceptions[Dal],"&lt;="&amp;INT(E18),PersonalExceptions[Al],"&gt;="&amp;INT(E18),PersonalExceptions[Active 0/1],1,PersonalExceptions[Effetto],"Rest")</f>
        <v>0</v>
      </c>
      <c r="AS18">
        <f>COUNTIFS(PersonalExceptions[Colonna],5,PersonalExceptions[Dal],"&lt;="&amp;INT(F18),PersonalExceptions[Al],"&gt;="&amp;INT(F18),PersonalExceptions[Active 0/1],1,PersonalExceptions[Effetto],"Rest")</f>
        <v>0</v>
      </c>
      <c r="AT18">
        <f>COUNTIFS(PersonalExceptions[Colonna],6,PersonalExceptions[Dal],"&lt;="&amp;INT(G18),PersonalExceptions[Al],"&gt;="&amp;INT(G18),PersonalExceptions[Active 0/1],1,PersonalExceptions[Effetto],"Rest")</f>
        <v>0</v>
      </c>
      <c r="AU18">
        <f>COUNTIFS(PersonalExceptions[Colonna],7,PersonalExceptions[Dal],"&lt;="&amp;INT(H18),PersonalExceptions[Al],"&gt;="&amp;INT(H18),PersonalExceptions[Active 0/1],1,PersonalExceptions[Effetto],"Rest")</f>
        <v>0</v>
      </c>
      <c r="AW18">
        <f>COUNTIFS(PersonalExceptions[Colonna],1,PersonalExceptions[Dal],"&lt;="&amp;INT(B18),PersonalExceptions[Al],"&gt;="&amp;INT(B18),PersonalExceptions[Active 0/1],1,PersonalExceptions[Effetto],"Activity")</f>
        <v>0</v>
      </c>
      <c r="AX18">
        <f>COUNTIFS(PersonalExceptions[Colonna],2,PersonalExceptions[Dal],"&lt;="&amp;INT(C18),PersonalExceptions[Al],"&gt;="&amp;INT(C18),PersonalExceptions[Active 0/1],1,PersonalExceptions[Effetto],"Activity")</f>
        <v>0</v>
      </c>
      <c r="AY18">
        <f>COUNTIFS(PersonalExceptions[Colonna],3,PersonalExceptions[Dal],"&lt;="&amp;INT(D18),PersonalExceptions[Al],"&gt;="&amp;INT(D18),PersonalExceptions[Active 0/1],1,PersonalExceptions[Effetto],"Activity")</f>
        <v>0</v>
      </c>
      <c r="AZ18">
        <f>COUNTIFS(PersonalExceptions[Colonna],4,PersonalExceptions[Dal],"&lt;="&amp;INT(E18),PersonalExceptions[Al],"&gt;="&amp;INT(E18),PersonalExceptions[Active 0/1],1,PersonalExceptions[Effetto],"Activity")</f>
        <v>0</v>
      </c>
      <c r="BA18">
        <f>COUNTIFS(PersonalExceptions[Colonna],5,PersonalExceptions[Dal],"&lt;="&amp;INT(F18),PersonalExceptions[Al],"&gt;="&amp;INT(F18),PersonalExceptions[Active 0/1],1,PersonalExceptions[Effetto],"Activity")</f>
        <v>0</v>
      </c>
      <c r="BB18">
        <f>COUNTIFS(PersonalExceptions[Colonna],6,PersonalExceptions[Dal],"&lt;="&amp;INT(G18),PersonalExceptions[Al],"&gt;="&amp;INT(G18),PersonalExceptions[Active 0/1],1,PersonalExceptions[Effetto],"Activity")</f>
        <v>0</v>
      </c>
      <c r="BC18">
        <f>COUNTIFS(PersonalExceptions[Colonna],7,PersonalExceptions[Dal],"&lt;="&amp;INT(H18),PersonalExceptions[Al],"&gt;="&amp;INT(H18),PersonalExceptions[Active 0/1],1,PersonalExceptions[Effetto],"Activity")</f>
        <v>0</v>
      </c>
      <c r="BE18">
        <f>IF(Planner!B$10="Nessuno",0,COUNTIFS(ImportedHolidays[Calendar],Planner!B$10,ImportedHolidays[Date],INT(B18),ImportedHolidays[Active],1,ImportedHolidays[Kind],"WORKDAY"))</f>
        <v>0</v>
      </c>
      <c r="BF18">
        <f>IF(Planner!C$10="Nessuno",0,COUNTIFS(ImportedHolidays[Calendar],Planner!C$10,ImportedHolidays[Date],INT(C18),ImportedHolidays[Active],1,ImportedHolidays[Kind],"WORKDAY"))</f>
        <v>0</v>
      </c>
      <c r="BG18">
        <f>IF(Planner!D$10="Nessuno",0,COUNTIFS(ImportedHolidays[Calendar],Planner!D$10,ImportedHolidays[Date],INT(D18),ImportedHolidays[Active],1,ImportedHolidays[Kind],"WORKDAY"))</f>
        <v>0</v>
      </c>
      <c r="BH18">
        <f>IF(Planner!E$10="Nessuno",0,COUNTIFS(ImportedHolidays[Calendar],Planner!E$10,ImportedHolidays[Date],INT(E18),ImportedHolidays[Active],1,ImportedHolidays[Kind],"WORKDAY"))</f>
        <v>0</v>
      </c>
      <c r="BI18">
        <f>IF(Planner!F$10="Nessuno",0,COUNTIFS(ImportedHolidays[Calendar],Planner!F$10,ImportedHolidays[Date],INT(F18),ImportedHolidays[Active],1,ImportedHolidays[Kind],"WORKDAY"))</f>
        <v>0</v>
      </c>
      <c r="BJ18">
        <f>IF(Planner!G$10="Nessuno",0,COUNTIFS(ImportedHolidays[Calendar],Planner!G$10,ImportedHolidays[Date],INT(G18),ImportedHolidays[Active],1,ImportedHolidays[Kind],"WORKDAY"))</f>
        <v>0</v>
      </c>
      <c r="BK18">
        <f>IF(Planner!H$10="Nessuno",0,COUNTIFS(ImportedHolidays[Calendar],Planner!H$10,ImportedHolidays[Date],INT(H18),ImportedHolidays[Active],1,ImportedHolidays[Kind],"WORKDAY"))</f>
        <v>0</v>
      </c>
      <c r="BM18">
        <f>IF(MOD(J18-B$11,1440)&lt;B$12,2,IF(OR(MOD(J18-B$11,1440)&lt;B$12+ROUND(Planner!$D$5*60,0),MOD(J18-B$11,1440)&gt;=1440-ROUND(Planner!$B$5*60,0)),1,0))</f>
        <v>0</v>
      </c>
      <c r="BN18">
        <f>IF(MOD(K18-C$11,1440)&lt;C$12,2,IF(OR(MOD(K18-C$11,1440)&lt;C$12+ROUND(Planner!$D$5*60,0),MOD(K18-C$11,1440)&gt;=1440-ROUND(Planner!$B$5*60,0)),1,0))</f>
        <v>0</v>
      </c>
      <c r="BO18">
        <f>IF(MOD(L18-D$11,1440)&lt;D$12,2,IF(OR(MOD(L18-D$11,1440)&lt;D$12+ROUND(Planner!$D$5*60,0),MOD(L18-D$11,1440)&gt;=1440-ROUND(Planner!$B$5*60,0)),1,0))</f>
        <v>0</v>
      </c>
      <c r="BP18">
        <f>IF(MOD(M18-E$11,1440)&lt;E$12,2,IF(OR(MOD(M18-E$11,1440)&lt;E$12+ROUND(Planner!$D$5*60,0),MOD(M18-E$11,1440)&gt;=1440-ROUND(Planner!$B$5*60,0)),1,0))</f>
        <v>0</v>
      </c>
      <c r="BQ18">
        <f>IF(MOD(N18-F$11,1440)&lt;F$12,2,IF(OR(MOD(N18-F$11,1440)&lt;F$12+ROUND(Planner!$D$5*60,0),MOD(N18-F$11,1440)&gt;=1440-ROUND(Planner!$B$5*60,0)),1,0))</f>
        <v>1</v>
      </c>
      <c r="BR18">
        <f>IF(MOD(O18-G$11,1440)&lt;G$12,2,IF(OR(MOD(O18-G$11,1440)&lt;G$12+ROUND(Planner!$D$5*60,0),MOD(O18-G$11,1440)&gt;=1440-ROUND(Planner!$B$5*60,0)),1,0))</f>
        <v>2</v>
      </c>
      <c r="BS18">
        <f>IF(MOD(P18-H$11,1440)&lt;H$12,2,IF(OR(MOD(P18-H$11,1440)&lt;H$12+ROUND(Planner!$D$5*60,0),MOD(P18-H$11,1440)&gt;=1440-ROUND(Planner!$B$5*60,0)),1,0))</f>
        <v>2</v>
      </c>
    </row>
    <row r="19" spans="1:71">
      <c r="A19" s="22">
        <f>ROUND(($B$6+2*60/1440)*1440,0)/1440</f>
        <v>46288.791666666664</v>
      </c>
      <c r="B19" s="22">
        <f>IF(COUNTIFS(ZonePeriods[Code],Planner!B$9,ZonePeriods[FromUtc],"&lt;="&amp;$A19,ZonePeriods[UntilUtc],"&gt;"&amp;$A19)=1,ROUND(($A19+SUMIFS(ZonePeriods[OffsetHours],ZonePeriods[Code],Planner!B$9,ZonePeriods[FromUtc],"&lt;="&amp;$A19,ZonePeriods[UntilUtc],"&gt;"&amp;$A19)/24)*1440,0)/1440,NA())</f>
        <v>46289.083333333336</v>
      </c>
      <c r="C19" s="22">
        <f>IF(COUNTIFS(ZonePeriods[Code],Planner!C$9,ZonePeriods[FromUtc],"&lt;="&amp;$A19,ZonePeriods[UntilUtc],"&gt;"&amp;$A19)=1,ROUND(($A19+SUMIFS(ZonePeriods[OffsetHours],ZonePeriods[Code],Planner!C$9,ZonePeriods[FromUtc],"&lt;="&amp;$A19,ZonePeriods[UntilUtc],"&gt;"&amp;$A19)/24)*1440,0)/1440,NA())</f>
        <v>46289.020833333336</v>
      </c>
      <c r="D19" s="22">
        <f>IF(COUNTIFS(ZonePeriods[Code],Planner!D$9,ZonePeriods[FromUtc],"&lt;="&amp;$A19,ZonePeriods[UntilUtc],"&gt;"&amp;$A19)=1,ROUND(($A19+SUMIFS(ZonePeriods[OffsetHours],ZonePeriods[Code],Planner!D$9,ZonePeriods[FromUtc],"&lt;="&amp;$A19,ZonePeriods[UntilUtc],"&gt;"&amp;$A19)/24)*1440,0)/1440,NA())</f>
        <v>46288.916666666664</v>
      </c>
      <c r="E19" s="22">
        <f>IF(COUNTIFS(ZonePeriods[Code],Planner!E$9,ZonePeriods[FromUtc],"&lt;="&amp;$A19,ZonePeriods[UntilUtc],"&gt;"&amp;$A19)=1,ROUND(($A19+SUMIFS(ZonePeriods[OffsetHours],ZonePeriods[Code],Planner!E$9,ZonePeriods[FromUtc],"&lt;="&amp;$A19,ZonePeriods[UntilUtc],"&gt;"&amp;$A19)/24)*1440,0)/1440,NA())</f>
        <v>46288.875</v>
      </c>
      <c r="F19" s="22">
        <f>IF(COUNTIFS(ZonePeriods[Code],Planner!F$9,ZonePeriods[FromUtc],"&lt;="&amp;$A19,ZonePeriods[UntilUtc],"&gt;"&amp;$A19)=1,ROUND(($A19+SUMIFS(ZonePeriods[OffsetHours],ZonePeriods[Code],Planner!F$9,ZonePeriods[FromUtc],"&lt;="&amp;$A19,ZonePeriods[UntilUtc],"&gt;"&amp;$A19)/24)*1440,0)/1440,NA())</f>
        <v>46288.833333333336</v>
      </c>
      <c r="G19" s="22">
        <f>IF(COUNTIFS(ZonePeriods[Code],Planner!G$9,ZonePeriods[FromUtc],"&lt;="&amp;$A19,ZonePeriods[UntilUtc],"&gt;"&amp;$A19)=1,ROUND(($A19+SUMIFS(ZonePeriods[OffsetHours],ZonePeriods[Code],Planner!G$9,ZonePeriods[FromUtc],"&lt;="&amp;$A19,ZonePeriods[UntilUtc],"&gt;"&amp;$A19)/24)*1440,0)/1440,NA())</f>
        <v>46288.625</v>
      </c>
      <c r="H19" s="22">
        <f>IF(COUNTIFS(ZonePeriods[Code],Planner!H$9,ZonePeriods[FromUtc],"&lt;="&amp;$A19,ZonePeriods[UntilUtc],"&gt;"&amp;$A19)=1,ROUND(($A19+SUMIFS(ZonePeriods[OffsetHours],ZonePeriods[Code],Planner!H$9,ZonePeriods[FromUtc],"&lt;="&amp;$A19,ZonePeriods[UntilUtc],"&gt;"&amp;$A19)/24)*1440,0)/1440,NA())</f>
        <v>46288.5</v>
      </c>
      <c r="I19" s="1"/>
      <c r="J19" s="1">
        <f t="shared" si="0"/>
        <v>120</v>
      </c>
      <c r="K19" s="1">
        <f t="shared" si="1"/>
        <v>30</v>
      </c>
      <c r="L19" s="1">
        <f t="shared" si="2"/>
        <v>1320</v>
      </c>
      <c r="M19" s="1">
        <f t="shared" si="3"/>
        <v>1260</v>
      </c>
      <c r="N19" s="1">
        <f t="shared" si="4"/>
        <v>1200</v>
      </c>
      <c r="O19" s="1">
        <f t="shared" si="5"/>
        <v>900</v>
      </c>
      <c r="P19" s="1">
        <f t="shared" si="6"/>
        <v>720</v>
      </c>
      <c r="Q19" s="1"/>
      <c r="R19" s="1">
        <f t="shared" si="7"/>
        <v>0</v>
      </c>
      <c r="S19" s="1">
        <f t="shared" si="8"/>
        <v>0</v>
      </c>
      <c r="T19" s="1">
        <f t="shared" si="9"/>
        <v>0</v>
      </c>
      <c r="U19" s="1">
        <f t="shared" si="10"/>
        <v>0</v>
      </c>
      <c r="V19" s="1">
        <f t="shared" si="11"/>
        <v>0</v>
      </c>
      <c r="W19" s="1">
        <f t="shared" si="12"/>
        <v>2</v>
      </c>
      <c r="X19" s="1">
        <f t="shared" si="13"/>
        <v>2</v>
      </c>
      <c r="Y19" s="1"/>
      <c r="Z19" s="1">
        <f>IF(Planner!B$10="Nessuno",0,COUNTIFS(HolidayDates[Calendar],Planner!B$10,HolidayDates[Local date],INT(B19),HolidayDates[Active 0/1],1)+COUNTIFS(ImportedHolidays[Calendar],Planner!B$10,ImportedHolidays[Date],INT(B19),ImportedHolidays[Active],1,ImportedHolidays[Kind],"HOLIDAY"))</f>
        <v>0</v>
      </c>
      <c r="AA19" s="1">
        <f>IF(Planner!C$10="Nessuno",0,COUNTIFS(HolidayDates[Calendar],Planner!C$10,HolidayDates[Local date],INT(C19),HolidayDates[Active 0/1],1)+COUNTIFS(ImportedHolidays[Calendar],Planner!C$10,ImportedHolidays[Date],INT(C19),ImportedHolidays[Active],1,ImportedHolidays[Kind],"HOLIDAY"))</f>
        <v>0</v>
      </c>
      <c r="AB19" s="1">
        <f>IF(Planner!D$10="Nessuno",0,COUNTIFS(HolidayDates[Calendar],Planner!D$10,HolidayDates[Local date],INT(D19),HolidayDates[Active 0/1],1)+COUNTIFS(ImportedHolidays[Calendar],Planner!D$10,ImportedHolidays[Date],INT(D19),ImportedHolidays[Active],1,ImportedHolidays[Kind],"HOLIDAY"))</f>
        <v>0</v>
      </c>
      <c r="AC19" s="1">
        <f>IF(Planner!E$10="Nessuno",0,COUNTIFS(HolidayDates[Calendar],Planner!E$10,HolidayDates[Local date],INT(E19),HolidayDates[Active 0/1],1)+COUNTIFS(ImportedHolidays[Calendar],Planner!E$10,ImportedHolidays[Date],INT(E19),ImportedHolidays[Active],1,ImportedHolidays[Kind],"HOLIDAY"))</f>
        <v>0</v>
      </c>
      <c r="AD19" s="1">
        <f>IF(Planner!F$10="Nessuno",0,COUNTIFS(HolidayDates[Calendar],Planner!F$10,HolidayDates[Local date],INT(F19),HolidayDates[Active 0/1],1)+COUNTIFS(ImportedHolidays[Calendar],Planner!F$10,ImportedHolidays[Date],INT(F19),ImportedHolidays[Active],1,ImportedHolidays[Kind],"HOLIDAY"))</f>
        <v>0</v>
      </c>
      <c r="AE19" s="1">
        <f>IF(Planner!G$10="Nessuno",0,COUNTIFS(HolidayDates[Calendar],Planner!G$10,HolidayDates[Local date],INT(G19),HolidayDates[Active 0/1],1)+COUNTIFS(ImportedHolidays[Calendar],Planner!G$10,ImportedHolidays[Date],INT(G19),ImportedHolidays[Active],1,ImportedHolidays[Kind],"HOLIDAY"))</f>
        <v>0</v>
      </c>
      <c r="AF19" s="1">
        <f>IF(Planner!H$10="Nessuno",0,COUNTIFS(HolidayDates[Calendar],Planner!H$10,HolidayDates[Local date],INT(H19),HolidayDates[Active 0/1],1)+COUNTIFS(ImportedHolidays[Calendar],Planner!H$10,ImportedHolidays[Date],INT(H19),ImportedHolidays[Active],1,ImportedHolidays[Kind],"HOLIDAY"))</f>
        <v>0</v>
      </c>
      <c r="AG19" s="1"/>
      <c r="AH19" s="1" t="b">
        <f>INDEX(Parametri!$G12:$M12,1,WEEKDAY(INT(B19),2))=1</f>
        <v>0</v>
      </c>
      <c r="AI19" s="1" t="b">
        <f>INDEX(Parametri!$G13:$M13,1,WEEKDAY(INT(C19),2))=1</f>
        <v>0</v>
      </c>
      <c r="AJ19" s="1" t="b">
        <f>INDEX(Parametri!$G14:$M14,1,WEEKDAY(INT(D19),2))=1</f>
        <v>0</v>
      </c>
      <c r="AK19" s="1" t="b">
        <f>INDEX(Parametri!$G15:$M15,1,WEEKDAY(INT(E19),2))=1</f>
        <v>0</v>
      </c>
      <c r="AL19" s="1" t="b">
        <f>INDEX(Parametri!$G16:$M16,1,WEEKDAY(INT(F19),2))=1</f>
        <v>0</v>
      </c>
      <c r="AM19" s="1" t="b">
        <f>INDEX(Parametri!$G17:$M17,1,WEEKDAY(INT(G19),2))=1</f>
        <v>0</v>
      </c>
      <c r="AN19" s="1" t="b">
        <f>INDEX(Parametri!$G18:$M18,1,WEEKDAY(INT(H19),2))=1</f>
        <v>0</v>
      </c>
      <c r="AO19">
        <f>COUNTIFS(PersonalExceptions[Colonna],1,PersonalExceptions[Dal],"&lt;="&amp;INT(B19),PersonalExceptions[Al],"&gt;="&amp;INT(B19),PersonalExceptions[Active 0/1],1,PersonalExceptions[Effetto],"Rest")</f>
        <v>0</v>
      </c>
      <c r="AP19">
        <f>COUNTIFS(PersonalExceptions[Colonna],2,PersonalExceptions[Dal],"&lt;="&amp;INT(C19),PersonalExceptions[Al],"&gt;="&amp;INT(C19),PersonalExceptions[Active 0/1],1,PersonalExceptions[Effetto],"Rest")</f>
        <v>0</v>
      </c>
      <c r="AQ19">
        <f>COUNTIFS(PersonalExceptions[Colonna],3,PersonalExceptions[Dal],"&lt;="&amp;INT(D19),PersonalExceptions[Al],"&gt;="&amp;INT(D19),PersonalExceptions[Active 0/1],1,PersonalExceptions[Effetto],"Rest")</f>
        <v>0</v>
      </c>
      <c r="AR19">
        <f>COUNTIFS(PersonalExceptions[Colonna],4,PersonalExceptions[Dal],"&lt;="&amp;INT(E19),PersonalExceptions[Al],"&gt;="&amp;INT(E19),PersonalExceptions[Active 0/1],1,PersonalExceptions[Effetto],"Rest")</f>
        <v>0</v>
      </c>
      <c r="AS19">
        <f>COUNTIFS(PersonalExceptions[Colonna],5,PersonalExceptions[Dal],"&lt;="&amp;INT(F19),PersonalExceptions[Al],"&gt;="&amp;INT(F19),PersonalExceptions[Active 0/1],1,PersonalExceptions[Effetto],"Rest")</f>
        <v>0</v>
      </c>
      <c r="AT19">
        <f>COUNTIFS(PersonalExceptions[Colonna],6,PersonalExceptions[Dal],"&lt;="&amp;INT(G19),PersonalExceptions[Al],"&gt;="&amp;INT(G19),PersonalExceptions[Active 0/1],1,PersonalExceptions[Effetto],"Rest")</f>
        <v>0</v>
      </c>
      <c r="AU19">
        <f>COUNTIFS(PersonalExceptions[Colonna],7,PersonalExceptions[Dal],"&lt;="&amp;INT(H19),PersonalExceptions[Al],"&gt;="&amp;INT(H19),PersonalExceptions[Active 0/1],1,PersonalExceptions[Effetto],"Rest")</f>
        <v>0</v>
      </c>
      <c r="AW19">
        <f>COUNTIFS(PersonalExceptions[Colonna],1,PersonalExceptions[Dal],"&lt;="&amp;INT(B19),PersonalExceptions[Al],"&gt;="&amp;INT(B19),PersonalExceptions[Active 0/1],1,PersonalExceptions[Effetto],"Activity")</f>
        <v>0</v>
      </c>
      <c r="AX19">
        <f>COUNTIFS(PersonalExceptions[Colonna],2,PersonalExceptions[Dal],"&lt;="&amp;INT(C19),PersonalExceptions[Al],"&gt;="&amp;INT(C19),PersonalExceptions[Active 0/1],1,PersonalExceptions[Effetto],"Activity")</f>
        <v>0</v>
      </c>
      <c r="AY19">
        <f>COUNTIFS(PersonalExceptions[Colonna],3,PersonalExceptions[Dal],"&lt;="&amp;INT(D19),PersonalExceptions[Al],"&gt;="&amp;INT(D19),PersonalExceptions[Active 0/1],1,PersonalExceptions[Effetto],"Activity")</f>
        <v>0</v>
      </c>
      <c r="AZ19">
        <f>COUNTIFS(PersonalExceptions[Colonna],4,PersonalExceptions[Dal],"&lt;="&amp;INT(E19),PersonalExceptions[Al],"&gt;="&amp;INT(E19),PersonalExceptions[Active 0/1],1,PersonalExceptions[Effetto],"Activity")</f>
        <v>0</v>
      </c>
      <c r="BA19">
        <f>COUNTIFS(PersonalExceptions[Colonna],5,PersonalExceptions[Dal],"&lt;="&amp;INT(F19),PersonalExceptions[Al],"&gt;="&amp;INT(F19),PersonalExceptions[Active 0/1],1,PersonalExceptions[Effetto],"Activity")</f>
        <v>0</v>
      </c>
      <c r="BB19">
        <f>COUNTIFS(PersonalExceptions[Colonna],6,PersonalExceptions[Dal],"&lt;="&amp;INT(G19),PersonalExceptions[Al],"&gt;="&amp;INT(G19),PersonalExceptions[Active 0/1],1,PersonalExceptions[Effetto],"Activity")</f>
        <v>0</v>
      </c>
      <c r="BC19">
        <f>COUNTIFS(PersonalExceptions[Colonna],7,PersonalExceptions[Dal],"&lt;="&amp;INT(H19),PersonalExceptions[Al],"&gt;="&amp;INT(H19),PersonalExceptions[Active 0/1],1,PersonalExceptions[Effetto],"Activity")</f>
        <v>0</v>
      </c>
      <c r="BE19">
        <f>IF(Planner!B$10="Nessuno",0,COUNTIFS(ImportedHolidays[Calendar],Planner!B$10,ImportedHolidays[Date],INT(B19),ImportedHolidays[Active],1,ImportedHolidays[Kind],"WORKDAY"))</f>
        <v>0</v>
      </c>
      <c r="BF19">
        <f>IF(Planner!C$10="Nessuno",0,COUNTIFS(ImportedHolidays[Calendar],Planner!C$10,ImportedHolidays[Date],INT(C19),ImportedHolidays[Active],1,ImportedHolidays[Kind],"WORKDAY"))</f>
        <v>0</v>
      </c>
      <c r="BG19">
        <f>IF(Planner!D$10="Nessuno",0,COUNTIFS(ImportedHolidays[Calendar],Planner!D$10,ImportedHolidays[Date],INT(D19),ImportedHolidays[Active],1,ImportedHolidays[Kind],"WORKDAY"))</f>
        <v>0</v>
      </c>
      <c r="BH19">
        <f>IF(Planner!E$10="Nessuno",0,COUNTIFS(ImportedHolidays[Calendar],Planner!E$10,ImportedHolidays[Date],INT(E19),ImportedHolidays[Active],1,ImportedHolidays[Kind],"WORKDAY"))</f>
        <v>0</v>
      </c>
      <c r="BI19">
        <f>IF(Planner!F$10="Nessuno",0,COUNTIFS(ImportedHolidays[Calendar],Planner!F$10,ImportedHolidays[Date],INT(F19),ImportedHolidays[Active],1,ImportedHolidays[Kind],"WORKDAY"))</f>
        <v>0</v>
      </c>
      <c r="BJ19">
        <f>IF(Planner!G$10="Nessuno",0,COUNTIFS(ImportedHolidays[Calendar],Planner!G$10,ImportedHolidays[Date],INT(G19),ImportedHolidays[Active],1,ImportedHolidays[Kind],"WORKDAY"))</f>
        <v>0</v>
      </c>
      <c r="BK19">
        <f>IF(Planner!H$10="Nessuno",0,COUNTIFS(ImportedHolidays[Calendar],Planner!H$10,ImportedHolidays[Date],INT(H19),ImportedHolidays[Active],1,ImportedHolidays[Kind],"WORKDAY"))</f>
        <v>0</v>
      </c>
      <c r="BM19">
        <f>IF(MOD(J19-B$11,1440)&lt;B$12,2,IF(OR(MOD(J19-B$11,1440)&lt;B$12+ROUND(Planner!$D$5*60,0),MOD(J19-B$11,1440)&gt;=1440-ROUND(Planner!$B$5*60,0)),1,0))</f>
        <v>0</v>
      </c>
      <c r="BN19">
        <f>IF(MOD(K19-C$11,1440)&lt;C$12,2,IF(OR(MOD(K19-C$11,1440)&lt;C$12+ROUND(Planner!$D$5*60,0),MOD(K19-C$11,1440)&gt;=1440-ROUND(Planner!$B$5*60,0)),1,0))</f>
        <v>0</v>
      </c>
      <c r="BO19">
        <f>IF(MOD(L19-D$11,1440)&lt;D$12,2,IF(OR(MOD(L19-D$11,1440)&lt;D$12+ROUND(Planner!$D$5*60,0),MOD(L19-D$11,1440)&gt;=1440-ROUND(Planner!$B$5*60,0)),1,0))</f>
        <v>0</v>
      </c>
      <c r="BP19">
        <f>IF(MOD(M19-E$11,1440)&lt;E$12,2,IF(OR(MOD(M19-E$11,1440)&lt;E$12+ROUND(Planner!$D$5*60,0),MOD(M19-E$11,1440)&gt;=1440-ROUND(Planner!$B$5*60,0)),1,0))</f>
        <v>0</v>
      </c>
      <c r="BQ19">
        <f>IF(MOD(N19-F$11,1440)&lt;F$12,2,IF(OR(MOD(N19-F$11,1440)&lt;F$12+ROUND(Planner!$D$5*60,0),MOD(N19-F$11,1440)&gt;=1440-ROUND(Planner!$B$5*60,0)),1,0))</f>
        <v>0</v>
      </c>
      <c r="BR19">
        <f>IF(MOD(O19-G$11,1440)&lt;G$12,2,IF(OR(MOD(O19-G$11,1440)&lt;G$12+ROUND(Planner!$D$5*60,0),MOD(O19-G$11,1440)&gt;=1440-ROUND(Planner!$B$5*60,0)),1,0))</f>
        <v>2</v>
      </c>
      <c r="BS19">
        <f>IF(MOD(P19-H$11,1440)&lt;H$12,2,IF(OR(MOD(P19-H$11,1440)&lt;H$12+ROUND(Planner!$D$5*60,0),MOD(P19-H$11,1440)&gt;=1440-ROUND(Planner!$B$5*60,0)),1,0))</f>
        <v>2</v>
      </c>
    </row>
    <row r="20" spans="1:71">
      <c r="A20" s="22">
        <f>ROUND(($B$6+3*60/1440)*1440,0)/1440</f>
        <v>46288.833333333336</v>
      </c>
      <c r="B20" s="22">
        <f>IF(COUNTIFS(ZonePeriods[Code],Planner!B$9,ZonePeriods[FromUtc],"&lt;="&amp;$A20,ZonePeriods[UntilUtc],"&gt;"&amp;$A20)=1,ROUND(($A20+SUMIFS(ZonePeriods[OffsetHours],ZonePeriods[Code],Planner!B$9,ZonePeriods[FromUtc],"&lt;="&amp;$A20,ZonePeriods[UntilUtc],"&gt;"&amp;$A20)/24)*1440,0)/1440,NA())</f>
        <v>46289.125</v>
      </c>
      <c r="C20" s="22">
        <f>IF(COUNTIFS(ZonePeriods[Code],Planner!C$9,ZonePeriods[FromUtc],"&lt;="&amp;$A20,ZonePeriods[UntilUtc],"&gt;"&amp;$A20)=1,ROUND(($A20+SUMIFS(ZonePeriods[OffsetHours],ZonePeriods[Code],Planner!C$9,ZonePeriods[FromUtc],"&lt;="&amp;$A20,ZonePeriods[UntilUtc],"&gt;"&amp;$A20)/24)*1440,0)/1440,NA())</f>
        <v>46289.0625</v>
      </c>
      <c r="D20" s="22">
        <f>IF(COUNTIFS(ZonePeriods[Code],Planner!D$9,ZonePeriods[FromUtc],"&lt;="&amp;$A20,ZonePeriods[UntilUtc],"&gt;"&amp;$A20)=1,ROUND(($A20+SUMIFS(ZonePeriods[OffsetHours],ZonePeriods[Code],Planner!D$9,ZonePeriods[FromUtc],"&lt;="&amp;$A20,ZonePeriods[UntilUtc],"&gt;"&amp;$A20)/24)*1440,0)/1440,NA())</f>
        <v>46288.958333333336</v>
      </c>
      <c r="E20" s="22">
        <f>IF(COUNTIFS(ZonePeriods[Code],Planner!E$9,ZonePeriods[FromUtc],"&lt;="&amp;$A20,ZonePeriods[UntilUtc],"&gt;"&amp;$A20)=1,ROUND(($A20+SUMIFS(ZonePeriods[OffsetHours],ZonePeriods[Code],Planner!E$9,ZonePeriods[FromUtc],"&lt;="&amp;$A20,ZonePeriods[UntilUtc],"&gt;"&amp;$A20)/24)*1440,0)/1440,NA())</f>
        <v>46288.916666666664</v>
      </c>
      <c r="F20" s="22">
        <f>IF(COUNTIFS(ZonePeriods[Code],Planner!F$9,ZonePeriods[FromUtc],"&lt;="&amp;$A20,ZonePeriods[UntilUtc],"&gt;"&amp;$A20)=1,ROUND(($A20+SUMIFS(ZonePeriods[OffsetHours],ZonePeriods[Code],Planner!F$9,ZonePeriods[FromUtc],"&lt;="&amp;$A20,ZonePeriods[UntilUtc],"&gt;"&amp;$A20)/24)*1440,0)/1440,NA())</f>
        <v>46288.875</v>
      </c>
      <c r="G20" s="22">
        <f>IF(COUNTIFS(ZonePeriods[Code],Planner!G$9,ZonePeriods[FromUtc],"&lt;="&amp;$A20,ZonePeriods[UntilUtc],"&gt;"&amp;$A20)=1,ROUND(($A20+SUMIFS(ZonePeriods[OffsetHours],ZonePeriods[Code],Planner!G$9,ZonePeriods[FromUtc],"&lt;="&amp;$A20,ZonePeriods[UntilUtc],"&gt;"&amp;$A20)/24)*1440,0)/1440,NA())</f>
        <v>46288.666666666664</v>
      </c>
      <c r="H20" s="22">
        <f>IF(COUNTIFS(ZonePeriods[Code],Planner!H$9,ZonePeriods[FromUtc],"&lt;="&amp;$A20,ZonePeriods[UntilUtc],"&gt;"&amp;$A20)=1,ROUND(($A20+SUMIFS(ZonePeriods[OffsetHours],ZonePeriods[Code],Planner!H$9,ZonePeriods[FromUtc],"&lt;="&amp;$A20,ZonePeriods[UntilUtc],"&gt;"&amp;$A20)/24)*1440,0)/1440,NA())</f>
        <v>46288.541666666664</v>
      </c>
      <c r="I20" s="1"/>
      <c r="J20" s="1">
        <f t="shared" si="0"/>
        <v>180</v>
      </c>
      <c r="K20" s="1">
        <f t="shared" si="1"/>
        <v>90</v>
      </c>
      <c r="L20" s="1">
        <f t="shared" si="2"/>
        <v>1380</v>
      </c>
      <c r="M20" s="1">
        <f t="shared" si="3"/>
        <v>1320</v>
      </c>
      <c r="N20" s="1">
        <f t="shared" si="4"/>
        <v>1260</v>
      </c>
      <c r="O20" s="1">
        <f t="shared" si="5"/>
        <v>960</v>
      </c>
      <c r="P20" s="1">
        <f t="shared" si="6"/>
        <v>780</v>
      </c>
      <c r="Q20" s="1"/>
      <c r="R20" s="1">
        <f t="shared" si="7"/>
        <v>1</v>
      </c>
      <c r="S20" s="1">
        <f t="shared" si="8"/>
        <v>0</v>
      </c>
      <c r="T20" s="1">
        <f t="shared" si="9"/>
        <v>0</v>
      </c>
      <c r="U20" s="1">
        <f t="shared" si="10"/>
        <v>0</v>
      </c>
      <c r="V20" s="1">
        <f t="shared" si="11"/>
        <v>0</v>
      </c>
      <c r="W20" s="1">
        <f t="shared" si="12"/>
        <v>2</v>
      </c>
      <c r="X20" s="1">
        <f t="shared" si="13"/>
        <v>2</v>
      </c>
      <c r="Y20" s="1"/>
      <c r="Z20" s="1">
        <f>IF(Planner!B$10="Nessuno",0,COUNTIFS(HolidayDates[Calendar],Planner!B$10,HolidayDates[Local date],INT(B20),HolidayDates[Active 0/1],1)+COUNTIFS(ImportedHolidays[Calendar],Planner!B$10,ImportedHolidays[Date],INT(B20),ImportedHolidays[Active],1,ImportedHolidays[Kind],"HOLIDAY"))</f>
        <v>0</v>
      </c>
      <c r="AA20" s="1">
        <f>IF(Planner!C$10="Nessuno",0,COUNTIFS(HolidayDates[Calendar],Planner!C$10,HolidayDates[Local date],INT(C20),HolidayDates[Active 0/1],1)+COUNTIFS(ImportedHolidays[Calendar],Planner!C$10,ImportedHolidays[Date],INT(C20),ImportedHolidays[Active],1,ImportedHolidays[Kind],"HOLIDAY"))</f>
        <v>0</v>
      </c>
      <c r="AB20" s="1">
        <f>IF(Planner!D$10="Nessuno",0,COUNTIFS(HolidayDates[Calendar],Planner!D$10,HolidayDates[Local date],INT(D20),HolidayDates[Active 0/1],1)+COUNTIFS(ImportedHolidays[Calendar],Planner!D$10,ImportedHolidays[Date],INT(D20),ImportedHolidays[Active],1,ImportedHolidays[Kind],"HOLIDAY"))</f>
        <v>0</v>
      </c>
      <c r="AC20" s="1">
        <f>IF(Planner!E$10="Nessuno",0,COUNTIFS(HolidayDates[Calendar],Planner!E$10,HolidayDates[Local date],INT(E20),HolidayDates[Active 0/1],1)+COUNTIFS(ImportedHolidays[Calendar],Planner!E$10,ImportedHolidays[Date],INT(E20),ImportedHolidays[Active],1,ImportedHolidays[Kind],"HOLIDAY"))</f>
        <v>0</v>
      </c>
      <c r="AD20" s="1">
        <f>IF(Planner!F$10="Nessuno",0,COUNTIFS(HolidayDates[Calendar],Planner!F$10,HolidayDates[Local date],INT(F20),HolidayDates[Active 0/1],1)+COUNTIFS(ImportedHolidays[Calendar],Planner!F$10,ImportedHolidays[Date],INT(F20),ImportedHolidays[Active],1,ImportedHolidays[Kind],"HOLIDAY"))</f>
        <v>0</v>
      </c>
      <c r="AE20" s="1">
        <f>IF(Planner!G$10="Nessuno",0,COUNTIFS(HolidayDates[Calendar],Planner!G$10,HolidayDates[Local date],INT(G20),HolidayDates[Active 0/1],1)+COUNTIFS(ImportedHolidays[Calendar],Planner!G$10,ImportedHolidays[Date],INT(G20),ImportedHolidays[Active],1,ImportedHolidays[Kind],"HOLIDAY"))</f>
        <v>0</v>
      </c>
      <c r="AF20" s="1">
        <f>IF(Planner!H$10="Nessuno",0,COUNTIFS(HolidayDates[Calendar],Planner!H$10,HolidayDates[Local date],INT(H20),HolidayDates[Active 0/1],1)+COUNTIFS(ImportedHolidays[Calendar],Planner!H$10,ImportedHolidays[Date],INT(H20),ImportedHolidays[Active],1,ImportedHolidays[Kind],"HOLIDAY"))</f>
        <v>0</v>
      </c>
      <c r="AG20" s="1"/>
      <c r="AH20" s="1" t="b">
        <f>INDEX(Parametri!$G12:$M12,1,WEEKDAY(INT(B20),2))=1</f>
        <v>0</v>
      </c>
      <c r="AI20" s="1" t="b">
        <f>INDEX(Parametri!$G13:$M13,1,WEEKDAY(INT(C20),2))=1</f>
        <v>0</v>
      </c>
      <c r="AJ20" s="1" t="b">
        <f>INDEX(Parametri!$G14:$M14,1,WEEKDAY(INT(D20),2))=1</f>
        <v>0</v>
      </c>
      <c r="AK20" s="1" t="b">
        <f>INDEX(Parametri!$G15:$M15,1,WEEKDAY(INT(E20),2))=1</f>
        <v>0</v>
      </c>
      <c r="AL20" s="1" t="b">
        <f>INDEX(Parametri!$G16:$M16,1,WEEKDAY(INT(F20),2))=1</f>
        <v>0</v>
      </c>
      <c r="AM20" s="1" t="b">
        <f>INDEX(Parametri!$G17:$M17,1,WEEKDAY(INT(G20),2))=1</f>
        <v>0</v>
      </c>
      <c r="AN20" s="1" t="b">
        <f>INDEX(Parametri!$G18:$M18,1,WEEKDAY(INT(H20),2))=1</f>
        <v>0</v>
      </c>
      <c r="AO20">
        <f>COUNTIFS(PersonalExceptions[Colonna],1,PersonalExceptions[Dal],"&lt;="&amp;INT(B20),PersonalExceptions[Al],"&gt;="&amp;INT(B20),PersonalExceptions[Active 0/1],1,PersonalExceptions[Effetto],"Rest")</f>
        <v>0</v>
      </c>
      <c r="AP20">
        <f>COUNTIFS(PersonalExceptions[Colonna],2,PersonalExceptions[Dal],"&lt;="&amp;INT(C20),PersonalExceptions[Al],"&gt;="&amp;INT(C20),PersonalExceptions[Active 0/1],1,PersonalExceptions[Effetto],"Rest")</f>
        <v>0</v>
      </c>
      <c r="AQ20">
        <f>COUNTIFS(PersonalExceptions[Colonna],3,PersonalExceptions[Dal],"&lt;="&amp;INT(D20),PersonalExceptions[Al],"&gt;="&amp;INT(D20),PersonalExceptions[Active 0/1],1,PersonalExceptions[Effetto],"Rest")</f>
        <v>0</v>
      </c>
      <c r="AR20">
        <f>COUNTIFS(PersonalExceptions[Colonna],4,PersonalExceptions[Dal],"&lt;="&amp;INT(E20),PersonalExceptions[Al],"&gt;="&amp;INT(E20),PersonalExceptions[Active 0/1],1,PersonalExceptions[Effetto],"Rest")</f>
        <v>0</v>
      </c>
      <c r="AS20">
        <f>COUNTIFS(PersonalExceptions[Colonna],5,PersonalExceptions[Dal],"&lt;="&amp;INT(F20),PersonalExceptions[Al],"&gt;="&amp;INT(F20),PersonalExceptions[Active 0/1],1,PersonalExceptions[Effetto],"Rest")</f>
        <v>0</v>
      </c>
      <c r="AT20">
        <f>COUNTIFS(PersonalExceptions[Colonna],6,PersonalExceptions[Dal],"&lt;="&amp;INT(G20),PersonalExceptions[Al],"&gt;="&amp;INT(G20),PersonalExceptions[Active 0/1],1,PersonalExceptions[Effetto],"Rest")</f>
        <v>0</v>
      </c>
      <c r="AU20">
        <f>COUNTIFS(PersonalExceptions[Colonna],7,PersonalExceptions[Dal],"&lt;="&amp;INT(H20),PersonalExceptions[Al],"&gt;="&amp;INT(H20),PersonalExceptions[Active 0/1],1,PersonalExceptions[Effetto],"Rest")</f>
        <v>0</v>
      </c>
      <c r="AW20">
        <f>COUNTIFS(PersonalExceptions[Colonna],1,PersonalExceptions[Dal],"&lt;="&amp;INT(B20),PersonalExceptions[Al],"&gt;="&amp;INT(B20),PersonalExceptions[Active 0/1],1,PersonalExceptions[Effetto],"Activity")</f>
        <v>0</v>
      </c>
      <c r="AX20">
        <f>COUNTIFS(PersonalExceptions[Colonna],2,PersonalExceptions[Dal],"&lt;="&amp;INT(C20),PersonalExceptions[Al],"&gt;="&amp;INT(C20),PersonalExceptions[Active 0/1],1,PersonalExceptions[Effetto],"Activity")</f>
        <v>0</v>
      </c>
      <c r="AY20">
        <f>COUNTIFS(PersonalExceptions[Colonna],3,PersonalExceptions[Dal],"&lt;="&amp;INT(D20),PersonalExceptions[Al],"&gt;="&amp;INT(D20),PersonalExceptions[Active 0/1],1,PersonalExceptions[Effetto],"Activity")</f>
        <v>0</v>
      </c>
      <c r="AZ20">
        <f>COUNTIFS(PersonalExceptions[Colonna],4,PersonalExceptions[Dal],"&lt;="&amp;INT(E20),PersonalExceptions[Al],"&gt;="&amp;INT(E20),PersonalExceptions[Active 0/1],1,PersonalExceptions[Effetto],"Activity")</f>
        <v>0</v>
      </c>
      <c r="BA20">
        <f>COUNTIFS(PersonalExceptions[Colonna],5,PersonalExceptions[Dal],"&lt;="&amp;INT(F20),PersonalExceptions[Al],"&gt;="&amp;INT(F20),PersonalExceptions[Active 0/1],1,PersonalExceptions[Effetto],"Activity")</f>
        <v>0</v>
      </c>
      <c r="BB20">
        <f>COUNTIFS(PersonalExceptions[Colonna],6,PersonalExceptions[Dal],"&lt;="&amp;INT(G20),PersonalExceptions[Al],"&gt;="&amp;INT(G20),PersonalExceptions[Active 0/1],1,PersonalExceptions[Effetto],"Activity")</f>
        <v>0</v>
      </c>
      <c r="BC20">
        <f>COUNTIFS(PersonalExceptions[Colonna],7,PersonalExceptions[Dal],"&lt;="&amp;INT(H20),PersonalExceptions[Al],"&gt;="&amp;INT(H20),PersonalExceptions[Active 0/1],1,PersonalExceptions[Effetto],"Activity")</f>
        <v>0</v>
      </c>
      <c r="BE20">
        <f>IF(Planner!B$10="Nessuno",0,COUNTIFS(ImportedHolidays[Calendar],Planner!B$10,ImportedHolidays[Date],INT(B20),ImportedHolidays[Active],1,ImportedHolidays[Kind],"WORKDAY"))</f>
        <v>0</v>
      </c>
      <c r="BF20">
        <f>IF(Planner!C$10="Nessuno",0,COUNTIFS(ImportedHolidays[Calendar],Planner!C$10,ImportedHolidays[Date],INT(C20),ImportedHolidays[Active],1,ImportedHolidays[Kind],"WORKDAY"))</f>
        <v>0</v>
      </c>
      <c r="BG20">
        <f>IF(Planner!D$10="Nessuno",0,COUNTIFS(ImportedHolidays[Calendar],Planner!D$10,ImportedHolidays[Date],INT(D20),ImportedHolidays[Active],1,ImportedHolidays[Kind],"WORKDAY"))</f>
        <v>0</v>
      </c>
      <c r="BH20">
        <f>IF(Planner!E$10="Nessuno",0,COUNTIFS(ImportedHolidays[Calendar],Planner!E$10,ImportedHolidays[Date],INT(E20),ImportedHolidays[Active],1,ImportedHolidays[Kind],"WORKDAY"))</f>
        <v>0</v>
      </c>
      <c r="BI20">
        <f>IF(Planner!F$10="Nessuno",0,COUNTIFS(ImportedHolidays[Calendar],Planner!F$10,ImportedHolidays[Date],INT(F20),ImportedHolidays[Active],1,ImportedHolidays[Kind],"WORKDAY"))</f>
        <v>0</v>
      </c>
      <c r="BJ20">
        <f>IF(Planner!G$10="Nessuno",0,COUNTIFS(ImportedHolidays[Calendar],Planner!G$10,ImportedHolidays[Date],INT(G20),ImportedHolidays[Active],1,ImportedHolidays[Kind],"WORKDAY"))</f>
        <v>0</v>
      </c>
      <c r="BK20">
        <f>IF(Planner!H$10="Nessuno",0,COUNTIFS(ImportedHolidays[Calendar],Planner!H$10,ImportedHolidays[Date],INT(H20),ImportedHolidays[Active],1,ImportedHolidays[Kind],"WORKDAY"))</f>
        <v>0</v>
      </c>
      <c r="BM20">
        <f>IF(MOD(J20-B$11,1440)&lt;B$12,2,IF(OR(MOD(J20-B$11,1440)&lt;B$12+ROUND(Planner!$D$5*60,0),MOD(J20-B$11,1440)&gt;=1440-ROUND(Planner!$B$5*60,0)),1,0))</f>
        <v>1</v>
      </c>
      <c r="BN20">
        <f>IF(MOD(K20-C$11,1440)&lt;C$12,2,IF(OR(MOD(K20-C$11,1440)&lt;C$12+ROUND(Planner!$D$5*60,0),MOD(K20-C$11,1440)&gt;=1440-ROUND(Planner!$B$5*60,0)),1,0))</f>
        <v>0</v>
      </c>
      <c r="BO20">
        <f>IF(MOD(L20-D$11,1440)&lt;D$12,2,IF(OR(MOD(L20-D$11,1440)&lt;D$12+ROUND(Planner!$D$5*60,0),MOD(L20-D$11,1440)&gt;=1440-ROUND(Planner!$B$5*60,0)),1,0))</f>
        <v>0</v>
      </c>
      <c r="BP20">
        <f>IF(MOD(M20-E$11,1440)&lt;E$12,2,IF(OR(MOD(M20-E$11,1440)&lt;E$12+ROUND(Planner!$D$5*60,0),MOD(M20-E$11,1440)&gt;=1440-ROUND(Planner!$B$5*60,0)),1,0))</f>
        <v>0</v>
      </c>
      <c r="BQ20">
        <f>IF(MOD(N20-F$11,1440)&lt;F$12,2,IF(OR(MOD(N20-F$11,1440)&lt;F$12+ROUND(Planner!$D$5*60,0),MOD(N20-F$11,1440)&gt;=1440-ROUND(Planner!$B$5*60,0)),1,0))</f>
        <v>0</v>
      </c>
      <c r="BR20">
        <f>IF(MOD(O20-G$11,1440)&lt;G$12,2,IF(OR(MOD(O20-G$11,1440)&lt;G$12+ROUND(Planner!$D$5*60,0),MOD(O20-G$11,1440)&gt;=1440-ROUND(Planner!$B$5*60,0)),1,0))</f>
        <v>2</v>
      </c>
      <c r="BS20">
        <f>IF(MOD(P20-H$11,1440)&lt;H$12,2,IF(OR(MOD(P20-H$11,1440)&lt;H$12+ROUND(Planner!$D$5*60,0),MOD(P20-H$11,1440)&gt;=1440-ROUND(Planner!$B$5*60,0)),1,0))</f>
        <v>2</v>
      </c>
    </row>
    <row r="21" spans="1:71">
      <c r="A21" s="22">
        <f>ROUND(($B$6+4*60/1440)*1440,0)/1440</f>
        <v>46288.875</v>
      </c>
      <c r="B21" s="22">
        <f>IF(COUNTIFS(ZonePeriods[Code],Planner!B$9,ZonePeriods[FromUtc],"&lt;="&amp;$A21,ZonePeriods[UntilUtc],"&gt;"&amp;$A21)=1,ROUND(($A21+SUMIFS(ZonePeriods[OffsetHours],ZonePeriods[Code],Planner!B$9,ZonePeriods[FromUtc],"&lt;="&amp;$A21,ZonePeriods[UntilUtc],"&gt;"&amp;$A21)/24)*1440,0)/1440,NA())</f>
        <v>46289.166666666664</v>
      </c>
      <c r="C21" s="22">
        <f>IF(COUNTIFS(ZonePeriods[Code],Planner!C$9,ZonePeriods[FromUtc],"&lt;="&amp;$A21,ZonePeriods[UntilUtc],"&gt;"&amp;$A21)=1,ROUND(($A21+SUMIFS(ZonePeriods[OffsetHours],ZonePeriods[Code],Planner!C$9,ZonePeriods[FromUtc],"&lt;="&amp;$A21,ZonePeriods[UntilUtc],"&gt;"&amp;$A21)/24)*1440,0)/1440,NA())</f>
        <v>46289.104166666664</v>
      </c>
      <c r="D21" s="22">
        <f>IF(COUNTIFS(ZonePeriods[Code],Planner!D$9,ZonePeriods[FromUtc],"&lt;="&amp;$A21,ZonePeriods[UntilUtc],"&gt;"&amp;$A21)=1,ROUND(($A21+SUMIFS(ZonePeriods[OffsetHours],ZonePeriods[Code],Planner!D$9,ZonePeriods[FromUtc],"&lt;="&amp;$A21,ZonePeriods[UntilUtc],"&gt;"&amp;$A21)/24)*1440,0)/1440,NA())</f>
        <v>46289</v>
      </c>
      <c r="E21" s="22">
        <f>IF(COUNTIFS(ZonePeriods[Code],Planner!E$9,ZonePeriods[FromUtc],"&lt;="&amp;$A21,ZonePeriods[UntilUtc],"&gt;"&amp;$A21)=1,ROUND(($A21+SUMIFS(ZonePeriods[OffsetHours],ZonePeriods[Code],Planner!E$9,ZonePeriods[FromUtc],"&lt;="&amp;$A21,ZonePeriods[UntilUtc],"&gt;"&amp;$A21)/24)*1440,0)/1440,NA())</f>
        <v>46288.958333333336</v>
      </c>
      <c r="F21" s="22">
        <f>IF(COUNTIFS(ZonePeriods[Code],Planner!F$9,ZonePeriods[FromUtc],"&lt;="&amp;$A21,ZonePeriods[UntilUtc],"&gt;"&amp;$A21)=1,ROUND(($A21+SUMIFS(ZonePeriods[OffsetHours],ZonePeriods[Code],Planner!F$9,ZonePeriods[FromUtc],"&lt;="&amp;$A21,ZonePeriods[UntilUtc],"&gt;"&amp;$A21)/24)*1440,0)/1440,NA())</f>
        <v>46288.916666666664</v>
      </c>
      <c r="G21" s="22">
        <f>IF(COUNTIFS(ZonePeriods[Code],Planner!G$9,ZonePeriods[FromUtc],"&lt;="&amp;$A21,ZonePeriods[UntilUtc],"&gt;"&amp;$A21)=1,ROUND(($A21+SUMIFS(ZonePeriods[OffsetHours],ZonePeriods[Code],Planner!G$9,ZonePeriods[FromUtc],"&lt;="&amp;$A21,ZonePeriods[UntilUtc],"&gt;"&amp;$A21)/24)*1440,0)/1440,NA())</f>
        <v>46288.708333333336</v>
      </c>
      <c r="H21" s="22">
        <f>IF(COUNTIFS(ZonePeriods[Code],Planner!H$9,ZonePeriods[FromUtc],"&lt;="&amp;$A21,ZonePeriods[UntilUtc],"&gt;"&amp;$A21)=1,ROUND(($A21+SUMIFS(ZonePeriods[OffsetHours],ZonePeriods[Code],Planner!H$9,ZonePeriods[FromUtc],"&lt;="&amp;$A21,ZonePeriods[UntilUtc],"&gt;"&amp;$A21)/24)*1440,0)/1440,NA())</f>
        <v>46288.583333333336</v>
      </c>
      <c r="I21" s="1"/>
      <c r="J21" s="1">
        <f t="shared" si="0"/>
        <v>240</v>
      </c>
      <c r="K21" s="1">
        <f t="shared" si="1"/>
        <v>150</v>
      </c>
      <c r="L21" s="1">
        <f t="shared" si="2"/>
        <v>0</v>
      </c>
      <c r="M21" s="1">
        <f t="shared" si="3"/>
        <v>1380</v>
      </c>
      <c r="N21" s="1">
        <f t="shared" si="4"/>
        <v>1320</v>
      </c>
      <c r="O21" s="1">
        <f t="shared" si="5"/>
        <v>1020</v>
      </c>
      <c r="P21" s="1">
        <f t="shared" si="6"/>
        <v>840</v>
      </c>
      <c r="Q21" s="1"/>
      <c r="R21" s="1">
        <f t="shared" si="7"/>
        <v>1</v>
      </c>
      <c r="S21" s="1">
        <f t="shared" si="8"/>
        <v>0</v>
      </c>
      <c r="T21" s="1">
        <f t="shared" si="9"/>
        <v>0</v>
      </c>
      <c r="U21" s="1">
        <f t="shared" si="10"/>
        <v>0</v>
      </c>
      <c r="V21" s="1">
        <f t="shared" si="11"/>
        <v>0</v>
      </c>
      <c r="W21" s="1">
        <f t="shared" si="12"/>
        <v>2</v>
      </c>
      <c r="X21" s="1">
        <f t="shared" si="13"/>
        <v>2</v>
      </c>
      <c r="Y21" s="1"/>
      <c r="Z21" s="1">
        <f>IF(Planner!B$10="Nessuno",0,COUNTIFS(HolidayDates[Calendar],Planner!B$10,HolidayDates[Local date],INT(B21),HolidayDates[Active 0/1],1)+COUNTIFS(ImportedHolidays[Calendar],Planner!B$10,ImportedHolidays[Date],INT(B21),ImportedHolidays[Active],1,ImportedHolidays[Kind],"HOLIDAY"))</f>
        <v>0</v>
      </c>
      <c r="AA21" s="1">
        <f>IF(Planner!C$10="Nessuno",0,COUNTIFS(HolidayDates[Calendar],Planner!C$10,HolidayDates[Local date],INT(C21),HolidayDates[Active 0/1],1)+COUNTIFS(ImportedHolidays[Calendar],Planner!C$10,ImportedHolidays[Date],INT(C21),ImportedHolidays[Active],1,ImportedHolidays[Kind],"HOLIDAY"))</f>
        <v>0</v>
      </c>
      <c r="AB21" s="1">
        <f>IF(Planner!D$10="Nessuno",0,COUNTIFS(HolidayDates[Calendar],Planner!D$10,HolidayDates[Local date],INT(D21),HolidayDates[Active 0/1],1)+COUNTIFS(ImportedHolidays[Calendar],Planner!D$10,ImportedHolidays[Date],INT(D21),ImportedHolidays[Active],1,ImportedHolidays[Kind],"HOLIDAY"))</f>
        <v>0</v>
      </c>
      <c r="AC21" s="1">
        <f>IF(Planner!E$10="Nessuno",0,COUNTIFS(HolidayDates[Calendar],Planner!E$10,HolidayDates[Local date],INT(E21),HolidayDates[Active 0/1],1)+COUNTIFS(ImportedHolidays[Calendar],Planner!E$10,ImportedHolidays[Date],INT(E21),ImportedHolidays[Active],1,ImportedHolidays[Kind],"HOLIDAY"))</f>
        <v>0</v>
      </c>
      <c r="AD21" s="1">
        <f>IF(Planner!F$10="Nessuno",0,COUNTIFS(HolidayDates[Calendar],Planner!F$10,HolidayDates[Local date],INT(F21),HolidayDates[Active 0/1],1)+COUNTIFS(ImportedHolidays[Calendar],Planner!F$10,ImportedHolidays[Date],INT(F21),ImportedHolidays[Active],1,ImportedHolidays[Kind],"HOLIDAY"))</f>
        <v>0</v>
      </c>
      <c r="AE21" s="1">
        <f>IF(Planner!G$10="Nessuno",0,COUNTIFS(HolidayDates[Calendar],Planner!G$10,HolidayDates[Local date],INT(G21),HolidayDates[Active 0/1],1)+COUNTIFS(ImportedHolidays[Calendar],Planner!G$10,ImportedHolidays[Date],INT(G21),ImportedHolidays[Active],1,ImportedHolidays[Kind],"HOLIDAY"))</f>
        <v>0</v>
      </c>
      <c r="AF21" s="1">
        <f>IF(Planner!H$10="Nessuno",0,COUNTIFS(HolidayDates[Calendar],Planner!H$10,HolidayDates[Local date],INT(H21),HolidayDates[Active 0/1],1)+COUNTIFS(ImportedHolidays[Calendar],Planner!H$10,ImportedHolidays[Date],INT(H21),ImportedHolidays[Active],1,ImportedHolidays[Kind],"HOLIDAY"))</f>
        <v>0</v>
      </c>
      <c r="AG21" s="1"/>
      <c r="AH21" s="1" t="b">
        <f>INDEX(Parametri!$G12:$M12,1,WEEKDAY(INT(B21),2))=1</f>
        <v>0</v>
      </c>
      <c r="AI21" s="1" t="b">
        <f>INDEX(Parametri!$G13:$M13,1,WEEKDAY(INT(C21),2))=1</f>
        <v>0</v>
      </c>
      <c r="AJ21" s="1" t="b">
        <f>INDEX(Parametri!$G14:$M14,1,WEEKDAY(INT(D21),2))=1</f>
        <v>0</v>
      </c>
      <c r="AK21" s="1" t="b">
        <f>INDEX(Parametri!$G15:$M15,1,WEEKDAY(INT(E21),2))=1</f>
        <v>0</v>
      </c>
      <c r="AL21" s="1" t="b">
        <f>INDEX(Parametri!$G16:$M16,1,WEEKDAY(INT(F21),2))=1</f>
        <v>0</v>
      </c>
      <c r="AM21" s="1" t="b">
        <f>INDEX(Parametri!$G17:$M17,1,WEEKDAY(INT(G21),2))=1</f>
        <v>0</v>
      </c>
      <c r="AN21" s="1" t="b">
        <f>INDEX(Parametri!$G18:$M18,1,WEEKDAY(INT(H21),2))=1</f>
        <v>0</v>
      </c>
      <c r="AO21">
        <f>COUNTIFS(PersonalExceptions[Colonna],1,PersonalExceptions[Dal],"&lt;="&amp;INT(B21),PersonalExceptions[Al],"&gt;="&amp;INT(B21),PersonalExceptions[Active 0/1],1,PersonalExceptions[Effetto],"Rest")</f>
        <v>0</v>
      </c>
      <c r="AP21">
        <f>COUNTIFS(PersonalExceptions[Colonna],2,PersonalExceptions[Dal],"&lt;="&amp;INT(C21),PersonalExceptions[Al],"&gt;="&amp;INT(C21),PersonalExceptions[Active 0/1],1,PersonalExceptions[Effetto],"Rest")</f>
        <v>0</v>
      </c>
      <c r="AQ21">
        <f>COUNTIFS(PersonalExceptions[Colonna],3,PersonalExceptions[Dal],"&lt;="&amp;INT(D21),PersonalExceptions[Al],"&gt;="&amp;INT(D21),PersonalExceptions[Active 0/1],1,PersonalExceptions[Effetto],"Rest")</f>
        <v>0</v>
      </c>
      <c r="AR21">
        <f>COUNTIFS(PersonalExceptions[Colonna],4,PersonalExceptions[Dal],"&lt;="&amp;INT(E21),PersonalExceptions[Al],"&gt;="&amp;INT(E21),PersonalExceptions[Active 0/1],1,PersonalExceptions[Effetto],"Rest")</f>
        <v>0</v>
      </c>
      <c r="AS21">
        <f>COUNTIFS(PersonalExceptions[Colonna],5,PersonalExceptions[Dal],"&lt;="&amp;INT(F21),PersonalExceptions[Al],"&gt;="&amp;INT(F21),PersonalExceptions[Active 0/1],1,PersonalExceptions[Effetto],"Rest")</f>
        <v>0</v>
      </c>
      <c r="AT21">
        <f>COUNTIFS(PersonalExceptions[Colonna],6,PersonalExceptions[Dal],"&lt;="&amp;INT(G21),PersonalExceptions[Al],"&gt;="&amp;INT(G21),PersonalExceptions[Active 0/1],1,PersonalExceptions[Effetto],"Rest")</f>
        <v>0</v>
      </c>
      <c r="AU21">
        <f>COUNTIFS(PersonalExceptions[Colonna],7,PersonalExceptions[Dal],"&lt;="&amp;INT(H21),PersonalExceptions[Al],"&gt;="&amp;INT(H21),PersonalExceptions[Active 0/1],1,PersonalExceptions[Effetto],"Rest")</f>
        <v>0</v>
      </c>
      <c r="AW21">
        <f>COUNTIFS(PersonalExceptions[Colonna],1,PersonalExceptions[Dal],"&lt;="&amp;INT(B21),PersonalExceptions[Al],"&gt;="&amp;INT(B21),PersonalExceptions[Active 0/1],1,PersonalExceptions[Effetto],"Activity")</f>
        <v>0</v>
      </c>
      <c r="AX21">
        <f>COUNTIFS(PersonalExceptions[Colonna],2,PersonalExceptions[Dal],"&lt;="&amp;INT(C21),PersonalExceptions[Al],"&gt;="&amp;INT(C21),PersonalExceptions[Active 0/1],1,PersonalExceptions[Effetto],"Activity")</f>
        <v>0</v>
      </c>
      <c r="AY21">
        <f>COUNTIFS(PersonalExceptions[Colonna],3,PersonalExceptions[Dal],"&lt;="&amp;INT(D21),PersonalExceptions[Al],"&gt;="&amp;INT(D21),PersonalExceptions[Active 0/1],1,PersonalExceptions[Effetto],"Activity")</f>
        <v>0</v>
      </c>
      <c r="AZ21">
        <f>COUNTIFS(PersonalExceptions[Colonna],4,PersonalExceptions[Dal],"&lt;="&amp;INT(E21),PersonalExceptions[Al],"&gt;="&amp;INT(E21),PersonalExceptions[Active 0/1],1,PersonalExceptions[Effetto],"Activity")</f>
        <v>0</v>
      </c>
      <c r="BA21">
        <f>COUNTIFS(PersonalExceptions[Colonna],5,PersonalExceptions[Dal],"&lt;="&amp;INT(F21),PersonalExceptions[Al],"&gt;="&amp;INT(F21),PersonalExceptions[Active 0/1],1,PersonalExceptions[Effetto],"Activity")</f>
        <v>0</v>
      </c>
      <c r="BB21">
        <f>COUNTIFS(PersonalExceptions[Colonna],6,PersonalExceptions[Dal],"&lt;="&amp;INT(G21),PersonalExceptions[Al],"&gt;="&amp;INT(G21),PersonalExceptions[Active 0/1],1,PersonalExceptions[Effetto],"Activity")</f>
        <v>0</v>
      </c>
      <c r="BC21">
        <f>COUNTIFS(PersonalExceptions[Colonna],7,PersonalExceptions[Dal],"&lt;="&amp;INT(H21),PersonalExceptions[Al],"&gt;="&amp;INT(H21),PersonalExceptions[Active 0/1],1,PersonalExceptions[Effetto],"Activity")</f>
        <v>0</v>
      </c>
      <c r="BE21">
        <f>IF(Planner!B$10="Nessuno",0,COUNTIFS(ImportedHolidays[Calendar],Planner!B$10,ImportedHolidays[Date],INT(B21),ImportedHolidays[Active],1,ImportedHolidays[Kind],"WORKDAY"))</f>
        <v>0</v>
      </c>
      <c r="BF21">
        <f>IF(Planner!C$10="Nessuno",0,COUNTIFS(ImportedHolidays[Calendar],Planner!C$10,ImportedHolidays[Date],INT(C21),ImportedHolidays[Active],1,ImportedHolidays[Kind],"WORKDAY"))</f>
        <v>0</v>
      </c>
      <c r="BG21">
        <f>IF(Planner!D$10="Nessuno",0,COUNTIFS(ImportedHolidays[Calendar],Planner!D$10,ImportedHolidays[Date],INT(D21),ImportedHolidays[Active],1,ImportedHolidays[Kind],"WORKDAY"))</f>
        <v>0</v>
      </c>
      <c r="BH21">
        <f>IF(Planner!E$10="Nessuno",0,COUNTIFS(ImportedHolidays[Calendar],Planner!E$10,ImportedHolidays[Date],INT(E21),ImportedHolidays[Active],1,ImportedHolidays[Kind],"WORKDAY"))</f>
        <v>0</v>
      </c>
      <c r="BI21">
        <f>IF(Planner!F$10="Nessuno",0,COUNTIFS(ImportedHolidays[Calendar],Planner!F$10,ImportedHolidays[Date],INT(F21),ImportedHolidays[Active],1,ImportedHolidays[Kind],"WORKDAY"))</f>
        <v>0</v>
      </c>
      <c r="BJ21">
        <f>IF(Planner!G$10="Nessuno",0,COUNTIFS(ImportedHolidays[Calendar],Planner!G$10,ImportedHolidays[Date],INT(G21),ImportedHolidays[Active],1,ImportedHolidays[Kind],"WORKDAY"))</f>
        <v>0</v>
      </c>
      <c r="BK21">
        <f>IF(Planner!H$10="Nessuno",0,COUNTIFS(ImportedHolidays[Calendar],Planner!H$10,ImportedHolidays[Date],INT(H21),ImportedHolidays[Active],1,ImportedHolidays[Kind],"WORKDAY"))</f>
        <v>0</v>
      </c>
      <c r="BM21">
        <f>IF(MOD(J21-B$11,1440)&lt;B$12,2,IF(OR(MOD(J21-B$11,1440)&lt;B$12+ROUND(Planner!$D$5*60,0),MOD(J21-B$11,1440)&gt;=1440-ROUND(Planner!$B$5*60,0)),1,0))</f>
        <v>1</v>
      </c>
      <c r="BN21">
        <f>IF(MOD(K21-C$11,1440)&lt;C$12,2,IF(OR(MOD(K21-C$11,1440)&lt;C$12+ROUND(Planner!$D$5*60,0),MOD(K21-C$11,1440)&gt;=1440-ROUND(Planner!$B$5*60,0)),1,0))</f>
        <v>0</v>
      </c>
      <c r="BO21">
        <f>IF(MOD(L21-D$11,1440)&lt;D$12,2,IF(OR(MOD(L21-D$11,1440)&lt;D$12+ROUND(Planner!$D$5*60,0),MOD(L21-D$11,1440)&gt;=1440-ROUND(Planner!$B$5*60,0)),1,0))</f>
        <v>0</v>
      </c>
      <c r="BP21">
        <f>IF(MOD(M21-E$11,1440)&lt;E$12,2,IF(OR(MOD(M21-E$11,1440)&lt;E$12+ROUND(Planner!$D$5*60,0),MOD(M21-E$11,1440)&gt;=1440-ROUND(Planner!$B$5*60,0)),1,0))</f>
        <v>0</v>
      </c>
      <c r="BQ21">
        <f>IF(MOD(N21-F$11,1440)&lt;F$12,2,IF(OR(MOD(N21-F$11,1440)&lt;F$12+ROUND(Planner!$D$5*60,0),MOD(N21-F$11,1440)&gt;=1440-ROUND(Planner!$B$5*60,0)),1,0))</f>
        <v>0</v>
      </c>
      <c r="BR21">
        <f>IF(MOD(O21-G$11,1440)&lt;G$12,2,IF(OR(MOD(O21-G$11,1440)&lt;G$12+ROUND(Planner!$D$5*60,0),MOD(O21-G$11,1440)&gt;=1440-ROUND(Planner!$B$5*60,0)),1,0))</f>
        <v>2</v>
      </c>
      <c r="BS21">
        <f>IF(MOD(P21-H$11,1440)&lt;H$12,2,IF(OR(MOD(P21-H$11,1440)&lt;H$12+ROUND(Planner!$D$5*60,0),MOD(P21-H$11,1440)&gt;=1440-ROUND(Planner!$B$5*60,0)),1,0))</f>
        <v>2</v>
      </c>
    </row>
    <row r="22" spans="1:71">
      <c r="A22" s="22">
        <f>ROUND(($B$6+5*60/1440)*1440,0)/1440</f>
        <v>46288.916666666664</v>
      </c>
      <c r="B22" s="22">
        <f>IF(COUNTIFS(ZonePeriods[Code],Planner!B$9,ZonePeriods[FromUtc],"&lt;="&amp;$A22,ZonePeriods[UntilUtc],"&gt;"&amp;$A22)=1,ROUND(($A22+SUMIFS(ZonePeriods[OffsetHours],ZonePeriods[Code],Planner!B$9,ZonePeriods[FromUtc],"&lt;="&amp;$A22,ZonePeriods[UntilUtc],"&gt;"&amp;$A22)/24)*1440,0)/1440,NA())</f>
        <v>46289.208333333336</v>
      </c>
      <c r="C22" s="22">
        <f>IF(COUNTIFS(ZonePeriods[Code],Planner!C$9,ZonePeriods[FromUtc],"&lt;="&amp;$A22,ZonePeriods[UntilUtc],"&gt;"&amp;$A22)=1,ROUND(($A22+SUMIFS(ZonePeriods[OffsetHours],ZonePeriods[Code],Planner!C$9,ZonePeriods[FromUtc],"&lt;="&amp;$A22,ZonePeriods[UntilUtc],"&gt;"&amp;$A22)/24)*1440,0)/1440,NA())</f>
        <v>46289.145833333336</v>
      </c>
      <c r="D22" s="22">
        <f>IF(COUNTIFS(ZonePeriods[Code],Planner!D$9,ZonePeriods[FromUtc],"&lt;="&amp;$A22,ZonePeriods[UntilUtc],"&gt;"&amp;$A22)=1,ROUND(($A22+SUMIFS(ZonePeriods[OffsetHours],ZonePeriods[Code],Planner!D$9,ZonePeriods[FromUtc],"&lt;="&amp;$A22,ZonePeriods[UntilUtc],"&gt;"&amp;$A22)/24)*1440,0)/1440,NA())</f>
        <v>46289.041666666664</v>
      </c>
      <c r="E22" s="22">
        <f>IF(COUNTIFS(ZonePeriods[Code],Planner!E$9,ZonePeriods[FromUtc],"&lt;="&amp;$A22,ZonePeriods[UntilUtc],"&gt;"&amp;$A22)=1,ROUND(($A22+SUMIFS(ZonePeriods[OffsetHours],ZonePeriods[Code],Planner!E$9,ZonePeriods[FromUtc],"&lt;="&amp;$A22,ZonePeriods[UntilUtc],"&gt;"&amp;$A22)/24)*1440,0)/1440,NA())</f>
        <v>46289</v>
      </c>
      <c r="F22" s="22">
        <f>IF(COUNTIFS(ZonePeriods[Code],Planner!F$9,ZonePeriods[FromUtc],"&lt;="&amp;$A22,ZonePeriods[UntilUtc],"&gt;"&amp;$A22)=1,ROUND(($A22+SUMIFS(ZonePeriods[OffsetHours],ZonePeriods[Code],Planner!F$9,ZonePeriods[FromUtc],"&lt;="&amp;$A22,ZonePeriods[UntilUtc],"&gt;"&amp;$A22)/24)*1440,0)/1440,NA())</f>
        <v>46288.958333333336</v>
      </c>
      <c r="G22" s="22">
        <f>IF(COUNTIFS(ZonePeriods[Code],Planner!G$9,ZonePeriods[FromUtc],"&lt;="&amp;$A22,ZonePeriods[UntilUtc],"&gt;"&amp;$A22)=1,ROUND(($A22+SUMIFS(ZonePeriods[OffsetHours],ZonePeriods[Code],Planner!G$9,ZonePeriods[FromUtc],"&lt;="&amp;$A22,ZonePeriods[UntilUtc],"&gt;"&amp;$A22)/24)*1440,0)/1440,NA())</f>
        <v>46288.75</v>
      </c>
      <c r="H22" s="22">
        <f>IF(COUNTIFS(ZonePeriods[Code],Planner!H$9,ZonePeriods[FromUtc],"&lt;="&amp;$A22,ZonePeriods[UntilUtc],"&gt;"&amp;$A22)=1,ROUND(($A22+SUMIFS(ZonePeriods[OffsetHours],ZonePeriods[Code],Planner!H$9,ZonePeriods[FromUtc],"&lt;="&amp;$A22,ZonePeriods[UntilUtc],"&gt;"&amp;$A22)/24)*1440,0)/1440,NA())</f>
        <v>46288.625</v>
      </c>
      <c r="I22" s="1"/>
      <c r="J22" s="1">
        <f t="shared" si="0"/>
        <v>300</v>
      </c>
      <c r="K22" s="1">
        <f t="shared" si="1"/>
        <v>210</v>
      </c>
      <c r="L22" s="1">
        <f t="shared" si="2"/>
        <v>60</v>
      </c>
      <c r="M22" s="1">
        <f t="shared" si="3"/>
        <v>0</v>
      </c>
      <c r="N22" s="1">
        <f t="shared" si="4"/>
        <v>1380</v>
      </c>
      <c r="O22" s="1">
        <f t="shared" si="5"/>
        <v>1080</v>
      </c>
      <c r="P22" s="1">
        <f t="shared" si="6"/>
        <v>900</v>
      </c>
      <c r="Q22" s="1"/>
      <c r="R22" s="1">
        <f t="shared" si="7"/>
        <v>2</v>
      </c>
      <c r="S22" s="1">
        <f t="shared" si="8"/>
        <v>0</v>
      </c>
      <c r="T22" s="1">
        <f t="shared" si="9"/>
        <v>0</v>
      </c>
      <c r="U22" s="1">
        <f t="shared" si="10"/>
        <v>0</v>
      </c>
      <c r="V22" s="1">
        <f t="shared" si="11"/>
        <v>0</v>
      </c>
      <c r="W22" s="1">
        <f t="shared" si="12"/>
        <v>1</v>
      </c>
      <c r="X22" s="1">
        <f t="shared" si="13"/>
        <v>2</v>
      </c>
      <c r="Y22" s="1"/>
      <c r="Z22" s="1">
        <f>IF(Planner!B$10="Nessuno",0,COUNTIFS(HolidayDates[Calendar],Planner!B$10,HolidayDates[Local date],INT(B22),HolidayDates[Active 0/1],1)+COUNTIFS(ImportedHolidays[Calendar],Planner!B$10,ImportedHolidays[Date],INT(B22),ImportedHolidays[Active],1,ImportedHolidays[Kind],"HOLIDAY"))</f>
        <v>0</v>
      </c>
      <c r="AA22" s="1">
        <f>IF(Planner!C$10="Nessuno",0,COUNTIFS(HolidayDates[Calendar],Planner!C$10,HolidayDates[Local date],INT(C22),HolidayDates[Active 0/1],1)+COUNTIFS(ImportedHolidays[Calendar],Planner!C$10,ImportedHolidays[Date],INT(C22),ImportedHolidays[Active],1,ImportedHolidays[Kind],"HOLIDAY"))</f>
        <v>0</v>
      </c>
      <c r="AB22" s="1">
        <f>IF(Planner!D$10="Nessuno",0,COUNTIFS(HolidayDates[Calendar],Planner!D$10,HolidayDates[Local date],INT(D22),HolidayDates[Active 0/1],1)+COUNTIFS(ImportedHolidays[Calendar],Planner!D$10,ImportedHolidays[Date],INT(D22),ImportedHolidays[Active],1,ImportedHolidays[Kind],"HOLIDAY"))</f>
        <v>0</v>
      </c>
      <c r="AC22" s="1">
        <f>IF(Planner!E$10="Nessuno",0,COUNTIFS(HolidayDates[Calendar],Planner!E$10,HolidayDates[Local date],INT(E22),HolidayDates[Active 0/1],1)+COUNTIFS(ImportedHolidays[Calendar],Planner!E$10,ImportedHolidays[Date],INT(E22),ImportedHolidays[Active],1,ImportedHolidays[Kind],"HOLIDAY"))</f>
        <v>0</v>
      </c>
      <c r="AD22" s="1">
        <f>IF(Planner!F$10="Nessuno",0,COUNTIFS(HolidayDates[Calendar],Planner!F$10,HolidayDates[Local date],INT(F22),HolidayDates[Active 0/1],1)+COUNTIFS(ImportedHolidays[Calendar],Planner!F$10,ImportedHolidays[Date],INT(F22),ImportedHolidays[Active],1,ImportedHolidays[Kind],"HOLIDAY"))</f>
        <v>0</v>
      </c>
      <c r="AE22" s="1">
        <f>IF(Planner!G$10="Nessuno",0,COUNTIFS(HolidayDates[Calendar],Planner!G$10,HolidayDates[Local date],INT(G22),HolidayDates[Active 0/1],1)+COUNTIFS(ImportedHolidays[Calendar],Planner!G$10,ImportedHolidays[Date],INT(G22),ImportedHolidays[Active],1,ImportedHolidays[Kind],"HOLIDAY"))</f>
        <v>0</v>
      </c>
      <c r="AF22" s="1">
        <f>IF(Planner!H$10="Nessuno",0,COUNTIFS(HolidayDates[Calendar],Planner!H$10,HolidayDates[Local date],INT(H22),HolidayDates[Active 0/1],1)+COUNTIFS(ImportedHolidays[Calendar],Planner!H$10,ImportedHolidays[Date],INT(H22),ImportedHolidays[Active],1,ImportedHolidays[Kind],"HOLIDAY"))</f>
        <v>0</v>
      </c>
      <c r="AG22" s="1"/>
      <c r="AH22" s="1" t="b">
        <f>INDEX(Parametri!$G12:$M12,1,WEEKDAY(INT(B22),2))=1</f>
        <v>0</v>
      </c>
      <c r="AI22" s="1" t="b">
        <f>INDEX(Parametri!$G13:$M13,1,WEEKDAY(INT(C22),2))=1</f>
        <v>0</v>
      </c>
      <c r="AJ22" s="1" t="b">
        <f>INDEX(Parametri!$G14:$M14,1,WEEKDAY(INT(D22),2))=1</f>
        <v>0</v>
      </c>
      <c r="AK22" s="1" t="b">
        <f>INDEX(Parametri!$G15:$M15,1,WEEKDAY(INT(E22),2))=1</f>
        <v>0</v>
      </c>
      <c r="AL22" s="1" t="b">
        <f>INDEX(Parametri!$G16:$M16,1,WEEKDAY(INT(F22),2))=1</f>
        <v>0</v>
      </c>
      <c r="AM22" s="1" t="b">
        <f>INDEX(Parametri!$G17:$M17,1,WEEKDAY(INT(G22),2))=1</f>
        <v>0</v>
      </c>
      <c r="AN22" s="1" t="b">
        <f>INDEX(Parametri!$G18:$M18,1,WEEKDAY(INT(H22),2))=1</f>
        <v>0</v>
      </c>
      <c r="AO22">
        <f>COUNTIFS(PersonalExceptions[Colonna],1,PersonalExceptions[Dal],"&lt;="&amp;INT(B22),PersonalExceptions[Al],"&gt;="&amp;INT(B22),PersonalExceptions[Active 0/1],1,PersonalExceptions[Effetto],"Rest")</f>
        <v>0</v>
      </c>
      <c r="AP22">
        <f>COUNTIFS(PersonalExceptions[Colonna],2,PersonalExceptions[Dal],"&lt;="&amp;INT(C22),PersonalExceptions[Al],"&gt;="&amp;INT(C22),PersonalExceptions[Active 0/1],1,PersonalExceptions[Effetto],"Rest")</f>
        <v>0</v>
      </c>
      <c r="AQ22">
        <f>COUNTIFS(PersonalExceptions[Colonna],3,PersonalExceptions[Dal],"&lt;="&amp;INT(D22),PersonalExceptions[Al],"&gt;="&amp;INT(D22),PersonalExceptions[Active 0/1],1,PersonalExceptions[Effetto],"Rest")</f>
        <v>0</v>
      </c>
      <c r="AR22">
        <f>COUNTIFS(PersonalExceptions[Colonna],4,PersonalExceptions[Dal],"&lt;="&amp;INT(E22),PersonalExceptions[Al],"&gt;="&amp;INT(E22),PersonalExceptions[Active 0/1],1,PersonalExceptions[Effetto],"Rest")</f>
        <v>0</v>
      </c>
      <c r="AS22">
        <f>COUNTIFS(PersonalExceptions[Colonna],5,PersonalExceptions[Dal],"&lt;="&amp;INT(F22),PersonalExceptions[Al],"&gt;="&amp;INT(F22),PersonalExceptions[Active 0/1],1,PersonalExceptions[Effetto],"Rest")</f>
        <v>0</v>
      </c>
      <c r="AT22">
        <f>COUNTIFS(PersonalExceptions[Colonna],6,PersonalExceptions[Dal],"&lt;="&amp;INT(G22),PersonalExceptions[Al],"&gt;="&amp;INT(G22),PersonalExceptions[Active 0/1],1,PersonalExceptions[Effetto],"Rest")</f>
        <v>0</v>
      </c>
      <c r="AU22">
        <f>COUNTIFS(PersonalExceptions[Colonna],7,PersonalExceptions[Dal],"&lt;="&amp;INT(H22),PersonalExceptions[Al],"&gt;="&amp;INT(H22),PersonalExceptions[Active 0/1],1,PersonalExceptions[Effetto],"Rest")</f>
        <v>0</v>
      </c>
      <c r="AW22">
        <f>COUNTIFS(PersonalExceptions[Colonna],1,PersonalExceptions[Dal],"&lt;="&amp;INT(B22),PersonalExceptions[Al],"&gt;="&amp;INT(B22),PersonalExceptions[Active 0/1],1,PersonalExceptions[Effetto],"Activity")</f>
        <v>0</v>
      </c>
      <c r="AX22">
        <f>COUNTIFS(PersonalExceptions[Colonna],2,PersonalExceptions[Dal],"&lt;="&amp;INT(C22),PersonalExceptions[Al],"&gt;="&amp;INT(C22),PersonalExceptions[Active 0/1],1,PersonalExceptions[Effetto],"Activity")</f>
        <v>0</v>
      </c>
      <c r="AY22">
        <f>COUNTIFS(PersonalExceptions[Colonna],3,PersonalExceptions[Dal],"&lt;="&amp;INT(D22),PersonalExceptions[Al],"&gt;="&amp;INT(D22),PersonalExceptions[Active 0/1],1,PersonalExceptions[Effetto],"Activity")</f>
        <v>0</v>
      </c>
      <c r="AZ22">
        <f>COUNTIFS(PersonalExceptions[Colonna],4,PersonalExceptions[Dal],"&lt;="&amp;INT(E22),PersonalExceptions[Al],"&gt;="&amp;INT(E22),PersonalExceptions[Active 0/1],1,PersonalExceptions[Effetto],"Activity")</f>
        <v>0</v>
      </c>
      <c r="BA22">
        <f>COUNTIFS(PersonalExceptions[Colonna],5,PersonalExceptions[Dal],"&lt;="&amp;INT(F22),PersonalExceptions[Al],"&gt;="&amp;INT(F22),PersonalExceptions[Active 0/1],1,PersonalExceptions[Effetto],"Activity")</f>
        <v>0</v>
      </c>
      <c r="BB22">
        <f>COUNTIFS(PersonalExceptions[Colonna],6,PersonalExceptions[Dal],"&lt;="&amp;INT(G22),PersonalExceptions[Al],"&gt;="&amp;INT(G22),PersonalExceptions[Active 0/1],1,PersonalExceptions[Effetto],"Activity")</f>
        <v>0</v>
      </c>
      <c r="BC22">
        <f>COUNTIFS(PersonalExceptions[Colonna],7,PersonalExceptions[Dal],"&lt;="&amp;INT(H22),PersonalExceptions[Al],"&gt;="&amp;INT(H22),PersonalExceptions[Active 0/1],1,PersonalExceptions[Effetto],"Activity")</f>
        <v>0</v>
      </c>
      <c r="BE22">
        <f>IF(Planner!B$10="Nessuno",0,COUNTIFS(ImportedHolidays[Calendar],Planner!B$10,ImportedHolidays[Date],INT(B22),ImportedHolidays[Active],1,ImportedHolidays[Kind],"WORKDAY"))</f>
        <v>0</v>
      </c>
      <c r="BF22">
        <f>IF(Planner!C$10="Nessuno",0,COUNTIFS(ImportedHolidays[Calendar],Planner!C$10,ImportedHolidays[Date],INT(C22),ImportedHolidays[Active],1,ImportedHolidays[Kind],"WORKDAY"))</f>
        <v>0</v>
      </c>
      <c r="BG22">
        <f>IF(Planner!D$10="Nessuno",0,COUNTIFS(ImportedHolidays[Calendar],Planner!D$10,ImportedHolidays[Date],INT(D22),ImportedHolidays[Active],1,ImportedHolidays[Kind],"WORKDAY"))</f>
        <v>0</v>
      </c>
      <c r="BH22">
        <f>IF(Planner!E$10="Nessuno",0,COUNTIFS(ImportedHolidays[Calendar],Planner!E$10,ImportedHolidays[Date],INT(E22),ImportedHolidays[Active],1,ImportedHolidays[Kind],"WORKDAY"))</f>
        <v>0</v>
      </c>
      <c r="BI22">
        <f>IF(Planner!F$10="Nessuno",0,COUNTIFS(ImportedHolidays[Calendar],Planner!F$10,ImportedHolidays[Date],INT(F22),ImportedHolidays[Active],1,ImportedHolidays[Kind],"WORKDAY"))</f>
        <v>0</v>
      </c>
      <c r="BJ22">
        <f>IF(Planner!G$10="Nessuno",0,COUNTIFS(ImportedHolidays[Calendar],Planner!G$10,ImportedHolidays[Date],INT(G22),ImportedHolidays[Active],1,ImportedHolidays[Kind],"WORKDAY"))</f>
        <v>0</v>
      </c>
      <c r="BK22">
        <f>IF(Planner!H$10="Nessuno",0,COUNTIFS(ImportedHolidays[Calendar],Planner!H$10,ImportedHolidays[Date],INT(H22),ImportedHolidays[Active],1,ImportedHolidays[Kind],"WORKDAY"))</f>
        <v>0</v>
      </c>
      <c r="BM22">
        <f>IF(MOD(J22-B$11,1440)&lt;B$12,2,IF(OR(MOD(J22-B$11,1440)&lt;B$12+ROUND(Planner!$D$5*60,0),MOD(J22-B$11,1440)&gt;=1440-ROUND(Planner!$B$5*60,0)),1,0))</f>
        <v>2</v>
      </c>
      <c r="BN22">
        <f>IF(MOD(K22-C$11,1440)&lt;C$12,2,IF(OR(MOD(K22-C$11,1440)&lt;C$12+ROUND(Planner!$D$5*60,0),MOD(K22-C$11,1440)&gt;=1440-ROUND(Planner!$B$5*60,0)),1,0))</f>
        <v>0</v>
      </c>
      <c r="BO22">
        <f>IF(MOD(L22-D$11,1440)&lt;D$12,2,IF(OR(MOD(L22-D$11,1440)&lt;D$12+ROUND(Planner!$D$5*60,0),MOD(L22-D$11,1440)&gt;=1440-ROUND(Planner!$B$5*60,0)),1,0))</f>
        <v>0</v>
      </c>
      <c r="BP22">
        <f>IF(MOD(M22-E$11,1440)&lt;E$12,2,IF(OR(MOD(M22-E$11,1440)&lt;E$12+ROUND(Planner!$D$5*60,0),MOD(M22-E$11,1440)&gt;=1440-ROUND(Planner!$B$5*60,0)),1,0))</f>
        <v>0</v>
      </c>
      <c r="BQ22">
        <f>IF(MOD(N22-F$11,1440)&lt;F$12,2,IF(OR(MOD(N22-F$11,1440)&lt;F$12+ROUND(Planner!$D$5*60,0),MOD(N22-F$11,1440)&gt;=1440-ROUND(Planner!$B$5*60,0)),1,0))</f>
        <v>0</v>
      </c>
      <c r="BR22">
        <f>IF(MOD(O22-G$11,1440)&lt;G$12,2,IF(OR(MOD(O22-G$11,1440)&lt;G$12+ROUND(Planner!$D$5*60,0),MOD(O22-G$11,1440)&gt;=1440-ROUND(Planner!$B$5*60,0)),1,0))</f>
        <v>1</v>
      </c>
      <c r="BS22">
        <f>IF(MOD(P22-H$11,1440)&lt;H$12,2,IF(OR(MOD(P22-H$11,1440)&lt;H$12+ROUND(Planner!$D$5*60,0),MOD(P22-H$11,1440)&gt;=1440-ROUND(Planner!$B$5*60,0)),1,0))</f>
        <v>2</v>
      </c>
    </row>
    <row r="23" spans="1:71">
      <c r="A23" s="22">
        <f>ROUND(($B$6+6*60/1440)*1440,0)/1440</f>
        <v>46288.958333333336</v>
      </c>
      <c r="B23" s="22">
        <f>IF(COUNTIFS(ZonePeriods[Code],Planner!B$9,ZonePeriods[FromUtc],"&lt;="&amp;$A23,ZonePeriods[UntilUtc],"&gt;"&amp;$A23)=1,ROUND(($A23+SUMIFS(ZonePeriods[OffsetHours],ZonePeriods[Code],Planner!B$9,ZonePeriods[FromUtc],"&lt;="&amp;$A23,ZonePeriods[UntilUtc],"&gt;"&amp;$A23)/24)*1440,0)/1440,NA())</f>
        <v>46289.25</v>
      </c>
      <c r="C23" s="22">
        <f>IF(COUNTIFS(ZonePeriods[Code],Planner!C$9,ZonePeriods[FromUtc],"&lt;="&amp;$A23,ZonePeriods[UntilUtc],"&gt;"&amp;$A23)=1,ROUND(($A23+SUMIFS(ZonePeriods[OffsetHours],ZonePeriods[Code],Planner!C$9,ZonePeriods[FromUtc],"&lt;="&amp;$A23,ZonePeriods[UntilUtc],"&gt;"&amp;$A23)/24)*1440,0)/1440,NA())</f>
        <v>46289.1875</v>
      </c>
      <c r="D23" s="22">
        <f>IF(COUNTIFS(ZonePeriods[Code],Planner!D$9,ZonePeriods[FromUtc],"&lt;="&amp;$A23,ZonePeriods[UntilUtc],"&gt;"&amp;$A23)=1,ROUND(($A23+SUMIFS(ZonePeriods[OffsetHours],ZonePeriods[Code],Planner!D$9,ZonePeriods[FromUtc],"&lt;="&amp;$A23,ZonePeriods[UntilUtc],"&gt;"&amp;$A23)/24)*1440,0)/1440,NA())</f>
        <v>46289.083333333336</v>
      </c>
      <c r="E23" s="22">
        <f>IF(COUNTIFS(ZonePeriods[Code],Planner!E$9,ZonePeriods[FromUtc],"&lt;="&amp;$A23,ZonePeriods[UntilUtc],"&gt;"&amp;$A23)=1,ROUND(($A23+SUMIFS(ZonePeriods[OffsetHours],ZonePeriods[Code],Planner!E$9,ZonePeriods[FromUtc],"&lt;="&amp;$A23,ZonePeriods[UntilUtc],"&gt;"&amp;$A23)/24)*1440,0)/1440,NA())</f>
        <v>46289.041666666664</v>
      </c>
      <c r="F23" s="22">
        <f>IF(COUNTIFS(ZonePeriods[Code],Planner!F$9,ZonePeriods[FromUtc],"&lt;="&amp;$A23,ZonePeriods[UntilUtc],"&gt;"&amp;$A23)=1,ROUND(($A23+SUMIFS(ZonePeriods[OffsetHours],ZonePeriods[Code],Planner!F$9,ZonePeriods[FromUtc],"&lt;="&amp;$A23,ZonePeriods[UntilUtc],"&gt;"&amp;$A23)/24)*1440,0)/1440,NA())</f>
        <v>46289</v>
      </c>
      <c r="G23" s="22">
        <f>IF(COUNTIFS(ZonePeriods[Code],Planner!G$9,ZonePeriods[FromUtc],"&lt;="&amp;$A23,ZonePeriods[UntilUtc],"&gt;"&amp;$A23)=1,ROUND(($A23+SUMIFS(ZonePeriods[OffsetHours],ZonePeriods[Code],Planner!G$9,ZonePeriods[FromUtc],"&lt;="&amp;$A23,ZonePeriods[UntilUtc],"&gt;"&amp;$A23)/24)*1440,0)/1440,NA())</f>
        <v>46288.791666666664</v>
      </c>
      <c r="H23" s="22">
        <f>IF(COUNTIFS(ZonePeriods[Code],Planner!H$9,ZonePeriods[FromUtc],"&lt;="&amp;$A23,ZonePeriods[UntilUtc],"&gt;"&amp;$A23)=1,ROUND(($A23+SUMIFS(ZonePeriods[OffsetHours],ZonePeriods[Code],Planner!H$9,ZonePeriods[FromUtc],"&lt;="&amp;$A23,ZonePeriods[UntilUtc],"&gt;"&amp;$A23)/24)*1440,0)/1440,NA())</f>
        <v>46288.666666666664</v>
      </c>
      <c r="I23" s="1"/>
      <c r="J23" s="1">
        <f t="shared" si="0"/>
        <v>360</v>
      </c>
      <c r="K23" s="1">
        <f t="shared" si="1"/>
        <v>270</v>
      </c>
      <c r="L23" s="1">
        <f t="shared" si="2"/>
        <v>120</v>
      </c>
      <c r="M23" s="1">
        <f t="shared" si="3"/>
        <v>60</v>
      </c>
      <c r="N23" s="1">
        <f t="shared" si="4"/>
        <v>0</v>
      </c>
      <c r="O23" s="1">
        <f t="shared" si="5"/>
        <v>1140</v>
      </c>
      <c r="P23" s="1">
        <f t="shared" si="6"/>
        <v>960</v>
      </c>
      <c r="Q23" s="1"/>
      <c r="R23" s="1">
        <f t="shared" si="7"/>
        <v>2</v>
      </c>
      <c r="S23" s="1">
        <f t="shared" si="8"/>
        <v>0</v>
      </c>
      <c r="T23" s="1">
        <f t="shared" si="9"/>
        <v>0</v>
      </c>
      <c r="U23" s="1">
        <f t="shared" si="10"/>
        <v>0</v>
      </c>
      <c r="V23" s="1">
        <f t="shared" si="11"/>
        <v>0</v>
      </c>
      <c r="W23" s="1">
        <f t="shared" si="12"/>
        <v>1</v>
      </c>
      <c r="X23" s="1">
        <f t="shared" si="13"/>
        <v>2</v>
      </c>
      <c r="Y23" s="1"/>
      <c r="Z23" s="1">
        <f>IF(Planner!B$10="Nessuno",0,COUNTIFS(HolidayDates[Calendar],Planner!B$10,HolidayDates[Local date],INT(B23),HolidayDates[Active 0/1],1)+COUNTIFS(ImportedHolidays[Calendar],Planner!B$10,ImportedHolidays[Date],INT(B23),ImportedHolidays[Active],1,ImportedHolidays[Kind],"HOLIDAY"))</f>
        <v>0</v>
      </c>
      <c r="AA23" s="1">
        <f>IF(Planner!C$10="Nessuno",0,COUNTIFS(HolidayDates[Calendar],Planner!C$10,HolidayDates[Local date],INT(C23),HolidayDates[Active 0/1],1)+COUNTIFS(ImportedHolidays[Calendar],Planner!C$10,ImportedHolidays[Date],INT(C23),ImportedHolidays[Active],1,ImportedHolidays[Kind],"HOLIDAY"))</f>
        <v>0</v>
      </c>
      <c r="AB23" s="1">
        <f>IF(Planner!D$10="Nessuno",0,COUNTIFS(HolidayDates[Calendar],Planner!D$10,HolidayDates[Local date],INT(D23),HolidayDates[Active 0/1],1)+COUNTIFS(ImportedHolidays[Calendar],Planner!D$10,ImportedHolidays[Date],INT(D23),ImportedHolidays[Active],1,ImportedHolidays[Kind],"HOLIDAY"))</f>
        <v>0</v>
      </c>
      <c r="AC23" s="1">
        <f>IF(Planner!E$10="Nessuno",0,COUNTIFS(HolidayDates[Calendar],Planner!E$10,HolidayDates[Local date],INT(E23),HolidayDates[Active 0/1],1)+COUNTIFS(ImportedHolidays[Calendar],Planner!E$10,ImportedHolidays[Date],INT(E23),ImportedHolidays[Active],1,ImportedHolidays[Kind],"HOLIDAY"))</f>
        <v>0</v>
      </c>
      <c r="AD23" s="1">
        <f>IF(Planner!F$10="Nessuno",0,COUNTIFS(HolidayDates[Calendar],Planner!F$10,HolidayDates[Local date],INT(F23),HolidayDates[Active 0/1],1)+COUNTIFS(ImportedHolidays[Calendar],Planner!F$10,ImportedHolidays[Date],INT(F23),ImportedHolidays[Active],1,ImportedHolidays[Kind],"HOLIDAY"))</f>
        <v>0</v>
      </c>
      <c r="AE23" s="1">
        <f>IF(Planner!G$10="Nessuno",0,COUNTIFS(HolidayDates[Calendar],Planner!G$10,HolidayDates[Local date],INT(G23),HolidayDates[Active 0/1],1)+COUNTIFS(ImportedHolidays[Calendar],Planner!G$10,ImportedHolidays[Date],INT(G23),ImportedHolidays[Active],1,ImportedHolidays[Kind],"HOLIDAY"))</f>
        <v>0</v>
      </c>
      <c r="AF23" s="1">
        <f>IF(Planner!H$10="Nessuno",0,COUNTIFS(HolidayDates[Calendar],Planner!H$10,HolidayDates[Local date],INT(H23),HolidayDates[Active 0/1],1)+COUNTIFS(ImportedHolidays[Calendar],Planner!H$10,ImportedHolidays[Date],INT(H23),ImportedHolidays[Active],1,ImportedHolidays[Kind],"HOLIDAY"))</f>
        <v>0</v>
      </c>
      <c r="AG23" s="1"/>
      <c r="AH23" s="1" t="b">
        <f>INDEX(Parametri!$G12:$M12,1,WEEKDAY(INT(B23),2))=1</f>
        <v>0</v>
      </c>
      <c r="AI23" s="1" t="b">
        <f>INDEX(Parametri!$G13:$M13,1,WEEKDAY(INT(C23),2))=1</f>
        <v>0</v>
      </c>
      <c r="AJ23" s="1" t="b">
        <f>INDEX(Parametri!$G14:$M14,1,WEEKDAY(INT(D23),2))=1</f>
        <v>0</v>
      </c>
      <c r="AK23" s="1" t="b">
        <f>INDEX(Parametri!$G15:$M15,1,WEEKDAY(INT(E23),2))=1</f>
        <v>0</v>
      </c>
      <c r="AL23" s="1" t="b">
        <f>INDEX(Parametri!$G16:$M16,1,WEEKDAY(INT(F23),2))=1</f>
        <v>0</v>
      </c>
      <c r="AM23" s="1" t="b">
        <f>INDEX(Parametri!$G17:$M17,1,WEEKDAY(INT(G23),2))=1</f>
        <v>0</v>
      </c>
      <c r="AN23" s="1" t="b">
        <f>INDEX(Parametri!$G18:$M18,1,WEEKDAY(INT(H23),2))=1</f>
        <v>0</v>
      </c>
      <c r="AO23">
        <f>COUNTIFS(PersonalExceptions[Colonna],1,PersonalExceptions[Dal],"&lt;="&amp;INT(B23),PersonalExceptions[Al],"&gt;="&amp;INT(B23),PersonalExceptions[Active 0/1],1,PersonalExceptions[Effetto],"Rest")</f>
        <v>0</v>
      </c>
      <c r="AP23">
        <f>COUNTIFS(PersonalExceptions[Colonna],2,PersonalExceptions[Dal],"&lt;="&amp;INT(C23),PersonalExceptions[Al],"&gt;="&amp;INT(C23),PersonalExceptions[Active 0/1],1,PersonalExceptions[Effetto],"Rest")</f>
        <v>0</v>
      </c>
      <c r="AQ23">
        <f>COUNTIFS(PersonalExceptions[Colonna],3,PersonalExceptions[Dal],"&lt;="&amp;INT(D23),PersonalExceptions[Al],"&gt;="&amp;INT(D23),PersonalExceptions[Active 0/1],1,PersonalExceptions[Effetto],"Rest")</f>
        <v>0</v>
      </c>
      <c r="AR23">
        <f>COUNTIFS(PersonalExceptions[Colonna],4,PersonalExceptions[Dal],"&lt;="&amp;INT(E23),PersonalExceptions[Al],"&gt;="&amp;INT(E23),PersonalExceptions[Active 0/1],1,PersonalExceptions[Effetto],"Rest")</f>
        <v>0</v>
      </c>
      <c r="AS23">
        <f>COUNTIFS(PersonalExceptions[Colonna],5,PersonalExceptions[Dal],"&lt;="&amp;INT(F23),PersonalExceptions[Al],"&gt;="&amp;INT(F23),PersonalExceptions[Active 0/1],1,PersonalExceptions[Effetto],"Rest")</f>
        <v>0</v>
      </c>
      <c r="AT23">
        <f>COUNTIFS(PersonalExceptions[Colonna],6,PersonalExceptions[Dal],"&lt;="&amp;INT(G23),PersonalExceptions[Al],"&gt;="&amp;INT(G23),PersonalExceptions[Active 0/1],1,PersonalExceptions[Effetto],"Rest")</f>
        <v>0</v>
      </c>
      <c r="AU23">
        <f>COUNTIFS(PersonalExceptions[Colonna],7,PersonalExceptions[Dal],"&lt;="&amp;INT(H23),PersonalExceptions[Al],"&gt;="&amp;INT(H23),PersonalExceptions[Active 0/1],1,PersonalExceptions[Effetto],"Rest")</f>
        <v>0</v>
      </c>
      <c r="AW23">
        <f>COUNTIFS(PersonalExceptions[Colonna],1,PersonalExceptions[Dal],"&lt;="&amp;INT(B23),PersonalExceptions[Al],"&gt;="&amp;INT(B23),PersonalExceptions[Active 0/1],1,PersonalExceptions[Effetto],"Activity")</f>
        <v>0</v>
      </c>
      <c r="AX23">
        <f>COUNTIFS(PersonalExceptions[Colonna],2,PersonalExceptions[Dal],"&lt;="&amp;INT(C23),PersonalExceptions[Al],"&gt;="&amp;INT(C23),PersonalExceptions[Active 0/1],1,PersonalExceptions[Effetto],"Activity")</f>
        <v>0</v>
      </c>
      <c r="AY23">
        <f>COUNTIFS(PersonalExceptions[Colonna],3,PersonalExceptions[Dal],"&lt;="&amp;INT(D23),PersonalExceptions[Al],"&gt;="&amp;INT(D23),PersonalExceptions[Active 0/1],1,PersonalExceptions[Effetto],"Activity")</f>
        <v>0</v>
      </c>
      <c r="AZ23">
        <f>COUNTIFS(PersonalExceptions[Colonna],4,PersonalExceptions[Dal],"&lt;="&amp;INT(E23),PersonalExceptions[Al],"&gt;="&amp;INT(E23),PersonalExceptions[Active 0/1],1,PersonalExceptions[Effetto],"Activity")</f>
        <v>0</v>
      </c>
      <c r="BA23">
        <f>COUNTIFS(PersonalExceptions[Colonna],5,PersonalExceptions[Dal],"&lt;="&amp;INT(F23),PersonalExceptions[Al],"&gt;="&amp;INT(F23),PersonalExceptions[Active 0/1],1,PersonalExceptions[Effetto],"Activity")</f>
        <v>0</v>
      </c>
      <c r="BB23">
        <f>COUNTIFS(PersonalExceptions[Colonna],6,PersonalExceptions[Dal],"&lt;="&amp;INT(G23),PersonalExceptions[Al],"&gt;="&amp;INT(G23),PersonalExceptions[Active 0/1],1,PersonalExceptions[Effetto],"Activity")</f>
        <v>0</v>
      </c>
      <c r="BC23">
        <f>COUNTIFS(PersonalExceptions[Colonna],7,PersonalExceptions[Dal],"&lt;="&amp;INT(H23),PersonalExceptions[Al],"&gt;="&amp;INT(H23),PersonalExceptions[Active 0/1],1,PersonalExceptions[Effetto],"Activity")</f>
        <v>0</v>
      </c>
      <c r="BE23">
        <f>IF(Planner!B$10="Nessuno",0,COUNTIFS(ImportedHolidays[Calendar],Planner!B$10,ImportedHolidays[Date],INT(B23),ImportedHolidays[Active],1,ImportedHolidays[Kind],"WORKDAY"))</f>
        <v>0</v>
      </c>
      <c r="BF23">
        <f>IF(Planner!C$10="Nessuno",0,COUNTIFS(ImportedHolidays[Calendar],Planner!C$10,ImportedHolidays[Date],INT(C23),ImportedHolidays[Active],1,ImportedHolidays[Kind],"WORKDAY"))</f>
        <v>0</v>
      </c>
      <c r="BG23">
        <f>IF(Planner!D$10="Nessuno",0,COUNTIFS(ImportedHolidays[Calendar],Planner!D$10,ImportedHolidays[Date],INT(D23),ImportedHolidays[Active],1,ImportedHolidays[Kind],"WORKDAY"))</f>
        <v>0</v>
      </c>
      <c r="BH23">
        <f>IF(Planner!E$10="Nessuno",0,COUNTIFS(ImportedHolidays[Calendar],Planner!E$10,ImportedHolidays[Date],INT(E23),ImportedHolidays[Active],1,ImportedHolidays[Kind],"WORKDAY"))</f>
        <v>0</v>
      </c>
      <c r="BI23">
        <f>IF(Planner!F$10="Nessuno",0,COUNTIFS(ImportedHolidays[Calendar],Planner!F$10,ImportedHolidays[Date],INT(F23),ImportedHolidays[Active],1,ImportedHolidays[Kind],"WORKDAY"))</f>
        <v>0</v>
      </c>
      <c r="BJ23">
        <f>IF(Planner!G$10="Nessuno",0,COUNTIFS(ImportedHolidays[Calendar],Planner!G$10,ImportedHolidays[Date],INT(G23),ImportedHolidays[Active],1,ImportedHolidays[Kind],"WORKDAY"))</f>
        <v>0</v>
      </c>
      <c r="BK23">
        <f>IF(Planner!H$10="Nessuno",0,COUNTIFS(ImportedHolidays[Calendar],Planner!H$10,ImportedHolidays[Date],INT(H23),ImportedHolidays[Active],1,ImportedHolidays[Kind],"WORKDAY"))</f>
        <v>0</v>
      </c>
      <c r="BM23">
        <f>IF(MOD(J23-B$11,1440)&lt;B$12,2,IF(OR(MOD(J23-B$11,1440)&lt;B$12+ROUND(Planner!$D$5*60,0),MOD(J23-B$11,1440)&gt;=1440-ROUND(Planner!$B$5*60,0)),1,0))</f>
        <v>2</v>
      </c>
      <c r="BN23">
        <f>IF(MOD(K23-C$11,1440)&lt;C$12,2,IF(OR(MOD(K23-C$11,1440)&lt;C$12+ROUND(Planner!$D$5*60,0),MOD(K23-C$11,1440)&gt;=1440-ROUND(Planner!$B$5*60,0)),1,0))</f>
        <v>0</v>
      </c>
      <c r="BO23">
        <f>IF(MOD(L23-D$11,1440)&lt;D$12,2,IF(OR(MOD(L23-D$11,1440)&lt;D$12+ROUND(Planner!$D$5*60,0),MOD(L23-D$11,1440)&gt;=1440-ROUND(Planner!$B$5*60,0)),1,0))</f>
        <v>0</v>
      </c>
      <c r="BP23">
        <f>IF(MOD(M23-E$11,1440)&lt;E$12,2,IF(OR(MOD(M23-E$11,1440)&lt;E$12+ROUND(Planner!$D$5*60,0),MOD(M23-E$11,1440)&gt;=1440-ROUND(Planner!$B$5*60,0)),1,0))</f>
        <v>0</v>
      </c>
      <c r="BQ23">
        <f>IF(MOD(N23-F$11,1440)&lt;F$12,2,IF(OR(MOD(N23-F$11,1440)&lt;F$12+ROUND(Planner!$D$5*60,0),MOD(N23-F$11,1440)&gt;=1440-ROUND(Planner!$B$5*60,0)),1,0))</f>
        <v>0</v>
      </c>
      <c r="BR23">
        <f>IF(MOD(O23-G$11,1440)&lt;G$12,2,IF(OR(MOD(O23-G$11,1440)&lt;G$12+ROUND(Planner!$D$5*60,0),MOD(O23-G$11,1440)&gt;=1440-ROUND(Planner!$B$5*60,0)),1,0))</f>
        <v>1</v>
      </c>
      <c r="BS23">
        <f>IF(MOD(P23-H$11,1440)&lt;H$12,2,IF(OR(MOD(P23-H$11,1440)&lt;H$12+ROUND(Planner!$D$5*60,0),MOD(P23-H$11,1440)&gt;=1440-ROUND(Planner!$B$5*60,0)),1,0))</f>
        <v>2</v>
      </c>
    </row>
    <row r="24" spans="1:71">
      <c r="A24" s="22">
        <f>ROUND(($B$6+7*60/1440)*1440,0)/1440</f>
        <v>46289</v>
      </c>
      <c r="B24" s="22">
        <f>IF(COUNTIFS(ZonePeriods[Code],Planner!B$9,ZonePeriods[FromUtc],"&lt;="&amp;$A24,ZonePeriods[UntilUtc],"&gt;"&amp;$A24)=1,ROUND(($A24+SUMIFS(ZonePeriods[OffsetHours],ZonePeriods[Code],Planner!B$9,ZonePeriods[FromUtc],"&lt;="&amp;$A24,ZonePeriods[UntilUtc],"&gt;"&amp;$A24)/24)*1440,0)/1440,NA())</f>
        <v>46289.291666666664</v>
      </c>
      <c r="C24" s="22">
        <f>IF(COUNTIFS(ZonePeriods[Code],Planner!C$9,ZonePeriods[FromUtc],"&lt;="&amp;$A24,ZonePeriods[UntilUtc],"&gt;"&amp;$A24)=1,ROUND(($A24+SUMIFS(ZonePeriods[OffsetHours],ZonePeriods[Code],Planner!C$9,ZonePeriods[FromUtc],"&lt;="&amp;$A24,ZonePeriods[UntilUtc],"&gt;"&amp;$A24)/24)*1440,0)/1440,NA())</f>
        <v>46289.229166666664</v>
      </c>
      <c r="D24" s="22">
        <f>IF(COUNTIFS(ZonePeriods[Code],Planner!D$9,ZonePeriods[FromUtc],"&lt;="&amp;$A24,ZonePeriods[UntilUtc],"&gt;"&amp;$A24)=1,ROUND(($A24+SUMIFS(ZonePeriods[OffsetHours],ZonePeriods[Code],Planner!D$9,ZonePeriods[FromUtc],"&lt;="&amp;$A24,ZonePeriods[UntilUtc],"&gt;"&amp;$A24)/24)*1440,0)/1440,NA())</f>
        <v>46289.125</v>
      </c>
      <c r="E24" s="22">
        <f>IF(COUNTIFS(ZonePeriods[Code],Planner!E$9,ZonePeriods[FromUtc],"&lt;="&amp;$A24,ZonePeriods[UntilUtc],"&gt;"&amp;$A24)=1,ROUND(($A24+SUMIFS(ZonePeriods[OffsetHours],ZonePeriods[Code],Planner!E$9,ZonePeriods[FromUtc],"&lt;="&amp;$A24,ZonePeriods[UntilUtc],"&gt;"&amp;$A24)/24)*1440,0)/1440,NA())</f>
        <v>46289.083333333336</v>
      </c>
      <c r="F24" s="22">
        <f>IF(COUNTIFS(ZonePeriods[Code],Planner!F$9,ZonePeriods[FromUtc],"&lt;="&amp;$A24,ZonePeriods[UntilUtc],"&gt;"&amp;$A24)=1,ROUND(($A24+SUMIFS(ZonePeriods[OffsetHours],ZonePeriods[Code],Planner!F$9,ZonePeriods[FromUtc],"&lt;="&amp;$A24,ZonePeriods[UntilUtc],"&gt;"&amp;$A24)/24)*1440,0)/1440,NA())</f>
        <v>46289.041666666664</v>
      </c>
      <c r="G24" s="22">
        <f>IF(COUNTIFS(ZonePeriods[Code],Planner!G$9,ZonePeriods[FromUtc],"&lt;="&amp;$A24,ZonePeriods[UntilUtc],"&gt;"&amp;$A24)=1,ROUND(($A24+SUMIFS(ZonePeriods[OffsetHours],ZonePeriods[Code],Planner!G$9,ZonePeriods[FromUtc],"&lt;="&amp;$A24,ZonePeriods[UntilUtc],"&gt;"&amp;$A24)/24)*1440,0)/1440,NA())</f>
        <v>46288.833333333336</v>
      </c>
      <c r="H24" s="22">
        <f>IF(COUNTIFS(ZonePeriods[Code],Planner!H$9,ZonePeriods[FromUtc],"&lt;="&amp;$A24,ZonePeriods[UntilUtc],"&gt;"&amp;$A24)=1,ROUND(($A24+SUMIFS(ZonePeriods[OffsetHours],ZonePeriods[Code],Planner!H$9,ZonePeriods[FromUtc],"&lt;="&amp;$A24,ZonePeriods[UntilUtc],"&gt;"&amp;$A24)/24)*1440,0)/1440,NA())</f>
        <v>46288.708333333336</v>
      </c>
      <c r="I24" s="1"/>
      <c r="J24" s="1">
        <f t="shared" si="0"/>
        <v>420</v>
      </c>
      <c r="K24" s="1">
        <f t="shared" si="1"/>
        <v>330</v>
      </c>
      <c r="L24" s="1">
        <f t="shared" si="2"/>
        <v>180</v>
      </c>
      <c r="M24" s="1">
        <f t="shared" si="3"/>
        <v>120</v>
      </c>
      <c r="N24" s="1">
        <f t="shared" si="4"/>
        <v>60</v>
      </c>
      <c r="O24" s="1">
        <f t="shared" si="5"/>
        <v>1200</v>
      </c>
      <c r="P24" s="1">
        <f t="shared" si="6"/>
        <v>1020</v>
      </c>
      <c r="Q24" s="1"/>
      <c r="R24" s="1">
        <f t="shared" si="7"/>
        <v>2</v>
      </c>
      <c r="S24" s="1">
        <f t="shared" si="8"/>
        <v>0</v>
      </c>
      <c r="T24" s="1">
        <f t="shared" si="9"/>
        <v>0</v>
      </c>
      <c r="U24" s="1">
        <f t="shared" si="10"/>
        <v>0</v>
      </c>
      <c r="V24" s="1">
        <f t="shared" si="11"/>
        <v>0</v>
      </c>
      <c r="W24" s="1">
        <f t="shared" si="12"/>
        <v>0</v>
      </c>
      <c r="X24" s="1">
        <f t="shared" si="13"/>
        <v>2</v>
      </c>
      <c r="Y24" s="1"/>
      <c r="Z24" s="1">
        <f>IF(Planner!B$10="Nessuno",0,COUNTIFS(HolidayDates[Calendar],Planner!B$10,HolidayDates[Local date],INT(B24),HolidayDates[Active 0/1],1)+COUNTIFS(ImportedHolidays[Calendar],Planner!B$10,ImportedHolidays[Date],INT(B24),ImportedHolidays[Active],1,ImportedHolidays[Kind],"HOLIDAY"))</f>
        <v>0</v>
      </c>
      <c r="AA24" s="1">
        <f>IF(Planner!C$10="Nessuno",0,COUNTIFS(HolidayDates[Calendar],Planner!C$10,HolidayDates[Local date],INT(C24),HolidayDates[Active 0/1],1)+COUNTIFS(ImportedHolidays[Calendar],Planner!C$10,ImportedHolidays[Date],INT(C24),ImportedHolidays[Active],1,ImportedHolidays[Kind],"HOLIDAY"))</f>
        <v>0</v>
      </c>
      <c r="AB24" s="1">
        <f>IF(Planner!D$10="Nessuno",0,COUNTIFS(HolidayDates[Calendar],Planner!D$10,HolidayDates[Local date],INT(D24),HolidayDates[Active 0/1],1)+COUNTIFS(ImportedHolidays[Calendar],Planner!D$10,ImportedHolidays[Date],INT(D24),ImportedHolidays[Active],1,ImportedHolidays[Kind],"HOLIDAY"))</f>
        <v>0</v>
      </c>
      <c r="AC24" s="1">
        <f>IF(Planner!E$10="Nessuno",0,COUNTIFS(HolidayDates[Calendar],Planner!E$10,HolidayDates[Local date],INT(E24),HolidayDates[Active 0/1],1)+COUNTIFS(ImportedHolidays[Calendar],Planner!E$10,ImportedHolidays[Date],INT(E24),ImportedHolidays[Active],1,ImportedHolidays[Kind],"HOLIDAY"))</f>
        <v>0</v>
      </c>
      <c r="AD24" s="1">
        <f>IF(Planner!F$10="Nessuno",0,COUNTIFS(HolidayDates[Calendar],Planner!F$10,HolidayDates[Local date],INT(F24),HolidayDates[Active 0/1],1)+COUNTIFS(ImportedHolidays[Calendar],Planner!F$10,ImportedHolidays[Date],INT(F24),ImportedHolidays[Active],1,ImportedHolidays[Kind],"HOLIDAY"))</f>
        <v>0</v>
      </c>
      <c r="AE24" s="1">
        <f>IF(Planner!G$10="Nessuno",0,COUNTIFS(HolidayDates[Calendar],Planner!G$10,HolidayDates[Local date],INT(G24),HolidayDates[Active 0/1],1)+COUNTIFS(ImportedHolidays[Calendar],Planner!G$10,ImportedHolidays[Date],INT(G24),ImportedHolidays[Active],1,ImportedHolidays[Kind],"HOLIDAY"))</f>
        <v>0</v>
      </c>
      <c r="AF24" s="1">
        <f>IF(Planner!H$10="Nessuno",0,COUNTIFS(HolidayDates[Calendar],Planner!H$10,HolidayDates[Local date],INT(H24),HolidayDates[Active 0/1],1)+COUNTIFS(ImportedHolidays[Calendar],Planner!H$10,ImportedHolidays[Date],INT(H24),ImportedHolidays[Active],1,ImportedHolidays[Kind],"HOLIDAY"))</f>
        <v>0</v>
      </c>
      <c r="AG24" s="1"/>
      <c r="AH24" s="1" t="b">
        <f>INDEX(Parametri!$G12:$M12,1,WEEKDAY(INT(B24),2))=1</f>
        <v>0</v>
      </c>
      <c r="AI24" s="1" t="b">
        <f>INDEX(Parametri!$G13:$M13,1,WEEKDAY(INT(C24),2))=1</f>
        <v>0</v>
      </c>
      <c r="AJ24" s="1" t="b">
        <f>INDEX(Parametri!$G14:$M14,1,WEEKDAY(INT(D24),2))=1</f>
        <v>0</v>
      </c>
      <c r="AK24" s="1" t="b">
        <f>INDEX(Parametri!$G15:$M15,1,WEEKDAY(INT(E24),2))=1</f>
        <v>0</v>
      </c>
      <c r="AL24" s="1" t="b">
        <f>INDEX(Parametri!$G16:$M16,1,WEEKDAY(INT(F24),2))=1</f>
        <v>0</v>
      </c>
      <c r="AM24" s="1" t="b">
        <f>INDEX(Parametri!$G17:$M17,1,WEEKDAY(INT(G24),2))=1</f>
        <v>0</v>
      </c>
      <c r="AN24" s="1" t="b">
        <f>INDEX(Parametri!$G18:$M18,1,WEEKDAY(INT(H24),2))=1</f>
        <v>0</v>
      </c>
      <c r="AO24">
        <f>COUNTIFS(PersonalExceptions[Colonna],1,PersonalExceptions[Dal],"&lt;="&amp;INT(B24),PersonalExceptions[Al],"&gt;="&amp;INT(B24),PersonalExceptions[Active 0/1],1,PersonalExceptions[Effetto],"Rest")</f>
        <v>0</v>
      </c>
      <c r="AP24">
        <f>COUNTIFS(PersonalExceptions[Colonna],2,PersonalExceptions[Dal],"&lt;="&amp;INT(C24),PersonalExceptions[Al],"&gt;="&amp;INT(C24),PersonalExceptions[Active 0/1],1,PersonalExceptions[Effetto],"Rest")</f>
        <v>0</v>
      </c>
      <c r="AQ24">
        <f>COUNTIFS(PersonalExceptions[Colonna],3,PersonalExceptions[Dal],"&lt;="&amp;INT(D24),PersonalExceptions[Al],"&gt;="&amp;INT(D24),PersonalExceptions[Active 0/1],1,PersonalExceptions[Effetto],"Rest")</f>
        <v>0</v>
      </c>
      <c r="AR24">
        <f>COUNTIFS(PersonalExceptions[Colonna],4,PersonalExceptions[Dal],"&lt;="&amp;INT(E24),PersonalExceptions[Al],"&gt;="&amp;INT(E24),PersonalExceptions[Active 0/1],1,PersonalExceptions[Effetto],"Rest")</f>
        <v>0</v>
      </c>
      <c r="AS24">
        <f>COUNTIFS(PersonalExceptions[Colonna],5,PersonalExceptions[Dal],"&lt;="&amp;INT(F24),PersonalExceptions[Al],"&gt;="&amp;INT(F24),PersonalExceptions[Active 0/1],1,PersonalExceptions[Effetto],"Rest")</f>
        <v>0</v>
      </c>
      <c r="AT24">
        <f>COUNTIFS(PersonalExceptions[Colonna],6,PersonalExceptions[Dal],"&lt;="&amp;INT(G24),PersonalExceptions[Al],"&gt;="&amp;INT(G24),PersonalExceptions[Active 0/1],1,PersonalExceptions[Effetto],"Rest")</f>
        <v>0</v>
      </c>
      <c r="AU24">
        <f>COUNTIFS(PersonalExceptions[Colonna],7,PersonalExceptions[Dal],"&lt;="&amp;INT(H24),PersonalExceptions[Al],"&gt;="&amp;INT(H24),PersonalExceptions[Active 0/1],1,PersonalExceptions[Effetto],"Rest")</f>
        <v>0</v>
      </c>
      <c r="AW24">
        <f>COUNTIFS(PersonalExceptions[Colonna],1,PersonalExceptions[Dal],"&lt;="&amp;INT(B24),PersonalExceptions[Al],"&gt;="&amp;INT(B24),PersonalExceptions[Active 0/1],1,PersonalExceptions[Effetto],"Activity")</f>
        <v>0</v>
      </c>
      <c r="AX24">
        <f>COUNTIFS(PersonalExceptions[Colonna],2,PersonalExceptions[Dal],"&lt;="&amp;INT(C24),PersonalExceptions[Al],"&gt;="&amp;INT(C24),PersonalExceptions[Active 0/1],1,PersonalExceptions[Effetto],"Activity")</f>
        <v>0</v>
      </c>
      <c r="AY24">
        <f>COUNTIFS(PersonalExceptions[Colonna],3,PersonalExceptions[Dal],"&lt;="&amp;INT(D24),PersonalExceptions[Al],"&gt;="&amp;INT(D24),PersonalExceptions[Active 0/1],1,PersonalExceptions[Effetto],"Activity")</f>
        <v>0</v>
      </c>
      <c r="AZ24">
        <f>COUNTIFS(PersonalExceptions[Colonna],4,PersonalExceptions[Dal],"&lt;="&amp;INT(E24),PersonalExceptions[Al],"&gt;="&amp;INT(E24),PersonalExceptions[Active 0/1],1,PersonalExceptions[Effetto],"Activity")</f>
        <v>0</v>
      </c>
      <c r="BA24">
        <f>COUNTIFS(PersonalExceptions[Colonna],5,PersonalExceptions[Dal],"&lt;="&amp;INT(F24),PersonalExceptions[Al],"&gt;="&amp;INT(F24),PersonalExceptions[Active 0/1],1,PersonalExceptions[Effetto],"Activity")</f>
        <v>0</v>
      </c>
      <c r="BB24">
        <f>COUNTIFS(PersonalExceptions[Colonna],6,PersonalExceptions[Dal],"&lt;="&amp;INT(G24),PersonalExceptions[Al],"&gt;="&amp;INT(G24),PersonalExceptions[Active 0/1],1,PersonalExceptions[Effetto],"Activity")</f>
        <v>0</v>
      </c>
      <c r="BC24">
        <f>COUNTIFS(PersonalExceptions[Colonna],7,PersonalExceptions[Dal],"&lt;="&amp;INT(H24),PersonalExceptions[Al],"&gt;="&amp;INT(H24),PersonalExceptions[Active 0/1],1,PersonalExceptions[Effetto],"Activity")</f>
        <v>0</v>
      </c>
      <c r="BE24">
        <f>IF(Planner!B$10="Nessuno",0,COUNTIFS(ImportedHolidays[Calendar],Planner!B$10,ImportedHolidays[Date],INT(B24),ImportedHolidays[Active],1,ImportedHolidays[Kind],"WORKDAY"))</f>
        <v>0</v>
      </c>
      <c r="BF24">
        <f>IF(Planner!C$10="Nessuno",0,COUNTIFS(ImportedHolidays[Calendar],Planner!C$10,ImportedHolidays[Date],INT(C24),ImportedHolidays[Active],1,ImportedHolidays[Kind],"WORKDAY"))</f>
        <v>0</v>
      </c>
      <c r="BG24">
        <f>IF(Planner!D$10="Nessuno",0,COUNTIFS(ImportedHolidays[Calendar],Planner!D$10,ImportedHolidays[Date],INT(D24),ImportedHolidays[Active],1,ImportedHolidays[Kind],"WORKDAY"))</f>
        <v>0</v>
      </c>
      <c r="BH24">
        <f>IF(Planner!E$10="Nessuno",0,COUNTIFS(ImportedHolidays[Calendar],Planner!E$10,ImportedHolidays[Date],INT(E24),ImportedHolidays[Active],1,ImportedHolidays[Kind],"WORKDAY"))</f>
        <v>0</v>
      </c>
      <c r="BI24">
        <f>IF(Planner!F$10="Nessuno",0,COUNTIFS(ImportedHolidays[Calendar],Planner!F$10,ImportedHolidays[Date],INT(F24),ImportedHolidays[Active],1,ImportedHolidays[Kind],"WORKDAY"))</f>
        <v>0</v>
      </c>
      <c r="BJ24">
        <f>IF(Planner!G$10="Nessuno",0,COUNTIFS(ImportedHolidays[Calendar],Planner!G$10,ImportedHolidays[Date],INT(G24),ImportedHolidays[Active],1,ImportedHolidays[Kind],"WORKDAY"))</f>
        <v>0</v>
      </c>
      <c r="BK24">
        <f>IF(Planner!H$10="Nessuno",0,COUNTIFS(ImportedHolidays[Calendar],Planner!H$10,ImportedHolidays[Date],INT(H24),ImportedHolidays[Active],1,ImportedHolidays[Kind],"WORKDAY"))</f>
        <v>0</v>
      </c>
      <c r="BM24">
        <f>IF(MOD(J24-B$11,1440)&lt;B$12,2,IF(OR(MOD(J24-B$11,1440)&lt;B$12+ROUND(Planner!$D$5*60,0),MOD(J24-B$11,1440)&gt;=1440-ROUND(Planner!$B$5*60,0)),1,0))</f>
        <v>2</v>
      </c>
      <c r="BN24">
        <f>IF(MOD(K24-C$11,1440)&lt;C$12,2,IF(OR(MOD(K24-C$11,1440)&lt;C$12+ROUND(Planner!$D$5*60,0),MOD(K24-C$11,1440)&gt;=1440-ROUND(Planner!$B$5*60,0)),1,0))</f>
        <v>0</v>
      </c>
      <c r="BO24">
        <f>IF(MOD(L24-D$11,1440)&lt;D$12,2,IF(OR(MOD(L24-D$11,1440)&lt;D$12+ROUND(Planner!$D$5*60,0),MOD(L24-D$11,1440)&gt;=1440-ROUND(Planner!$B$5*60,0)),1,0))</f>
        <v>0</v>
      </c>
      <c r="BP24">
        <f>IF(MOD(M24-E$11,1440)&lt;E$12,2,IF(OR(MOD(M24-E$11,1440)&lt;E$12+ROUND(Planner!$D$5*60,0),MOD(M24-E$11,1440)&gt;=1440-ROUND(Planner!$B$5*60,0)),1,0))</f>
        <v>0</v>
      </c>
      <c r="BQ24">
        <f>IF(MOD(N24-F$11,1440)&lt;F$12,2,IF(OR(MOD(N24-F$11,1440)&lt;F$12+ROUND(Planner!$D$5*60,0),MOD(N24-F$11,1440)&gt;=1440-ROUND(Planner!$B$5*60,0)),1,0))</f>
        <v>0</v>
      </c>
      <c r="BR24">
        <f>IF(MOD(O24-G$11,1440)&lt;G$12,2,IF(OR(MOD(O24-G$11,1440)&lt;G$12+ROUND(Planner!$D$5*60,0),MOD(O24-G$11,1440)&gt;=1440-ROUND(Planner!$B$5*60,0)),1,0))</f>
        <v>0</v>
      </c>
      <c r="BS24">
        <f>IF(MOD(P24-H$11,1440)&lt;H$12,2,IF(OR(MOD(P24-H$11,1440)&lt;H$12+ROUND(Planner!$D$5*60,0),MOD(P24-H$11,1440)&gt;=1440-ROUND(Planner!$B$5*60,0)),1,0))</f>
        <v>2</v>
      </c>
    </row>
    <row r="25" spans="1:71">
      <c r="A25" s="22">
        <f>ROUND(($B$6+8*60/1440)*1440,0)/1440</f>
        <v>46289.041666666664</v>
      </c>
      <c r="B25" s="22">
        <f>IF(COUNTIFS(ZonePeriods[Code],Planner!B$9,ZonePeriods[FromUtc],"&lt;="&amp;$A25,ZonePeriods[UntilUtc],"&gt;"&amp;$A25)=1,ROUND(($A25+SUMIFS(ZonePeriods[OffsetHours],ZonePeriods[Code],Planner!B$9,ZonePeriods[FromUtc],"&lt;="&amp;$A25,ZonePeriods[UntilUtc],"&gt;"&amp;$A25)/24)*1440,0)/1440,NA())</f>
        <v>46289.333333333336</v>
      </c>
      <c r="C25" s="22">
        <f>IF(COUNTIFS(ZonePeriods[Code],Planner!C$9,ZonePeriods[FromUtc],"&lt;="&amp;$A25,ZonePeriods[UntilUtc],"&gt;"&amp;$A25)=1,ROUND(($A25+SUMIFS(ZonePeriods[OffsetHours],ZonePeriods[Code],Planner!C$9,ZonePeriods[FromUtc],"&lt;="&amp;$A25,ZonePeriods[UntilUtc],"&gt;"&amp;$A25)/24)*1440,0)/1440,NA())</f>
        <v>46289.270833333336</v>
      </c>
      <c r="D25" s="22">
        <f>IF(COUNTIFS(ZonePeriods[Code],Planner!D$9,ZonePeriods[FromUtc],"&lt;="&amp;$A25,ZonePeriods[UntilUtc],"&gt;"&amp;$A25)=1,ROUND(($A25+SUMIFS(ZonePeriods[OffsetHours],ZonePeriods[Code],Planner!D$9,ZonePeriods[FromUtc],"&lt;="&amp;$A25,ZonePeriods[UntilUtc],"&gt;"&amp;$A25)/24)*1440,0)/1440,NA())</f>
        <v>46289.166666666664</v>
      </c>
      <c r="E25" s="22">
        <f>IF(COUNTIFS(ZonePeriods[Code],Planner!E$9,ZonePeriods[FromUtc],"&lt;="&amp;$A25,ZonePeriods[UntilUtc],"&gt;"&amp;$A25)=1,ROUND(($A25+SUMIFS(ZonePeriods[OffsetHours],ZonePeriods[Code],Planner!E$9,ZonePeriods[FromUtc],"&lt;="&amp;$A25,ZonePeriods[UntilUtc],"&gt;"&amp;$A25)/24)*1440,0)/1440,NA())</f>
        <v>46289.125</v>
      </c>
      <c r="F25" s="22">
        <f>IF(COUNTIFS(ZonePeriods[Code],Planner!F$9,ZonePeriods[FromUtc],"&lt;="&amp;$A25,ZonePeriods[UntilUtc],"&gt;"&amp;$A25)=1,ROUND(($A25+SUMIFS(ZonePeriods[OffsetHours],ZonePeriods[Code],Planner!F$9,ZonePeriods[FromUtc],"&lt;="&amp;$A25,ZonePeriods[UntilUtc],"&gt;"&amp;$A25)/24)*1440,0)/1440,NA())</f>
        <v>46289.083333333336</v>
      </c>
      <c r="G25" s="22">
        <f>IF(COUNTIFS(ZonePeriods[Code],Planner!G$9,ZonePeriods[FromUtc],"&lt;="&amp;$A25,ZonePeriods[UntilUtc],"&gt;"&amp;$A25)=1,ROUND(($A25+SUMIFS(ZonePeriods[OffsetHours],ZonePeriods[Code],Planner!G$9,ZonePeriods[FromUtc],"&lt;="&amp;$A25,ZonePeriods[UntilUtc],"&gt;"&amp;$A25)/24)*1440,0)/1440,NA())</f>
        <v>46288.875</v>
      </c>
      <c r="H25" s="22">
        <f>IF(COUNTIFS(ZonePeriods[Code],Planner!H$9,ZonePeriods[FromUtc],"&lt;="&amp;$A25,ZonePeriods[UntilUtc],"&gt;"&amp;$A25)=1,ROUND(($A25+SUMIFS(ZonePeriods[OffsetHours],ZonePeriods[Code],Planner!H$9,ZonePeriods[FromUtc],"&lt;="&amp;$A25,ZonePeriods[UntilUtc],"&gt;"&amp;$A25)/24)*1440,0)/1440,NA())</f>
        <v>46288.75</v>
      </c>
      <c r="I25" s="1"/>
      <c r="J25" s="1">
        <f t="shared" si="0"/>
        <v>480</v>
      </c>
      <c r="K25" s="1">
        <f t="shared" si="1"/>
        <v>390</v>
      </c>
      <c r="L25" s="1">
        <f t="shared" si="2"/>
        <v>240</v>
      </c>
      <c r="M25" s="1">
        <f t="shared" si="3"/>
        <v>180</v>
      </c>
      <c r="N25" s="1">
        <f t="shared" si="4"/>
        <v>120</v>
      </c>
      <c r="O25" s="1">
        <f t="shared" si="5"/>
        <v>1260</v>
      </c>
      <c r="P25" s="1">
        <f t="shared" si="6"/>
        <v>1080</v>
      </c>
      <c r="Q25" s="1"/>
      <c r="R25" s="1">
        <f t="shared" si="7"/>
        <v>2</v>
      </c>
      <c r="S25" s="1">
        <f t="shared" si="8"/>
        <v>0</v>
      </c>
      <c r="T25" s="1">
        <f t="shared" si="9"/>
        <v>0</v>
      </c>
      <c r="U25" s="1">
        <f t="shared" si="10"/>
        <v>0</v>
      </c>
      <c r="V25" s="1">
        <f t="shared" si="11"/>
        <v>0</v>
      </c>
      <c r="W25" s="1">
        <f t="shared" si="12"/>
        <v>0</v>
      </c>
      <c r="X25" s="1">
        <f t="shared" si="13"/>
        <v>1</v>
      </c>
      <c r="Y25" s="1"/>
      <c r="Z25" s="1">
        <f>IF(Planner!B$10="Nessuno",0,COUNTIFS(HolidayDates[Calendar],Planner!B$10,HolidayDates[Local date],INT(B25),HolidayDates[Active 0/1],1)+COUNTIFS(ImportedHolidays[Calendar],Planner!B$10,ImportedHolidays[Date],INT(B25),ImportedHolidays[Active],1,ImportedHolidays[Kind],"HOLIDAY"))</f>
        <v>0</v>
      </c>
      <c r="AA25" s="1">
        <f>IF(Planner!C$10="Nessuno",0,COUNTIFS(HolidayDates[Calendar],Planner!C$10,HolidayDates[Local date],INT(C25),HolidayDates[Active 0/1],1)+COUNTIFS(ImportedHolidays[Calendar],Planner!C$10,ImportedHolidays[Date],INT(C25),ImportedHolidays[Active],1,ImportedHolidays[Kind],"HOLIDAY"))</f>
        <v>0</v>
      </c>
      <c r="AB25" s="1">
        <f>IF(Planner!D$10="Nessuno",0,COUNTIFS(HolidayDates[Calendar],Planner!D$10,HolidayDates[Local date],INT(D25),HolidayDates[Active 0/1],1)+COUNTIFS(ImportedHolidays[Calendar],Planner!D$10,ImportedHolidays[Date],INT(D25),ImportedHolidays[Active],1,ImportedHolidays[Kind],"HOLIDAY"))</f>
        <v>0</v>
      </c>
      <c r="AC25" s="1">
        <f>IF(Planner!E$10="Nessuno",0,COUNTIFS(HolidayDates[Calendar],Planner!E$10,HolidayDates[Local date],INT(E25),HolidayDates[Active 0/1],1)+COUNTIFS(ImportedHolidays[Calendar],Planner!E$10,ImportedHolidays[Date],INT(E25),ImportedHolidays[Active],1,ImportedHolidays[Kind],"HOLIDAY"))</f>
        <v>0</v>
      </c>
      <c r="AD25" s="1">
        <f>IF(Planner!F$10="Nessuno",0,COUNTIFS(HolidayDates[Calendar],Planner!F$10,HolidayDates[Local date],INT(F25),HolidayDates[Active 0/1],1)+COUNTIFS(ImportedHolidays[Calendar],Planner!F$10,ImportedHolidays[Date],INT(F25),ImportedHolidays[Active],1,ImportedHolidays[Kind],"HOLIDAY"))</f>
        <v>0</v>
      </c>
      <c r="AE25" s="1">
        <f>IF(Planner!G$10="Nessuno",0,COUNTIFS(HolidayDates[Calendar],Planner!G$10,HolidayDates[Local date],INT(G25),HolidayDates[Active 0/1],1)+COUNTIFS(ImportedHolidays[Calendar],Planner!G$10,ImportedHolidays[Date],INT(G25),ImportedHolidays[Active],1,ImportedHolidays[Kind],"HOLIDAY"))</f>
        <v>0</v>
      </c>
      <c r="AF25" s="1">
        <f>IF(Planner!H$10="Nessuno",0,COUNTIFS(HolidayDates[Calendar],Planner!H$10,HolidayDates[Local date],INT(H25),HolidayDates[Active 0/1],1)+COUNTIFS(ImportedHolidays[Calendar],Planner!H$10,ImportedHolidays[Date],INT(H25),ImportedHolidays[Active],1,ImportedHolidays[Kind],"HOLIDAY"))</f>
        <v>0</v>
      </c>
      <c r="AG25" s="1"/>
      <c r="AH25" s="1" t="b">
        <f>INDEX(Parametri!$G12:$M12,1,WEEKDAY(INT(B25),2))=1</f>
        <v>0</v>
      </c>
      <c r="AI25" s="1" t="b">
        <f>INDEX(Parametri!$G13:$M13,1,WEEKDAY(INT(C25),2))=1</f>
        <v>0</v>
      </c>
      <c r="AJ25" s="1" t="b">
        <f>INDEX(Parametri!$G14:$M14,1,WEEKDAY(INT(D25),2))=1</f>
        <v>0</v>
      </c>
      <c r="AK25" s="1" t="b">
        <f>INDEX(Parametri!$G15:$M15,1,WEEKDAY(INT(E25),2))=1</f>
        <v>0</v>
      </c>
      <c r="AL25" s="1" t="b">
        <f>INDEX(Parametri!$G16:$M16,1,WEEKDAY(INT(F25),2))=1</f>
        <v>0</v>
      </c>
      <c r="AM25" s="1" t="b">
        <f>INDEX(Parametri!$G17:$M17,1,WEEKDAY(INT(G25),2))=1</f>
        <v>0</v>
      </c>
      <c r="AN25" s="1" t="b">
        <f>INDEX(Parametri!$G18:$M18,1,WEEKDAY(INT(H25),2))=1</f>
        <v>0</v>
      </c>
      <c r="AO25">
        <f>COUNTIFS(PersonalExceptions[Colonna],1,PersonalExceptions[Dal],"&lt;="&amp;INT(B25),PersonalExceptions[Al],"&gt;="&amp;INT(B25),PersonalExceptions[Active 0/1],1,PersonalExceptions[Effetto],"Rest")</f>
        <v>0</v>
      </c>
      <c r="AP25">
        <f>COUNTIFS(PersonalExceptions[Colonna],2,PersonalExceptions[Dal],"&lt;="&amp;INT(C25),PersonalExceptions[Al],"&gt;="&amp;INT(C25),PersonalExceptions[Active 0/1],1,PersonalExceptions[Effetto],"Rest")</f>
        <v>0</v>
      </c>
      <c r="AQ25">
        <f>COUNTIFS(PersonalExceptions[Colonna],3,PersonalExceptions[Dal],"&lt;="&amp;INT(D25),PersonalExceptions[Al],"&gt;="&amp;INT(D25),PersonalExceptions[Active 0/1],1,PersonalExceptions[Effetto],"Rest")</f>
        <v>0</v>
      </c>
      <c r="AR25">
        <f>COUNTIFS(PersonalExceptions[Colonna],4,PersonalExceptions[Dal],"&lt;="&amp;INT(E25),PersonalExceptions[Al],"&gt;="&amp;INT(E25),PersonalExceptions[Active 0/1],1,PersonalExceptions[Effetto],"Rest")</f>
        <v>0</v>
      </c>
      <c r="AS25">
        <f>COUNTIFS(PersonalExceptions[Colonna],5,PersonalExceptions[Dal],"&lt;="&amp;INT(F25),PersonalExceptions[Al],"&gt;="&amp;INT(F25),PersonalExceptions[Active 0/1],1,PersonalExceptions[Effetto],"Rest")</f>
        <v>0</v>
      </c>
      <c r="AT25">
        <f>COUNTIFS(PersonalExceptions[Colonna],6,PersonalExceptions[Dal],"&lt;="&amp;INT(G25),PersonalExceptions[Al],"&gt;="&amp;INT(G25),PersonalExceptions[Active 0/1],1,PersonalExceptions[Effetto],"Rest")</f>
        <v>0</v>
      </c>
      <c r="AU25">
        <f>COUNTIFS(PersonalExceptions[Colonna],7,PersonalExceptions[Dal],"&lt;="&amp;INT(H25),PersonalExceptions[Al],"&gt;="&amp;INT(H25),PersonalExceptions[Active 0/1],1,PersonalExceptions[Effetto],"Rest")</f>
        <v>0</v>
      </c>
      <c r="AW25">
        <f>COUNTIFS(PersonalExceptions[Colonna],1,PersonalExceptions[Dal],"&lt;="&amp;INT(B25),PersonalExceptions[Al],"&gt;="&amp;INT(B25),PersonalExceptions[Active 0/1],1,PersonalExceptions[Effetto],"Activity")</f>
        <v>0</v>
      </c>
      <c r="AX25">
        <f>COUNTIFS(PersonalExceptions[Colonna],2,PersonalExceptions[Dal],"&lt;="&amp;INT(C25),PersonalExceptions[Al],"&gt;="&amp;INT(C25),PersonalExceptions[Active 0/1],1,PersonalExceptions[Effetto],"Activity")</f>
        <v>0</v>
      </c>
      <c r="AY25">
        <f>COUNTIFS(PersonalExceptions[Colonna],3,PersonalExceptions[Dal],"&lt;="&amp;INT(D25),PersonalExceptions[Al],"&gt;="&amp;INT(D25),PersonalExceptions[Active 0/1],1,PersonalExceptions[Effetto],"Activity")</f>
        <v>0</v>
      </c>
      <c r="AZ25">
        <f>COUNTIFS(PersonalExceptions[Colonna],4,PersonalExceptions[Dal],"&lt;="&amp;INT(E25),PersonalExceptions[Al],"&gt;="&amp;INT(E25),PersonalExceptions[Active 0/1],1,PersonalExceptions[Effetto],"Activity")</f>
        <v>0</v>
      </c>
      <c r="BA25">
        <f>COUNTIFS(PersonalExceptions[Colonna],5,PersonalExceptions[Dal],"&lt;="&amp;INT(F25),PersonalExceptions[Al],"&gt;="&amp;INT(F25),PersonalExceptions[Active 0/1],1,PersonalExceptions[Effetto],"Activity")</f>
        <v>0</v>
      </c>
      <c r="BB25">
        <f>COUNTIFS(PersonalExceptions[Colonna],6,PersonalExceptions[Dal],"&lt;="&amp;INT(G25),PersonalExceptions[Al],"&gt;="&amp;INT(G25),PersonalExceptions[Active 0/1],1,PersonalExceptions[Effetto],"Activity")</f>
        <v>0</v>
      </c>
      <c r="BC25">
        <f>COUNTIFS(PersonalExceptions[Colonna],7,PersonalExceptions[Dal],"&lt;="&amp;INT(H25),PersonalExceptions[Al],"&gt;="&amp;INT(H25),PersonalExceptions[Active 0/1],1,PersonalExceptions[Effetto],"Activity")</f>
        <v>0</v>
      </c>
      <c r="BE25">
        <f>IF(Planner!B$10="Nessuno",0,COUNTIFS(ImportedHolidays[Calendar],Planner!B$10,ImportedHolidays[Date],INT(B25),ImportedHolidays[Active],1,ImportedHolidays[Kind],"WORKDAY"))</f>
        <v>0</v>
      </c>
      <c r="BF25">
        <f>IF(Planner!C$10="Nessuno",0,COUNTIFS(ImportedHolidays[Calendar],Planner!C$10,ImportedHolidays[Date],INT(C25),ImportedHolidays[Active],1,ImportedHolidays[Kind],"WORKDAY"))</f>
        <v>0</v>
      </c>
      <c r="BG25">
        <f>IF(Planner!D$10="Nessuno",0,COUNTIFS(ImportedHolidays[Calendar],Planner!D$10,ImportedHolidays[Date],INT(D25),ImportedHolidays[Active],1,ImportedHolidays[Kind],"WORKDAY"))</f>
        <v>0</v>
      </c>
      <c r="BH25">
        <f>IF(Planner!E$10="Nessuno",0,COUNTIFS(ImportedHolidays[Calendar],Planner!E$10,ImportedHolidays[Date],INT(E25),ImportedHolidays[Active],1,ImportedHolidays[Kind],"WORKDAY"))</f>
        <v>0</v>
      </c>
      <c r="BI25">
        <f>IF(Planner!F$10="Nessuno",0,COUNTIFS(ImportedHolidays[Calendar],Planner!F$10,ImportedHolidays[Date],INT(F25),ImportedHolidays[Active],1,ImportedHolidays[Kind],"WORKDAY"))</f>
        <v>0</v>
      </c>
      <c r="BJ25">
        <f>IF(Planner!G$10="Nessuno",0,COUNTIFS(ImportedHolidays[Calendar],Planner!G$10,ImportedHolidays[Date],INT(G25),ImportedHolidays[Active],1,ImportedHolidays[Kind],"WORKDAY"))</f>
        <v>0</v>
      </c>
      <c r="BK25">
        <f>IF(Planner!H$10="Nessuno",0,COUNTIFS(ImportedHolidays[Calendar],Planner!H$10,ImportedHolidays[Date],INT(H25),ImportedHolidays[Active],1,ImportedHolidays[Kind],"WORKDAY"))</f>
        <v>0</v>
      </c>
      <c r="BM25">
        <f>IF(MOD(J25-B$11,1440)&lt;B$12,2,IF(OR(MOD(J25-B$11,1440)&lt;B$12+ROUND(Planner!$D$5*60,0),MOD(J25-B$11,1440)&gt;=1440-ROUND(Planner!$B$5*60,0)),1,0))</f>
        <v>2</v>
      </c>
      <c r="BN25">
        <f>IF(MOD(K25-C$11,1440)&lt;C$12,2,IF(OR(MOD(K25-C$11,1440)&lt;C$12+ROUND(Planner!$D$5*60,0),MOD(K25-C$11,1440)&gt;=1440-ROUND(Planner!$B$5*60,0)),1,0))</f>
        <v>0</v>
      </c>
      <c r="BO25">
        <f>IF(MOD(L25-D$11,1440)&lt;D$12,2,IF(OR(MOD(L25-D$11,1440)&lt;D$12+ROUND(Planner!$D$5*60,0),MOD(L25-D$11,1440)&gt;=1440-ROUND(Planner!$B$5*60,0)),1,0))</f>
        <v>0</v>
      </c>
      <c r="BP25">
        <f>IF(MOD(M25-E$11,1440)&lt;E$12,2,IF(OR(MOD(M25-E$11,1440)&lt;E$12+ROUND(Planner!$D$5*60,0),MOD(M25-E$11,1440)&gt;=1440-ROUND(Planner!$B$5*60,0)),1,0))</f>
        <v>0</v>
      </c>
      <c r="BQ25">
        <f>IF(MOD(N25-F$11,1440)&lt;F$12,2,IF(OR(MOD(N25-F$11,1440)&lt;F$12+ROUND(Planner!$D$5*60,0),MOD(N25-F$11,1440)&gt;=1440-ROUND(Planner!$B$5*60,0)),1,0))</f>
        <v>0</v>
      </c>
      <c r="BR25">
        <f>IF(MOD(O25-G$11,1440)&lt;G$12,2,IF(OR(MOD(O25-G$11,1440)&lt;G$12+ROUND(Planner!$D$5*60,0),MOD(O25-G$11,1440)&gt;=1440-ROUND(Planner!$B$5*60,0)),1,0))</f>
        <v>0</v>
      </c>
      <c r="BS25">
        <f>IF(MOD(P25-H$11,1440)&lt;H$12,2,IF(OR(MOD(P25-H$11,1440)&lt;H$12+ROUND(Planner!$D$5*60,0),MOD(P25-H$11,1440)&gt;=1440-ROUND(Planner!$B$5*60,0)),1,0))</f>
        <v>1</v>
      </c>
    </row>
    <row r="26" spans="1:71">
      <c r="A26" s="22">
        <f>ROUND(($B$6+9*60/1440)*1440,0)/1440</f>
        <v>46289.083333333336</v>
      </c>
      <c r="B26" s="22">
        <f>IF(COUNTIFS(ZonePeriods[Code],Planner!B$9,ZonePeriods[FromUtc],"&lt;="&amp;$A26,ZonePeriods[UntilUtc],"&gt;"&amp;$A26)=1,ROUND(($A26+SUMIFS(ZonePeriods[OffsetHours],ZonePeriods[Code],Planner!B$9,ZonePeriods[FromUtc],"&lt;="&amp;$A26,ZonePeriods[UntilUtc],"&gt;"&amp;$A26)/24)*1440,0)/1440,NA())</f>
        <v>46289.375</v>
      </c>
      <c r="C26" s="22">
        <f>IF(COUNTIFS(ZonePeriods[Code],Planner!C$9,ZonePeriods[FromUtc],"&lt;="&amp;$A26,ZonePeriods[UntilUtc],"&gt;"&amp;$A26)=1,ROUND(($A26+SUMIFS(ZonePeriods[OffsetHours],ZonePeriods[Code],Planner!C$9,ZonePeriods[FromUtc],"&lt;="&amp;$A26,ZonePeriods[UntilUtc],"&gt;"&amp;$A26)/24)*1440,0)/1440,NA())</f>
        <v>46289.3125</v>
      </c>
      <c r="D26" s="22">
        <f>IF(COUNTIFS(ZonePeriods[Code],Planner!D$9,ZonePeriods[FromUtc],"&lt;="&amp;$A26,ZonePeriods[UntilUtc],"&gt;"&amp;$A26)=1,ROUND(($A26+SUMIFS(ZonePeriods[OffsetHours],ZonePeriods[Code],Planner!D$9,ZonePeriods[FromUtc],"&lt;="&amp;$A26,ZonePeriods[UntilUtc],"&gt;"&amp;$A26)/24)*1440,0)/1440,NA())</f>
        <v>46289.208333333336</v>
      </c>
      <c r="E26" s="22">
        <f>IF(COUNTIFS(ZonePeriods[Code],Planner!E$9,ZonePeriods[FromUtc],"&lt;="&amp;$A26,ZonePeriods[UntilUtc],"&gt;"&amp;$A26)=1,ROUND(($A26+SUMIFS(ZonePeriods[OffsetHours],ZonePeriods[Code],Planner!E$9,ZonePeriods[FromUtc],"&lt;="&amp;$A26,ZonePeriods[UntilUtc],"&gt;"&amp;$A26)/24)*1440,0)/1440,NA())</f>
        <v>46289.166666666664</v>
      </c>
      <c r="F26" s="22">
        <f>IF(COUNTIFS(ZonePeriods[Code],Planner!F$9,ZonePeriods[FromUtc],"&lt;="&amp;$A26,ZonePeriods[UntilUtc],"&gt;"&amp;$A26)=1,ROUND(($A26+SUMIFS(ZonePeriods[OffsetHours],ZonePeriods[Code],Planner!F$9,ZonePeriods[FromUtc],"&lt;="&amp;$A26,ZonePeriods[UntilUtc],"&gt;"&amp;$A26)/24)*1440,0)/1440,NA())</f>
        <v>46289.125</v>
      </c>
      <c r="G26" s="22">
        <f>IF(COUNTIFS(ZonePeriods[Code],Planner!G$9,ZonePeriods[FromUtc],"&lt;="&amp;$A26,ZonePeriods[UntilUtc],"&gt;"&amp;$A26)=1,ROUND(($A26+SUMIFS(ZonePeriods[OffsetHours],ZonePeriods[Code],Planner!G$9,ZonePeriods[FromUtc],"&lt;="&amp;$A26,ZonePeriods[UntilUtc],"&gt;"&amp;$A26)/24)*1440,0)/1440,NA())</f>
        <v>46288.916666666664</v>
      </c>
      <c r="H26" s="22">
        <f>IF(COUNTIFS(ZonePeriods[Code],Planner!H$9,ZonePeriods[FromUtc],"&lt;="&amp;$A26,ZonePeriods[UntilUtc],"&gt;"&amp;$A26)=1,ROUND(($A26+SUMIFS(ZonePeriods[OffsetHours],ZonePeriods[Code],Planner!H$9,ZonePeriods[FromUtc],"&lt;="&amp;$A26,ZonePeriods[UntilUtc],"&gt;"&amp;$A26)/24)*1440,0)/1440,NA())</f>
        <v>46288.791666666664</v>
      </c>
      <c r="I26" s="1"/>
      <c r="J26" s="1">
        <f t="shared" si="0"/>
        <v>540</v>
      </c>
      <c r="K26" s="1">
        <f t="shared" si="1"/>
        <v>450</v>
      </c>
      <c r="L26" s="1">
        <f t="shared" si="2"/>
        <v>300</v>
      </c>
      <c r="M26" s="1">
        <f t="shared" si="3"/>
        <v>240</v>
      </c>
      <c r="N26" s="1">
        <f t="shared" si="4"/>
        <v>180</v>
      </c>
      <c r="O26" s="1">
        <f t="shared" si="5"/>
        <v>1320</v>
      </c>
      <c r="P26" s="1">
        <f t="shared" si="6"/>
        <v>1140</v>
      </c>
      <c r="Q26" s="1"/>
      <c r="R26" s="1">
        <f t="shared" si="7"/>
        <v>2</v>
      </c>
      <c r="S26" s="1">
        <f t="shared" si="8"/>
        <v>1</v>
      </c>
      <c r="T26" s="1">
        <f t="shared" si="9"/>
        <v>0</v>
      </c>
      <c r="U26" s="1">
        <f t="shared" si="10"/>
        <v>0</v>
      </c>
      <c r="V26" s="1">
        <f t="shared" si="11"/>
        <v>0</v>
      </c>
      <c r="W26" s="1">
        <f t="shared" si="12"/>
        <v>0</v>
      </c>
      <c r="X26" s="1">
        <f t="shared" si="13"/>
        <v>1</v>
      </c>
      <c r="Y26" s="1"/>
      <c r="Z26" s="1">
        <f>IF(Planner!B$10="Nessuno",0,COUNTIFS(HolidayDates[Calendar],Planner!B$10,HolidayDates[Local date],INT(B26),HolidayDates[Active 0/1],1)+COUNTIFS(ImportedHolidays[Calendar],Planner!B$10,ImportedHolidays[Date],INT(B26),ImportedHolidays[Active],1,ImportedHolidays[Kind],"HOLIDAY"))</f>
        <v>0</v>
      </c>
      <c r="AA26" s="1">
        <f>IF(Planner!C$10="Nessuno",0,COUNTIFS(HolidayDates[Calendar],Planner!C$10,HolidayDates[Local date],INT(C26),HolidayDates[Active 0/1],1)+COUNTIFS(ImportedHolidays[Calendar],Planner!C$10,ImportedHolidays[Date],INT(C26),ImportedHolidays[Active],1,ImportedHolidays[Kind],"HOLIDAY"))</f>
        <v>0</v>
      </c>
      <c r="AB26" s="1">
        <f>IF(Planner!D$10="Nessuno",0,COUNTIFS(HolidayDates[Calendar],Planner!D$10,HolidayDates[Local date],INT(D26),HolidayDates[Active 0/1],1)+COUNTIFS(ImportedHolidays[Calendar],Planner!D$10,ImportedHolidays[Date],INT(D26),ImportedHolidays[Active],1,ImportedHolidays[Kind],"HOLIDAY"))</f>
        <v>0</v>
      </c>
      <c r="AC26" s="1">
        <f>IF(Planner!E$10="Nessuno",0,COUNTIFS(HolidayDates[Calendar],Planner!E$10,HolidayDates[Local date],INT(E26),HolidayDates[Active 0/1],1)+COUNTIFS(ImportedHolidays[Calendar],Planner!E$10,ImportedHolidays[Date],INT(E26),ImportedHolidays[Active],1,ImportedHolidays[Kind],"HOLIDAY"))</f>
        <v>0</v>
      </c>
      <c r="AD26" s="1">
        <f>IF(Planner!F$10="Nessuno",0,COUNTIFS(HolidayDates[Calendar],Planner!F$10,HolidayDates[Local date],INT(F26),HolidayDates[Active 0/1],1)+COUNTIFS(ImportedHolidays[Calendar],Planner!F$10,ImportedHolidays[Date],INT(F26),ImportedHolidays[Active],1,ImportedHolidays[Kind],"HOLIDAY"))</f>
        <v>0</v>
      </c>
      <c r="AE26" s="1">
        <f>IF(Planner!G$10="Nessuno",0,COUNTIFS(HolidayDates[Calendar],Planner!G$10,HolidayDates[Local date],INT(G26),HolidayDates[Active 0/1],1)+COUNTIFS(ImportedHolidays[Calendar],Planner!G$10,ImportedHolidays[Date],INT(G26),ImportedHolidays[Active],1,ImportedHolidays[Kind],"HOLIDAY"))</f>
        <v>0</v>
      </c>
      <c r="AF26" s="1">
        <f>IF(Planner!H$10="Nessuno",0,COUNTIFS(HolidayDates[Calendar],Planner!H$10,HolidayDates[Local date],INT(H26),HolidayDates[Active 0/1],1)+COUNTIFS(ImportedHolidays[Calendar],Planner!H$10,ImportedHolidays[Date],INT(H26),ImportedHolidays[Active],1,ImportedHolidays[Kind],"HOLIDAY"))</f>
        <v>0</v>
      </c>
      <c r="AG26" s="1"/>
      <c r="AH26" s="1" t="b">
        <f>INDEX(Parametri!$G12:$M12,1,WEEKDAY(INT(B26),2))=1</f>
        <v>0</v>
      </c>
      <c r="AI26" s="1" t="b">
        <f>INDEX(Parametri!$G13:$M13,1,WEEKDAY(INT(C26),2))=1</f>
        <v>0</v>
      </c>
      <c r="AJ26" s="1" t="b">
        <f>INDEX(Parametri!$G14:$M14,1,WEEKDAY(INT(D26),2))=1</f>
        <v>0</v>
      </c>
      <c r="AK26" s="1" t="b">
        <f>INDEX(Parametri!$G15:$M15,1,WEEKDAY(INT(E26),2))=1</f>
        <v>0</v>
      </c>
      <c r="AL26" s="1" t="b">
        <f>INDEX(Parametri!$G16:$M16,1,WEEKDAY(INT(F26),2))=1</f>
        <v>0</v>
      </c>
      <c r="AM26" s="1" t="b">
        <f>INDEX(Parametri!$G17:$M17,1,WEEKDAY(INT(G26),2))=1</f>
        <v>0</v>
      </c>
      <c r="AN26" s="1" t="b">
        <f>INDEX(Parametri!$G18:$M18,1,WEEKDAY(INT(H26),2))=1</f>
        <v>0</v>
      </c>
      <c r="AO26">
        <f>COUNTIFS(PersonalExceptions[Colonna],1,PersonalExceptions[Dal],"&lt;="&amp;INT(B26),PersonalExceptions[Al],"&gt;="&amp;INT(B26),PersonalExceptions[Active 0/1],1,PersonalExceptions[Effetto],"Rest")</f>
        <v>0</v>
      </c>
      <c r="AP26">
        <f>COUNTIFS(PersonalExceptions[Colonna],2,PersonalExceptions[Dal],"&lt;="&amp;INT(C26),PersonalExceptions[Al],"&gt;="&amp;INT(C26),PersonalExceptions[Active 0/1],1,PersonalExceptions[Effetto],"Rest")</f>
        <v>0</v>
      </c>
      <c r="AQ26">
        <f>COUNTIFS(PersonalExceptions[Colonna],3,PersonalExceptions[Dal],"&lt;="&amp;INT(D26),PersonalExceptions[Al],"&gt;="&amp;INT(D26),PersonalExceptions[Active 0/1],1,PersonalExceptions[Effetto],"Rest")</f>
        <v>0</v>
      </c>
      <c r="AR26">
        <f>COUNTIFS(PersonalExceptions[Colonna],4,PersonalExceptions[Dal],"&lt;="&amp;INT(E26),PersonalExceptions[Al],"&gt;="&amp;INT(E26),PersonalExceptions[Active 0/1],1,PersonalExceptions[Effetto],"Rest")</f>
        <v>0</v>
      </c>
      <c r="AS26">
        <f>COUNTIFS(PersonalExceptions[Colonna],5,PersonalExceptions[Dal],"&lt;="&amp;INT(F26),PersonalExceptions[Al],"&gt;="&amp;INT(F26),PersonalExceptions[Active 0/1],1,PersonalExceptions[Effetto],"Rest")</f>
        <v>0</v>
      </c>
      <c r="AT26">
        <f>COUNTIFS(PersonalExceptions[Colonna],6,PersonalExceptions[Dal],"&lt;="&amp;INT(G26),PersonalExceptions[Al],"&gt;="&amp;INT(G26),PersonalExceptions[Active 0/1],1,PersonalExceptions[Effetto],"Rest")</f>
        <v>0</v>
      </c>
      <c r="AU26">
        <f>COUNTIFS(PersonalExceptions[Colonna],7,PersonalExceptions[Dal],"&lt;="&amp;INT(H26),PersonalExceptions[Al],"&gt;="&amp;INT(H26),PersonalExceptions[Active 0/1],1,PersonalExceptions[Effetto],"Rest")</f>
        <v>0</v>
      </c>
      <c r="AW26">
        <f>COUNTIFS(PersonalExceptions[Colonna],1,PersonalExceptions[Dal],"&lt;="&amp;INT(B26),PersonalExceptions[Al],"&gt;="&amp;INT(B26),PersonalExceptions[Active 0/1],1,PersonalExceptions[Effetto],"Activity")</f>
        <v>0</v>
      </c>
      <c r="AX26">
        <f>COUNTIFS(PersonalExceptions[Colonna],2,PersonalExceptions[Dal],"&lt;="&amp;INT(C26),PersonalExceptions[Al],"&gt;="&amp;INT(C26),PersonalExceptions[Active 0/1],1,PersonalExceptions[Effetto],"Activity")</f>
        <v>0</v>
      </c>
      <c r="AY26">
        <f>COUNTIFS(PersonalExceptions[Colonna],3,PersonalExceptions[Dal],"&lt;="&amp;INT(D26),PersonalExceptions[Al],"&gt;="&amp;INT(D26),PersonalExceptions[Active 0/1],1,PersonalExceptions[Effetto],"Activity")</f>
        <v>0</v>
      </c>
      <c r="AZ26">
        <f>COUNTIFS(PersonalExceptions[Colonna],4,PersonalExceptions[Dal],"&lt;="&amp;INT(E26),PersonalExceptions[Al],"&gt;="&amp;INT(E26),PersonalExceptions[Active 0/1],1,PersonalExceptions[Effetto],"Activity")</f>
        <v>0</v>
      </c>
      <c r="BA26">
        <f>COUNTIFS(PersonalExceptions[Colonna],5,PersonalExceptions[Dal],"&lt;="&amp;INT(F26),PersonalExceptions[Al],"&gt;="&amp;INT(F26),PersonalExceptions[Active 0/1],1,PersonalExceptions[Effetto],"Activity")</f>
        <v>0</v>
      </c>
      <c r="BB26">
        <f>COUNTIFS(PersonalExceptions[Colonna],6,PersonalExceptions[Dal],"&lt;="&amp;INT(G26),PersonalExceptions[Al],"&gt;="&amp;INT(G26),PersonalExceptions[Active 0/1],1,PersonalExceptions[Effetto],"Activity")</f>
        <v>0</v>
      </c>
      <c r="BC26">
        <f>COUNTIFS(PersonalExceptions[Colonna],7,PersonalExceptions[Dal],"&lt;="&amp;INT(H26),PersonalExceptions[Al],"&gt;="&amp;INT(H26),PersonalExceptions[Active 0/1],1,PersonalExceptions[Effetto],"Activity")</f>
        <v>0</v>
      </c>
      <c r="BE26">
        <f>IF(Planner!B$10="Nessuno",0,COUNTIFS(ImportedHolidays[Calendar],Planner!B$10,ImportedHolidays[Date],INT(B26),ImportedHolidays[Active],1,ImportedHolidays[Kind],"WORKDAY"))</f>
        <v>0</v>
      </c>
      <c r="BF26">
        <f>IF(Planner!C$10="Nessuno",0,COUNTIFS(ImportedHolidays[Calendar],Planner!C$10,ImportedHolidays[Date],INT(C26),ImportedHolidays[Active],1,ImportedHolidays[Kind],"WORKDAY"))</f>
        <v>0</v>
      </c>
      <c r="BG26">
        <f>IF(Planner!D$10="Nessuno",0,COUNTIFS(ImportedHolidays[Calendar],Planner!D$10,ImportedHolidays[Date],INT(D26),ImportedHolidays[Active],1,ImportedHolidays[Kind],"WORKDAY"))</f>
        <v>0</v>
      </c>
      <c r="BH26">
        <f>IF(Planner!E$10="Nessuno",0,COUNTIFS(ImportedHolidays[Calendar],Planner!E$10,ImportedHolidays[Date],INT(E26),ImportedHolidays[Active],1,ImportedHolidays[Kind],"WORKDAY"))</f>
        <v>0</v>
      </c>
      <c r="BI26">
        <f>IF(Planner!F$10="Nessuno",0,COUNTIFS(ImportedHolidays[Calendar],Planner!F$10,ImportedHolidays[Date],INT(F26),ImportedHolidays[Active],1,ImportedHolidays[Kind],"WORKDAY"))</f>
        <v>0</v>
      </c>
      <c r="BJ26">
        <f>IF(Planner!G$10="Nessuno",0,COUNTIFS(ImportedHolidays[Calendar],Planner!G$10,ImportedHolidays[Date],INT(G26),ImportedHolidays[Active],1,ImportedHolidays[Kind],"WORKDAY"))</f>
        <v>0</v>
      </c>
      <c r="BK26">
        <f>IF(Planner!H$10="Nessuno",0,COUNTIFS(ImportedHolidays[Calendar],Planner!H$10,ImportedHolidays[Date],INT(H26),ImportedHolidays[Active],1,ImportedHolidays[Kind],"WORKDAY"))</f>
        <v>0</v>
      </c>
      <c r="BM26">
        <f>IF(MOD(J26-B$11,1440)&lt;B$12,2,IF(OR(MOD(J26-B$11,1440)&lt;B$12+ROUND(Planner!$D$5*60,0),MOD(J26-B$11,1440)&gt;=1440-ROUND(Planner!$B$5*60,0)),1,0))</f>
        <v>2</v>
      </c>
      <c r="BN26">
        <f>IF(MOD(K26-C$11,1440)&lt;C$12,2,IF(OR(MOD(K26-C$11,1440)&lt;C$12+ROUND(Planner!$D$5*60,0),MOD(K26-C$11,1440)&gt;=1440-ROUND(Planner!$B$5*60,0)),1,0))</f>
        <v>1</v>
      </c>
      <c r="BO26">
        <f>IF(MOD(L26-D$11,1440)&lt;D$12,2,IF(OR(MOD(L26-D$11,1440)&lt;D$12+ROUND(Planner!$D$5*60,0),MOD(L26-D$11,1440)&gt;=1440-ROUND(Planner!$B$5*60,0)),1,0))</f>
        <v>0</v>
      </c>
      <c r="BP26">
        <f>IF(MOD(M26-E$11,1440)&lt;E$12,2,IF(OR(MOD(M26-E$11,1440)&lt;E$12+ROUND(Planner!$D$5*60,0),MOD(M26-E$11,1440)&gt;=1440-ROUND(Planner!$B$5*60,0)),1,0))</f>
        <v>0</v>
      </c>
      <c r="BQ26">
        <f>IF(MOD(N26-F$11,1440)&lt;F$12,2,IF(OR(MOD(N26-F$11,1440)&lt;F$12+ROUND(Planner!$D$5*60,0),MOD(N26-F$11,1440)&gt;=1440-ROUND(Planner!$B$5*60,0)),1,0))</f>
        <v>0</v>
      </c>
      <c r="BR26">
        <f>IF(MOD(O26-G$11,1440)&lt;G$12,2,IF(OR(MOD(O26-G$11,1440)&lt;G$12+ROUND(Planner!$D$5*60,0),MOD(O26-G$11,1440)&gt;=1440-ROUND(Planner!$B$5*60,0)),1,0))</f>
        <v>0</v>
      </c>
      <c r="BS26">
        <f>IF(MOD(P26-H$11,1440)&lt;H$12,2,IF(OR(MOD(P26-H$11,1440)&lt;H$12+ROUND(Planner!$D$5*60,0),MOD(P26-H$11,1440)&gt;=1440-ROUND(Planner!$B$5*60,0)),1,0))</f>
        <v>1</v>
      </c>
    </row>
    <row r="27" spans="1:71">
      <c r="A27" s="22">
        <f>ROUND(($B$6+10*60/1440)*1440,0)/1440</f>
        <v>46289.125</v>
      </c>
      <c r="B27" s="22">
        <f>IF(COUNTIFS(ZonePeriods[Code],Planner!B$9,ZonePeriods[FromUtc],"&lt;="&amp;$A27,ZonePeriods[UntilUtc],"&gt;"&amp;$A27)=1,ROUND(($A27+SUMIFS(ZonePeriods[OffsetHours],ZonePeriods[Code],Planner!B$9,ZonePeriods[FromUtc],"&lt;="&amp;$A27,ZonePeriods[UntilUtc],"&gt;"&amp;$A27)/24)*1440,0)/1440,NA())</f>
        <v>46289.416666666664</v>
      </c>
      <c r="C27" s="22">
        <f>IF(COUNTIFS(ZonePeriods[Code],Planner!C$9,ZonePeriods[FromUtc],"&lt;="&amp;$A27,ZonePeriods[UntilUtc],"&gt;"&amp;$A27)=1,ROUND(($A27+SUMIFS(ZonePeriods[OffsetHours],ZonePeriods[Code],Planner!C$9,ZonePeriods[FromUtc],"&lt;="&amp;$A27,ZonePeriods[UntilUtc],"&gt;"&amp;$A27)/24)*1440,0)/1440,NA())</f>
        <v>46289.354166666664</v>
      </c>
      <c r="D27" s="22">
        <f>IF(COUNTIFS(ZonePeriods[Code],Planner!D$9,ZonePeriods[FromUtc],"&lt;="&amp;$A27,ZonePeriods[UntilUtc],"&gt;"&amp;$A27)=1,ROUND(($A27+SUMIFS(ZonePeriods[OffsetHours],ZonePeriods[Code],Planner!D$9,ZonePeriods[FromUtc],"&lt;="&amp;$A27,ZonePeriods[UntilUtc],"&gt;"&amp;$A27)/24)*1440,0)/1440,NA())</f>
        <v>46289.25</v>
      </c>
      <c r="E27" s="22">
        <f>IF(COUNTIFS(ZonePeriods[Code],Planner!E$9,ZonePeriods[FromUtc],"&lt;="&amp;$A27,ZonePeriods[UntilUtc],"&gt;"&amp;$A27)=1,ROUND(($A27+SUMIFS(ZonePeriods[OffsetHours],ZonePeriods[Code],Planner!E$9,ZonePeriods[FromUtc],"&lt;="&amp;$A27,ZonePeriods[UntilUtc],"&gt;"&amp;$A27)/24)*1440,0)/1440,NA())</f>
        <v>46289.208333333336</v>
      </c>
      <c r="F27" s="22">
        <f>IF(COUNTIFS(ZonePeriods[Code],Planner!F$9,ZonePeriods[FromUtc],"&lt;="&amp;$A27,ZonePeriods[UntilUtc],"&gt;"&amp;$A27)=1,ROUND(($A27+SUMIFS(ZonePeriods[OffsetHours],ZonePeriods[Code],Planner!F$9,ZonePeriods[FromUtc],"&lt;="&amp;$A27,ZonePeriods[UntilUtc],"&gt;"&amp;$A27)/24)*1440,0)/1440,NA())</f>
        <v>46289.166666666664</v>
      </c>
      <c r="G27" s="22">
        <f>IF(COUNTIFS(ZonePeriods[Code],Planner!G$9,ZonePeriods[FromUtc],"&lt;="&amp;$A27,ZonePeriods[UntilUtc],"&gt;"&amp;$A27)=1,ROUND(($A27+SUMIFS(ZonePeriods[OffsetHours],ZonePeriods[Code],Planner!G$9,ZonePeriods[FromUtc],"&lt;="&amp;$A27,ZonePeriods[UntilUtc],"&gt;"&amp;$A27)/24)*1440,0)/1440,NA())</f>
        <v>46288.958333333336</v>
      </c>
      <c r="H27" s="22">
        <f>IF(COUNTIFS(ZonePeriods[Code],Planner!H$9,ZonePeriods[FromUtc],"&lt;="&amp;$A27,ZonePeriods[UntilUtc],"&gt;"&amp;$A27)=1,ROUND(($A27+SUMIFS(ZonePeriods[OffsetHours],ZonePeriods[Code],Planner!H$9,ZonePeriods[FromUtc],"&lt;="&amp;$A27,ZonePeriods[UntilUtc],"&gt;"&amp;$A27)/24)*1440,0)/1440,NA())</f>
        <v>46288.833333333336</v>
      </c>
      <c r="I27" s="1"/>
      <c r="J27" s="1">
        <f t="shared" si="0"/>
        <v>600</v>
      </c>
      <c r="K27" s="1">
        <f t="shared" si="1"/>
        <v>510</v>
      </c>
      <c r="L27" s="1">
        <f t="shared" si="2"/>
        <v>360</v>
      </c>
      <c r="M27" s="1">
        <f t="shared" si="3"/>
        <v>300</v>
      </c>
      <c r="N27" s="1">
        <f t="shared" si="4"/>
        <v>240</v>
      </c>
      <c r="O27" s="1">
        <f t="shared" si="5"/>
        <v>1380</v>
      </c>
      <c r="P27" s="1">
        <f t="shared" si="6"/>
        <v>1200</v>
      </c>
      <c r="Q27" s="1"/>
      <c r="R27" s="1">
        <f t="shared" si="7"/>
        <v>2</v>
      </c>
      <c r="S27" s="1">
        <f t="shared" si="8"/>
        <v>1</v>
      </c>
      <c r="T27" s="1">
        <f t="shared" si="9"/>
        <v>0</v>
      </c>
      <c r="U27" s="1">
        <f t="shared" si="10"/>
        <v>0</v>
      </c>
      <c r="V27" s="1">
        <f t="shared" si="11"/>
        <v>0</v>
      </c>
      <c r="W27" s="1">
        <f t="shared" si="12"/>
        <v>0</v>
      </c>
      <c r="X27" s="1">
        <f t="shared" si="13"/>
        <v>0</v>
      </c>
      <c r="Y27" s="1"/>
      <c r="Z27" s="1">
        <f>IF(Planner!B$10="Nessuno",0,COUNTIFS(HolidayDates[Calendar],Planner!B$10,HolidayDates[Local date],INT(B27),HolidayDates[Active 0/1],1)+COUNTIFS(ImportedHolidays[Calendar],Planner!B$10,ImportedHolidays[Date],INT(B27),ImportedHolidays[Active],1,ImportedHolidays[Kind],"HOLIDAY"))</f>
        <v>0</v>
      </c>
      <c r="AA27" s="1">
        <f>IF(Planner!C$10="Nessuno",0,COUNTIFS(HolidayDates[Calendar],Planner!C$10,HolidayDates[Local date],INT(C27),HolidayDates[Active 0/1],1)+COUNTIFS(ImportedHolidays[Calendar],Planner!C$10,ImportedHolidays[Date],INT(C27),ImportedHolidays[Active],1,ImportedHolidays[Kind],"HOLIDAY"))</f>
        <v>0</v>
      </c>
      <c r="AB27" s="1">
        <f>IF(Planner!D$10="Nessuno",0,COUNTIFS(HolidayDates[Calendar],Planner!D$10,HolidayDates[Local date],INT(D27),HolidayDates[Active 0/1],1)+COUNTIFS(ImportedHolidays[Calendar],Planner!D$10,ImportedHolidays[Date],INT(D27),ImportedHolidays[Active],1,ImportedHolidays[Kind],"HOLIDAY"))</f>
        <v>0</v>
      </c>
      <c r="AC27" s="1">
        <f>IF(Planner!E$10="Nessuno",0,COUNTIFS(HolidayDates[Calendar],Planner!E$10,HolidayDates[Local date],INT(E27),HolidayDates[Active 0/1],1)+COUNTIFS(ImportedHolidays[Calendar],Planner!E$10,ImportedHolidays[Date],INT(E27),ImportedHolidays[Active],1,ImportedHolidays[Kind],"HOLIDAY"))</f>
        <v>0</v>
      </c>
      <c r="AD27" s="1">
        <f>IF(Planner!F$10="Nessuno",0,COUNTIFS(HolidayDates[Calendar],Planner!F$10,HolidayDates[Local date],INT(F27),HolidayDates[Active 0/1],1)+COUNTIFS(ImportedHolidays[Calendar],Planner!F$10,ImportedHolidays[Date],INT(F27),ImportedHolidays[Active],1,ImportedHolidays[Kind],"HOLIDAY"))</f>
        <v>0</v>
      </c>
      <c r="AE27" s="1">
        <f>IF(Planner!G$10="Nessuno",0,COUNTIFS(HolidayDates[Calendar],Planner!G$10,HolidayDates[Local date],INT(G27),HolidayDates[Active 0/1],1)+COUNTIFS(ImportedHolidays[Calendar],Planner!G$10,ImportedHolidays[Date],INT(G27),ImportedHolidays[Active],1,ImportedHolidays[Kind],"HOLIDAY"))</f>
        <v>0</v>
      </c>
      <c r="AF27" s="1">
        <f>IF(Planner!H$10="Nessuno",0,COUNTIFS(HolidayDates[Calendar],Planner!H$10,HolidayDates[Local date],INT(H27),HolidayDates[Active 0/1],1)+COUNTIFS(ImportedHolidays[Calendar],Planner!H$10,ImportedHolidays[Date],INT(H27),ImportedHolidays[Active],1,ImportedHolidays[Kind],"HOLIDAY"))</f>
        <v>0</v>
      </c>
      <c r="AG27" s="1"/>
      <c r="AH27" s="1" t="b">
        <f>INDEX(Parametri!$G12:$M12,1,WEEKDAY(INT(B27),2))=1</f>
        <v>0</v>
      </c>
      <c r="AI27" s="1" t="b">
        <f>INDEX(Parametri!$G13:$M13,1,WEEKDAY(INT(C27),2))=1</f>
        <v>0</v>
      </c>
      <c r="AJ27" s="1" t="b">
        <f>INDEX(Parametri!$G14:$M14,1,WEEKDAY(INT(D27),2))=1</f>
        <v>0</v>
      </c>
      <c r="AK27" s="1" t="b">
        <f>INDEX(Parametri!$G15:$M15,1,WEEKDAY(INT(E27),2))=1</f>
        <v>0</v>
      </c>
      <c r="AL27" s="1" t="b">
        <f>INDEX(Parametri!$G16:$M16,1,WEEKDAY(INT(F27),2))=1</f>
        <v>0</v>
      </c>
      <c r="AM27" s="1" t="b">
        <f>INDEX(Parametri!$G17:$M17,1,WEEKDAY(INT(G27),2))=1</f>
        <v>0</v>
      </c>
      <c r="AN27" s="1" t="b">
        <f>INDEX(Parametri!$G18:$M18,1,WEEKDAY(INT(H27),2))=1</f>
        <v>0</v>
      </c>
      <c r="AO27">
        <f>COUNTIFS(PersonalExceptions[Colonna],1,PersonalExceptions[Dal],"&lt;="&amp;INT(B27),PersonalExceptions[Al],"&gt;="&amp;INT(B27),PersonalExceptions[Active 0/1],1,PersonalExceptions[Effetto],"Rest")</f>
        <v>0</v>
      </c>
      <c r="AP27">
        <f>COUNTIFS(PersonalExceptions[Colonna],2,PersonalExceptions[Dal],"&lt;="&amp;INT(C27),PersonalExceptions[Al],"&gt;="&amp;INT(C27),PersonalExceptions[Active 0/1],1,PersonalExceptions[Effetto],"Rest")</f>
        <v>0</v>
      </c>
      <c r="AQ27">
        <f>COUNTIFS(PersonalExceptions[Colonna],3,PersonalExceptions[Dal],"&lt;="&amp;INT(D27),PersonalExceptions[Al],"&gt;="&amp;INT(D27),PersonalExceptions[Active 0/1],1,PersonalExceptions[Effetto],"Rest")</f>
        <v>0</v>
      </c>
      <c r="AR27">
        <f>COUNTIFS(PersonalExceptions[Colonna],4,PersonalExceptions[Dal],"&lt;="&amp;INT(E27),PersonalExceptions[Al],"&gt;="&amp;INT(E27),PersonalExceptions[Active 0/1],1,PersonalExceptions[Effetto],"Rest")</f>
        <v>0</v>
      </c>
      <c r="AS27">
        <f>COUNTIFS(PersonalExceptions[Colonna],5,PersonalExceptions[Dal],"&lt;="&amp;INT(F27),PersonalExceptions[Al],"&gt;="&amp;INT(F27),PersonalExceptions[Active 0/1],1,PersonalExceptions[Effetto],"Rest")</f>
        <v>0</v>
      </c>
      <c r="AT27">
        <f>COUNTIFS(PersonalExceptions[Colonna],6,PersonalExceptions[Dal],"&lt;="&amp;INT(G27),PersonalExceptions[Al],"&gt;="&amp;INT(G27),PersonalExceptions[Active 0/1],1,PersonalExceptions[Effetto],"Rest")</f>
        <v>0</v>
      </c>
      <c r="AU27">
        <f>COUNTIFS(PersonalExceptions[Colonna],7,PersonalExceptions[Dal],"&lt;="&amp;INT(H27),PersonalExceptions[Al],"&gt;="&amp;INT(H27),PersonalExceptions[Active 0/1],1,PersonalExceptions[Effetto],"Rest")</f>
        <v>0</v>
      </c>
      <c r="AW27">
        <f>COUNTIFS(PersonalExceptions[Colonna],1,PersonalExceptions[Dal],"&lt;="&amp;INT(B27),PersonalExceptions[Al],"&gt;="&amp;INT(B27),PersonalExceptions[Active 0/1],1,PersonalExceptions[Effetto],"Activity")</f>
        <v>0</v>
      </c>
      <c r="AX27">
        <f>COUNTIFS(PersonalExceptions[Colonna],2,PersonalExceptions[Dal],"&lt;="&amp;INT(C27),PersonalExceptions[Al],"&gt;="&amp;INT(C27),PersonalExceptions[Active 0/1],1,PersonalExceptions[Effetto],"Activity")</f>
        <v>0</v>
      </c>
      <c r="AY27">
        <f>COUNTIFS(PersonalExceptions[Colonna],3,PersonalExceptions[Dal],"&lt;="&amp;INT(D27),PersonalExceptions[Al],"&gt;="&amp;INT(D27),PersonalExceptions[Active 0/1],1,PersonalExceptions[Effetto],"Activity")</f>
        <v>0</v>
      </c>
      <c r="AZ27">
        <f>COUNTIFS(PersonalExceptions[Colonna],4,PersonalExceptions[Dal],"&lt;="&amp;INT(E27),PersonalExceptions[Al],"&gt;="&amp;INT(E27),PersonalExceptions[Active 0/1],1,PersonalExceptions[Effetto],"Activity")</f>
        <v>0</v>
      </c>
      <c r="BA27">
        <f>COUNTIFS(PersonalExceptions[Colonna],5,PersonalExceptions[Dal],"&lt;="&amp;INT(F27),PersonalExceptions[Al],"&gt;="&amp;INT(F27),PersonalExceptions[Active 0/1],1,PersonalExceptions[Effetto],"Activity")</f>
        <v>0</v>
      </c>
      <c r="BB27">
        <f>COUNTIFS(PersonalExceptions[Colonna],6,PersonalExceptions[Dal],"&lt;="&amp;INT(G27),PersonalExceptions[Al],"&gt;="&amp;INT(G27),PersonalExceptions[Active 0/1],1,PersonalExceptions[Effetto],"Activity")</f>
        <v>0</v>
      </c>
      <c r="BC27">
        <f>COUNTIFS(PersonalExceptions[Colonna],7,PersonalExceptions[Dal],"&lt;="&amp;INT(H27),PersonalExceptions[Al],"&gt;="&amp;INT(H27),PersonalExceptions[Active 0/1],1,PersonalExceptions[Effetto],"Activity")</f>
        <v>0</v>
      </c>
      <c r="BE27">
        <f>IF(Planner!B$10="Nessuno",0,COUNTIFS(ImportedHolidays[Calendar],Planner!B$10,ImportedHolidays[Date],INT(B27),ImportedHolidays[Active],1,ImportedHolidays[Kind],"WORKDAY"))</f>
        <v>0</v>
      </c>
      <c r="BF27">
        <f>IF(Planner!C$10="Nessuno",0,COUNTIFS(ImportedHolidays[Calendar],Planner!C$10,ImportedHolidays[Date],INT(C27),ImportedHolidays[Active],1,ImportedHolidays[Kind],"WORKDAY"))</f>
        <v>0</v>
      </c>
      <c r="BG27">
        <f>IF(Planner!D$10="Nessuno",0,COUNTIFS(ImportedHolidays[Calendar],Planner!D$10,ImportedHolidays[Date],INT(D27),ImportedHolidays[Active],1,ImportedHolidays[Kind],"WORKDAY"))</f>
        <v>0</v>
      </c>
      <c r="BH27">
        <f>IF(Planner!E$10="Nessuno",0,COUNTIFS(ImportedHolidays[Calendar],Planner!E$10,ImportedHolidays[Date],INT(E27),ImportedHolidays[Active],1,ImportedHolidays[Kind],"WORKDAY"))</f>
        <v>0</v>
      </c>
      <c r="BI27">
        <f>IF(Planner!F$10="Nessuno",0,COUNTIFS(ImportedHolidays[Calendar],Planner!F$10,ImportedHolidays[Date],INT(F27),ImportedHolidays[Active],1,ImportedHolidays[Kind],"WORKDAY"))</f>
        <v>0</v>
      </c>
      <c r="BJ27">
        <f>IF(Planner!G$10="Nessuno",0,COUNTIFS(ImportedHolidays[Calendar],Planner!G$10,ImportedHolidays[Date],INT(G27),ImportedHolidays[Active],1,ImportedHolidays[Kind],"WORKDAY"))</f>
        <v>0</v>
      </c>
      <c r="BK27">
        <f>IF(Planner!H$10="Nessuno",0,COUNTIFS(ImportedHolidays[Calendar],Planner!H$10,ImportedHolidays[Date],INT(H27),ImportedHolidays[Active],1,ImportedHolidays[Kind],"WORKDAY"))</f>
        <v>0</v>
      </c>
      <c r="BM27">
        <f>IF(MOD(J27-B$11,1440)&lt;B$12,2,IF(OR(MOD(J27-B$11,1440)&lt;B$12+ROUND(Planner!$D$5*60,0),MOD(J27-B$11,1440)&gt;=1440-ROUND(Planner!$B$5*60,0)),1,0))</f>
        <v>2</v>
      </c>
      <c r="BN27">
        <f>IF(MOD(K27-C$11,1440)&lt;C$12,2,IF(OR(MOD(K27-C$11,1440)&lt;C$12+ROUND(Planner!$D$5*60,0),MOD(K27-C$11,1440)&gt;=1440-ROUND(Planner!$B$5*60,0)),1,0))</f>
        <v>1</v>
      </c>
      <c r="BO27">
        <f>IF(MOD(L27-D$11,1440)&lt;D$12,2,IF(OR(MOD(L27-D$11,1440)&lt;D$12+ROUND(Planner!$D$5*60,0),MOD(L27-D$11,1440)&gt;=1440-ROUND(Planner!$B$5*60,0)),1,0))</f>
        <v>0</v>
      </c>
      <c r="BP27">
        <f>IF(MOD(M27-E$11,1440)&lt;E$12,2,IF(OR(MOD(M27-E$11,1440)&lt;E$12+ROUND(Planner!$D$5*60,0),MOD(M27-E$11,1440)&gt;=1440-ROUND(Planner!$B$5*60,0)),1,0))</f>
        <v>0</v>
      </c>
      <c r="BQ27">
        <f>IF(MOD(N27-F$11,1440)&lt;F$12,2,IF(OR(MOD(N27-F$11,1440)&lt;F$12+ROUND(Planner!$D$5*60,0),MOD(N27-F$11,1440)&gt;=1440-ROUND(Planner!$B$5*60,0)),1,0))</f>
        <v>0</v>
      </c>
      <c r="BR27">
        <f>IF(MOD(O27-G$11,1440)&lt;G$12,2,IF(OR(MOD(O27-G$11,1440)&lt;G$12+ROUND(Planner!$D$5*60,0),MOD(O27-G$11,1440)&gt;=1440-ROUND(Planner!$B$5*60,0)),1,0))</f>
        <v>0</v>
      </c>
      <c r="BS27">
        <f>IF(MOD(P27-H$11,1440)&lt;H$12,2,IF(OR(MOD(P27-H$11,1440)&lt;H$12+ROUND(Planner!$D$5*60,0),MOD(P27-H$11,1440)&gt;=1440-ROUND(Planner!$B$5*60,0)),1,0))</f>
        <v>0</v>
      </c>
    </row>
    <row r="28" spans="1:71">
      <c r="A28" s="22">
        <f>ROUND(($B$6+11*60/1440)*1440,0)/1440</f>
        <v>46289.166666666664</v>
      </c>
      <c r="B28" s="22">
        <f>IF(COUNTIFS(ZonePeriods[Code],Planner!B$9,ZonePeriods[FromUtc],"&lt;="&amp;$A28,ZonePeriods[UntilUtc],"&gt;"&amp;$A28)=1,ROUND(($A28+SUMIFS(ZonePeriods[OffsetHours],ZonePeriods[Code],Planner!B$9,ZonePeriods[FromUtc],"&lt;="&amp;$A28,ZonePeriods[UntilUtc],"&gt;"&amp;$A28)/24)*1440,0)/1440,NA())</f>
        <v>46289.458333333336</v>
      </c>
      <c r="C28" s="22">
        <f>IF(COUNTIFS(ZonePeriods[Code],Planner!C$9,ZonePeriods[FromUtc],"&lt;="&amp;$A28,ZonePeriods[UntilUtc],"&gt;"&amp;$A28)=1,ROUND(($A28+SUMIFS(ZonePeriods[OffsetHours],ZonePeriods[Code],Planner!C$9,ZonePeriods[FromUtc],"&lt;="&amp;$A28,ZonePeriods[UntilUtc],"&gt;"&amp;$A28)/24)*1440,0)/1440,NA())</f>
        <v>46289.395833333336</v>
      </c>
      <c r="D28" s="22">
        <f>IF(COUNTIFS(ZonePeriods[Code],Planner!D$9,ZonePeriods[FromUtc],"&lt;="&amp;$A28,ZonePeriods[UntilUtc],"&gt;"&amp;$A28)=1,ROUND(($A28+SUMIFS(ZonePeriods[OffsetHours],ZonePeriods[Code],Planner!D$9,ZonePeriods[FromUtc],"&lt;="&amp;$A28,ZonePeriods[UntilUtc],"&gt;"&amp;$A28)/24)*1440,0)/1440,NA())</f>
        <v>46289.291666666664</v>
      </c>
      <c r="E28" s="22">
        <f>IF(COUNTIFS(ZonePeriods[Code],Planner!E$9,ZonePeriods[FromUtc],"&lt;="&amp;$A28,ZonePeriods[UntilUtc],"&gt;"&amp;$A28)=1,ROUND(($A28+SUMIFS(ZonePeriods[OffsetHours],ZonePeriods[Code],Planner!E$9,ZonePeriods[FromUtc],"&lt;="&amp;$A28,ZonePeriods[UntilUtc],"&gt;"&amp;$A28)/24)*1440,0)/1440,NA())</f>
        <v>46289.25</v>
      </c>
      <c r="F28" s="22">
        <f>IF(COUNTIFS(ZonePeriods[Code],Planner!F$9,ZonePeriods[FromUtc],"&lt;="&amp;$A28,ZonePeriods[UntilUtc],"&gt;"&amp;$A28)=1,ROUND(($A28+SUMIFS(ZonePeriods[OffsetHours],ZonePeriods[Code],Planner!F$9,ZonePeriods[FromUtc],"&lt;="&amp;$A28,ZonePeriods[UntilUtc],"&gt;"&amp;$A28)/24)*1440,0)/1440,NA())</f>
        <v>46289.208333333336</v>
      </c>
      <c r="G28" s="22">
        <f>IF(COUNTIFS(ZonePeriods[Code],Planner!G$9,ZonePeriods[FromUtc],"&lt;="&amp;$A28,ZonePeriods[UntilUtc],"&gt;"&amp;$A28)=1,ROUND(($A28+SUMIFS(ZonePeriods[OffsetHours],ZonePeriods[Code],Planner!G$9,ZonePeriods[FromUtc],"&lt;="&amp;$A28,ZonePeriods[UntilUtc],"&gt;"&amp;$A28)/24)*1440,0)/1440,NA())</f>
        <v>46289</v>
      </c>
      <c r="H28" s="22">
        <f>IF(COUNTIFS(ZonePeriods[Code],Planner!H$9,ZonePeriods[FromUtc],"&lt;="&amp;$A28,ZonePeriods[UntilUtc],"&gt;"&amp;$A28)=1,ROUND(($A28+SUMIFS(ZonePeriods[OffsetHours],ZonePeriods[Code],Planner!H$9,ZonePeriods[FromUtc],"&lt;="&amp;$A28,ZonePeriods[UntilUtc],"&gt;"&amp;$A28)/24)*1440,0)/1440,NA())</f>
        <v>46288.875</v>
      </c>
      <c r="I28" s="1"/>
      <c r="J28" s="1">
        <f t="shared" si="0"/>
        <v>660</v>
      </c>
      <c r="K28" s="1">
        <f t="shared" si="1"/>
        <v>570</v>
      </c>
      <c r="L28" s="1">
        <f t="shared" si="2"/>
        <v>420</v>
      </c>
      <c r="M28" s="1">
        <f t="shared" si="3"/>
        <v>360</v>
      </c>
      <c r="N28" s="1">
        <f t="shared" si="4"/>
        <v>300</v>
      </c>
      <c r="O28" s="1">
        <f t="shared" si="5"/>
        <v>0</v>
      </c>
      <c r="P28" s="1">
        <f t="shared" si="6"/>
        <v>1260</v>
      </c>
      <c r="Q28" s="1"/>
      <c r="R28" s="1">
        <f t="shared" si="7"/>
        <v>2</v>
      </c>
      <c r="S28" s="1">
        <f t="shared" si="8"/>
        <v>2</v>
      </c>
      <c r="T28" s="1">
        <f t="shared" si="9"/>
        <v>1</v>
      </c>
      <c r="U28" s="1">
        <f t="shared" si="10"/>
        <v>0</v>
      </c>
      <c r="V28" s="1">
        <f t="shared" si="11"/>
        <v>0</v>
      </c>
      <c r="W28" s="1">
        <f t="shared" si="12"/>
        <v>0</v>
      </c>
      <c r="X28" s="1">
        <f t="shared" si="13"/>
        <v>0</v>
      </c>
      <c r="Y28" s="1"/>
      <c r="Z28" s="1">
        <f>IF(Planner!B$10="Nessuno",0,COUNTIFS(HolidayDates[Calendar],Planner!B$10,HolidayDates[Local date],INT(B28),HolidayDates[Active 0/1],1)+COUNTIFS(ImportedHolidays[Calendar],Planner!B$10,ImportedHolidays[Date],INT(B28),ImportedHolidays[Active],1,ImportedHolidays[Kind],"HOLIDAY"))</f>
        <v>0</v>
      </c>
      <c r="AA28" s="1">
        <f>IF(Planner!C$10="Nessuno",0,COUNTIFS(HolidayDates[Calendar],Planner!C$10,HolidayDates[Local date],INT(C28),HolidayDates[Active 0/1],1)+COUNTIFS(ImportedHolidays[Calendar],Planner!C$10,ImportedHolidays[Date],INT(C28),ImportedHolidays[Active],1,ImportedHolidays[Kind],"HOLIDAY"))</f>
        <v>0</v>
      </c>
      <c r="AB28" s="1">
        <f>IF(Planner!D$10="Nessuno",0,COUNTIFS(HolidayDates[Calendar],Planner!D$10,HolidayDates[Local date],INT(D28),HolidayDates[Active 0/1],1)+COUNTIFS(ImportedHolidays[Calendar],Planner!D$10,ImportedHolidays[Date],INT(D28),ImportedHolidays[Active],1,ImportedHolidays[Kind],"HOLIDAY"))</f>
        <v>0</v>
      </c>
      <c r="AC28" s="1">
        <f>IF(Planner!E$10="Nessuno",0,COUNTIFS(HolidayDates[Calendar],Planner!E$10,HolidayDates[Local date],INT(E28),HolidayDates[Active 0/1],1)+COUNTIFS(ImportedHolidays[Calendar],Planner!E$10,ImportedHolidays[Date],INT(E28),ImportedHolidays[Active],1,ImportedHolidays[Kind],"HOLIDAY"))</f>
        <v>0</v>
      </c>
      <c r="AD28" s="1">
        <f>IF(Planner!F$10="Nessuno",0,COUNTIFS(HolidayDates[Calendar],Planner!F$10,HolidayDates[Local date],INT(F28),HolidayDates[Active 0/1],1)+COUNTIFS(ImportedHolidays[Calendar],Planner!F$10,ImportedHolidays[Date],INT(F28),ImportedHolidays[Active],1,ImportedHolidays[Kind],"HOLIDAY"))</f>
        <v>0</v>
      </c>
      <c r="AE28" s="1">
        <f>IF(Planner!G$10="Nessuno",0,COUNTIFS(HolidayDates[Calendar],Planner!G$10,HolidayDates[Local date],INT(G28),HolidayDates[Active 0/1],1)+COUNTIFS(ImportedHolidays[Calendar],Planner!G$10,ImportedHolidays[Date],INT(G28),ImportedHolidays[Active],1,ImportedHolidays[Kind],"HOLIDAY"))</f>
        <v>0</v>
      </c>
      <c r="AF28" s="1">
        <f>IF(Planner!H$10="Nessuno",0,COUNTIFS(HolidayDates[Calendar],Planner!H$10,HolidayDates[Local date],INT(H28),HolidayDates[Active 0/1],1)+COUNTIFS(ImportedHolidays[Calendar],Planner!H$10,ImportedHolidays[Date],INT(H28),ImportedHolidays[Active],1,ImportedHolidays[Kind],"HOLIDAY"))</f>
        <v>0</v>
      </c>
      <c r="AG28" s="1"/>
      <c r="AH28" s="1" t="b">
        <f>INDEX(Parametri!$G12:$M12,1,WEEKDAY(INT(B28),2))=1</f>
        <v>0</v>
      </c>
      <c r="AI28" s="1" t="b">
        <f>INDEX(Parametri!$G13:$M13,1,WEEKDAY(INT(C28),2))=1</f>
        <v>0</v>
      </c>
      <c r="AJ28" s="1" t="b">
        <f>INDEX(Parametri!$G14:$M14,1,WEEKDAY(INT(D28),2))=1</f>
        <v>0</v>
      </c>
      <c r="AK28" s="1" t="b">
        <f>INDEX(Parametri!$G15:$M15,1,WEEKDAY(INT(E28),2))=1</f>
        <v>0</v>
      </c>
      <c r="AL28" s="1" t="b">
        <f>INDEX(Parametri!$G16:$M16,1,WEEKDAY(INT(F28),2))=1</f>
        <v>0</v>
      </c>
      <c r="AM28" s="1" t="b">
        <f>INDEX(Parametri!$G17:$M17,1,WEEKDAY(INT(G28),2))=1</f>
        <v>0</v>
      </c>
      <c r="AN28" s="1" t="b">
        <f>INDEX(Parametri!$G18:$M18,1,WEEKDAY(INT(H28),2))=1</f>
        <v>0</v>
      </c>
      <c r="AO28">
        <f>COUNTIFS(PersonalExceptions[Colonna],1,PersonalExceptions[Dal],"&lt;="&amp;INT(B28),PersonalExceptions[Al],"&gt;="&amp;INT(B28),PersonalExceptions[Active 0/1],1,PersonalExceptions[Effetto],"Rest")</f>
        <v>0</v>
      </c>
      <c r="AP28">
        <f>COUNTIFS(PersonalExceptions[Colonna],2,PersonalExceptions[Dal],"&lt;="&amp;INT(C28),PersonalExceptions[Al],"&gt;="&amp;INT(C28),PersonalExceptions[Active 0/1],1,PersonalExceptions[Effetto],"Rest")</f>
        <v>0</v>
      </c>
      <c r="AQ28">
        <f>COUNTIFS(PersonalExceptions[Colonna],3,PersonalExceptions[Dal],"&lt;="&amp;INT(D28),PersonalExceptions[Al],"&gt;="&amp;INT(D28),PersonalExceptions[Active 0/1],1,PersonalExceptions[Effetto],"Rest")</f>
        <v>0</v>
      </c>
      <c r="AR28">
        <f>COUNTIFS(PersonalExceptions[Colonna],4,PersonalExceptions[Dal],"&lt;="&amp;INT(E28),PersonalExceptions[Al],"&gt;="&amp;INT(E28),PersonalExceptions[Active 0/1],1,PersonalExceptions[Effetto],"Rest")</f>
        <v>0</v>
      </c>
      <c r="AS28">
        <f>COUNTIFS(PersonalExceptions[Colonna],5,PersonalExceptions[Dal],"&lt;="&amp;INT(F28),PersonalExceptions[Al],"&gt;="&amp;INT(F28),PersonalExceptions[Active 0/1],1,PersonalExceptions[Effetto],"Rest")</f>
        <v>0</v>
      </c>
      <c r="AT28">
        <f>COUNTIFS(PersonalExceptions[Colonna],6,PersonalExceptions[Dal],"&lt;="&amp;INT(G28),PersonalExceptions[Al],"&gt;="&amp;INT(G28),PersonalExceptions[Active 0/1],1,PersonalExceptions[Effetto],"Rest")</f>
        <v>0</v>
      </c>
      <c r="AU28">
        <f>COUNTIFS(PersonalExceptions[Colonna],7,PersonalExceptions[Dal],"&lt;="&amp;INT(H28),PersonalExceptions[Al],"&gt;="&amp;INT(H28),PersonalExceptions[Active 0/1],1,PersonalExceptions[Effetto],"Rest")</f>
        <v>0</v>
      </c>
      <c r="AW28">
        <f>COUNTIFS(PersonalExceptions[Colonna],1,PersonalExceptions[Dal],"&lt;="&amp;INT(B28),PersonalExceptions[Al],"&gt;="&amp;INT(B28),PersonalExceptions[Active 0/1],1,PersonalExceptions[Effetto],"Activity")</f>
        <v>0</v>
      </c>
      <c r="AX28">
        <f>COUNTIFS(PersonalExceptions[Colonna],2,PersonalExceptions[Dal],"&lt;="&amp;INT(C28),PersonalExceptions[Al],"&gt;="&amp;INT(C28),PersonalExceptions[Active 0/1],1,PersonalExceptions[Effetto],"Activity")</f>
        <v>0</v>
      </c>
      <c r="AY28">
        <f>COUNTIFS(PersonalExceptions[Colonna],3,PersonalExceptions[Dal],"&lt;="&amp;INT(D28),PersonalExceptions[Al],"&gt;="&amp;INT(D28),PersonalExceptions[Active 0/1],1,PersonalExceptions[Effetto],"Activity")</f>
        <v>0</v>
      </c>
      <c r="AZ28">
        <f>COUNTIFS(PersonalExceptions[Colonna],4,PersonalExceptions[Dal],"&lt;="&amp;INT(E28),PersonalExceptions[Al],"&gt;="&amp;INT(E28),PersonalExceptions[Active 0/1],1,PersonalExceptions[Effetto],"Activity")</f>
        <v>0</v>
      </c>
      <c r="BA28">
        <f>COUNTIFS(PersonalExceptions[Colonna],5,PersonalExceptions[Dal],"&lt;="&amp;INT(F28),PersonalExceptions[Al],"&gt;="&amp;INT(F28),PersonalExceptions[Active 0/1],1,PersonalExceptions[Effetto],"Activity")</f>
        <v>0</v>
      </c>
      <c r="BB28">
        <f>COUNTIFS(PersonalExceptions[Colonna],6,PersonalExceptions[Dal],"&lt;="&amp;INT(G28),PersonalExceptions[Al],"&gt;="&amp;INT(G28),PersonalExceptions[Active 0/1],1,PersonalExceptions[Effetto],"Activity")</f>
        <v>0</v>
      </c>
      <c r="BC28">
        <f>COUNTIFS(PersonalExceptions[Colonna],7,PersonalExceptions[Dal],"&lt;="&amp;INT(H28),PersonalExceptions[Al],"&gt;="&amp;INT(H28),PersonalExceptions[Active 0/1],1,PersonalExceptions[Effetto],"Activity")</f>
        <v>0</v>
      </c>
      <c r="BE28">
        <f>IF(Planner!B$10="Nessuno",0,COUNTIFS(ImportedHolidays[Calendar],Planner!B$10,ImportedHolidays[Date],INT(B28),ImportedHolidays[Active],1,ImportedHolidays[Kind],"WORKDAY"))</f>
        <v>0</v>
      </c>
      <c r="BF28">
        <f>IF(Planner!C$10="Nessuno",0,COUNTIFS(ImportedHolidays[Calendar],Planner!C$10,ImportedHolidays[Date],INT(C28),ImportedHolidays[Active],1,ImportedHolidays[Kind],"WORKDAY"))</f>
        <v>0</v>
      </c>
      <c r="BG28">
        <f>IF(Planner!D$10="Nessuno",0,COUNTIFS(ImportedHolidays[Calendar],Planner!D$10,ImportedHolidays[Date],INT(D28),ImportedHolidays[Active],1,ImportedHolidays[Kind],"WORKDAY"))</f>
        <v>0</v>
      </c>
      <c r="BH28">
        <f>IF(Planner!E$10="Nessuno",0,COUNTIFS(ImportedHolidays[Calendar],Planner!E$10,ImportedHolidays[Date],INT(E28),ImportedHolidays[Active],1,ImportedHolidays[Kind],"WORKDAY"))</f>
        <v>0</v>
      </c>
      <c r="BI28">
        <f>IF(Planner!F$10="Nessuno",0,COUNTIFS(ImportedHolidays[Calendar],Planner!F$10,ImportedHolidays[Date],INT(F28),ImportedHolidays[Active],1,ImportedHolidays[Kind],"WORKDAY"))</f>
        <v>0</v>
      </c>
      <c r="BJ28">
        <f>IF(Planner!G$10="Nessuno",0,COUNTIFS(ImportedHolidays[Calendar],Planner!G$10,ImportedHolidays[Date],INT(G28),ImportedHolidays[Active],1,ImportedHolidays[Kind],"WORKDAY"))</f>
        <v>0</v>
      </c>
      <c r="BK28">
        <f>IF(Planner!H$10="Nessuno",0,COUNTIFS(ImportedHolidays[Calendar],Planner!H$10,ImportedHolidays[Date],INT(H28),ImportedHolidays[Active],1,ImportedHolidays[Kind],"WORKDAY"))</f>
        <v>0</v>
      </c>
      <c r="BM28">
        <f>IF(MOD(J28-B$11,1440)&lt;B$12,2,IF(OR(MOD(J28-B$11,1440)&lt;B$12+ROUND(Planner!$D$5*60,0),MOD(J28-B$11,1440)&gt;=1440-ROUND(Planner!$B$5*60,0)),1,0))</f>
        <v>2</v>
      </c>
      <c r="BN28">
        <f>IF(MOD(K28-C$11,1440)&lt;C$12,2,IF(OR(MOD(K28-C$11,1440)&lt;C$12+ROUND(Planner!$D$5*60,0),MOD(K28-C$11,1440)&gt;=1440-ROUND(Planner!$B$5*60,0)),1,0))</f>
        <v>2</v>
      </c>
      <c r="BO28">
        <f>IF(MOD(L28-D$11,1440)&lt;D$12,2,IF(OR(MOD(L28-D$11,1440)&lt;D$12+ROUND(Planner!$D$5*60,0),MOD(L28-D$11,1440)&gt;=1440-ROUND(Planner!$B$5*60,0)),1,0))</f>
        <v>1</v>
      </c>
      <c r="BP28">
        <f>IF(MOD(M28-E$11,1440)&lt;E$12,2,IF(OR(MOD(M28-E$11,1440)&lt;E$12+ROUND(Planner!$D$5*60,0),MOD(M28-E$11,1440)&gt;=1440-ROUND(Planner!$B$5*60,0)),1,0))</f>
        <v>0</v>
      </c>
      <c r="BQ28">
        <f>IF(MOD(N28-F$11,1440)&lt;F$12,2,IF(OR(MOD(N28-F$11,1440)&lt;F$12+ROUND(Planner!$D$5*60,0),MOD(N28-F$11,1440)&gt;=1440-ROUND(Planner!$B$5*60,0)),1,0))</f>
        <v>0</v>
      </c>
      <c r="BR28">
        <f>IF(MOD(O28-G$11,1440)&lt;G$12,2,IF(OR(MOD(O28-G$11,1440)&lt;G$12+ROUND(Planner!$D$5*60,0),MOD(O28-G$11,1440)&gt;=1440-ROUND(Planner!$B$5*60,0)),1,0))</f>
        <v>0</v>
      </c>
      <c r="BS28">
        <f>IF(MOD(P28-H$11,1440)&lt;H$12,2,IF(OR(MOD(P28-H$11,1440)&lt;H$12+ROUND(Planner!$D$5*60,0),MOD(P28-H$11,1440)&gt;=1440-ROUND(Planner!$B$5*60,0)),1,0))</f>
        <v>0</v>
      </c>
    </row>
    <row r="29" spans="1:71">
      <c r="A29" s="22">
        <f>ROUND(($B$6+12*60/1440)*1440,0)/1440</f>
        <v>46289.208333333336</v>
      </c>
      <c r="B29" s="22">
        <f>IF(COUNTIFS(ZonePeriods[Code],Planner!B$9,ZonePeriods[FromUtc],"&lt;="&amp;$A29,ZonePeriods[UntilUtc],"&gt;"&amp;$A29)=1,ROUND(($A29+SUMIFS(ZonePeriods[OffsetHours],ZonePeriods[Code],Planner!B$9,ZonePeriods[FromUtc],"&lt;="&amp;$A29,ZonePeriods[UntilUtc],"&gt;"&amp;$A29)/24)*1440,0)/1440,NA())</f>
        <v>46289.5</v>
      </c>
      <c r="C29" s="22">
        <f>IF(COUNTIFS(ZonePeriods[Code],Planner!C$9,ZonePeriods[FromUtc],"&lt;="&amp;$A29,ZonePeriods[UntilUtc],"&gt;"&amp;$A29)=1,ROUND(($A29+SUMIFS(ZonePeriods[OffsetHours],ZonePeriods[Code],Planner!C$9,ZonePeriods[FromUtc],"&lt;="&amp;$A29,ZonePeriods[UntilUtc],"&gt;"&amp;$A29)/24)*1440,0)/1440,NA())</f>
        <v>46289.4375</v>
      </c>
      <c r="D29" s="22">
        <f>IF(COUNTIFS(ZonePeriods[Code],Planner!D$9,ZonePeriods[FromUtc],"&lt;="&amp;$A29,ZonePeriods[UntilUtc],"&gt;"&amp;$A29)=1,ROUND(($A29+SUMIFS(ZonePeriods[OffsetHours],ZonePeriods[Code],Planner!D$9,ZonePeriods[FromUtc],"&lt;="&amp;$A29,ZonePeriods[UntilUtc],"&gt;"&amp;$A29)/24)*1440,0)/1440,NA())</f>
        <v>46289.333333333336</v>
      </c>
      <c r="E29" s="22">
        <f>IF(COUNTIFS(ZonePeriods[Code],Planner!E$9,ZonePeriods[FromUtc],"&lt;="&amp;$A29,ZonePeriods[UntilUtc],"&gt;"&amp;$A29)=1,ROUND(($A29+SUMIFS(ZonePeriods[OffsetHours],ZonePeriods[Code],Planner!E$9,ZonePeriods[FromUtc],"&lt;="&amp;$A29,ZonePeriods[UntilUtc],"&gt;"&amp;$A29)/24)*1440,0)/1440,NA())</f>
        <v>46289.291666666664</v>
      </c>
      <c r="F29" s="22">
        <f>IF(COUNTIFS(ZonePeriods[Code],Planner!F$9,ZonePeriods[FromUtc],"&lt;="&amp;$A29,ZonePeriods[UntilUtc],"&gt;"&amp;$A29)=1,ROUND(($A29+SUMIFS(ZonePeriods[OffsetHours],ZonePeriods[Code],Planner!F$9,ZonePeriods[FromUtc],"&lt;="&amp;$A29,ZonePeriods[UntilUtc],"&gt;"&amp;$A29)/24)*1440,0)/1440,NA())</f>
        <v>46289.25</v>
      </c>
      <c r="G29" s="22">
        <f>IF(COUNTIFS(ZonePeriods[Code],Planner!G$9,ZonePeriods[FromUtc],"&lt;="&amp;$A29,ZonePeriods[UntilUtc],"&gt;"&amp;$A29)=1,ROUND(($A29+SUMIFS(ZonePeriods[OffsetHours],ZonePeriods[Code],Planner!G$9,ZonePeriods[FromUtc],"&lt;="&amp;$A29,ZonePeriods[UntilUtc],"&gt;"&amp;$A29)/24)*1440,0)/1440,NA())</f>
        <v>46289.041666666664</v>
      </c>
      <c r="H29" s="22">
        <f>IF(COUNTIFS(ZonePeriods[Code],Planner!H$9,ZonePeriods[FromUtc],"&lt;="&amp;$A29,ZonePeriods[UntilUtc],"&gt;"&amp;$A29)=1,ROUND(($A29+SUMIFS(ZonePeriods[OffsetHours],ZonePeriods[Code],Planner!H$9,ZonePeriods[FromUtc],"&lt;="&amp;$A29,ZonePeriods[UntilUtc],"&gt;"&amp;$A29)/24)*1440,0)/1440,NA())</f>
        <v>46288.916666666664</v>
      </c>
      <c r="I29" s="1"/>
      <c r="J29" s="1">
        <f t="shared" si="0"/>
        <v>720</v>
      </c>
      <c r="K29" s="1">
        <f t="shared" si="1"/>
        <v>630</v>
      </c>
      <c r="L29" s="1">
        <f t="shared" si="2"/>
        <v>480</v>
      </c>
      <c r="M29" s="1">
        <f t="shared" si="3"/>
        <v>420</v>
      </c>
      <c r="N29" s="1">
        <f t="shared" si="4"/>
        <v>360</v>
      </c>
      <c r="O29" s="1">
        <f t="shared" si="5"/>
        <v>60</v>
      </c>
      <c r="P29" s="1">
        <f t="shared" si="6"/>
        <v>1320</v>
      </c>
      <c r="Q29" s="1"/>
      <c r="R29" s="1">
        <f t="shared" si="7"/>
        <v>2</v>
      </c>
      <c r="S29" s="1">
        <f t="shared" si="8"/>
        <v>2</v>
      </c>
      <c r="T29" s="1">
        <f t="shared" si="9"/>
        <v>1</v>
      </c>
      <c r="U29" s="1">
        <f t="shared" si="10"/>
        <v>1</v>
      </c>
      <c r="V29" s="1">
        <f t="shared" si="11"/>
        <v>0</v>
      </c>
      <c r="W29" s="1">
        <f t="shared" si="12"/>
        <v>0</v>
      </c>
      <c r="X29" s="1">
        <f t="shared" si="13"/>
        <v>0</v>
      </c>
      <c r="Y29" s="1"/>
      <c r="Z29" s="1">
        <f>IF(Planner!B$10="Nessuno",0,COUNTIFS(HolidayDates[Calendar],Planner!B$10,HolidayDates[Local date],INT(B29),HolidayDates[Active 0/1],1)+COUNTIFS(ImportedHolidays[Calendar],Planner!B$10,ImportedHolidays[Date],INT(B29),ImportedHolidays[Active],1,ImportedHolidays[Kind],"HOLIDAY"))</f>
        <v>0</v>
      </c>
      <c r="AA29" s="1">
        <f>IF(Planner!C$10="Nessuno",0,COUNTIFS(HolidayDates[Calendar],Planner!C$10,HolidayDates[Local date],INT(C29),HolidayDates[Active 0/1],1)+COUNTIFS(ImportedHolidays[Calendar],Planner!C$10,ImportedHolidays[Date],INT(C29),ImportedHolidays[Active],1,ImportedHolidays[Kind],"HOLIDAY"))</f>
        <v>0</v>
      </c>
      <c r="AB29" s="1">
        <f>IF(Planner!D$10="Nessuno",0,COUNTIFS(HolidayDates[Calendar],Planner!D$10,HolidayDates[Local date],INT(D29),HolidayDates[Active 0/1],1)+COUNTIFS(ImportedHolidays[Calendar],Planner!D$10,ImportedHolidays[Date],INT(D29),ImportedHolidays[Active],1,ImportedHolidays[Kind],"HOLIDAY"))</f>
        <v>0</v>
      </c>
      <c r="AC29" s="1">
        <f>IF(Planner!E$10="Nessuno",0,COUNTIFS(HolidayDates[Calendar],Planner!E$10,HolidayDates[Local date],INT(E29),HolidayDates[Active 0/1],1)+COUNTIFS(ImportedHolidays[Calendar],Planner!E$10,ImportedHolidays[Date],INT(E29),ImportedHolidays[Active],1,ImportedHolidays[Kind],"HOLIDAY"))</f>
        <v>0</v>
      </c>
      <c r="AD29" s="1">
        <f>IF(Planner!F$10="Nessuno",0,COUNTIFS(HolidayDates[Calendar],Planner!F$10,HolidayDates[Local date],INT(F29),HolidayDates[Active 0/1],1)+COUNTIFS(ImportedHolidays[Calendar],Planner!F$10,ImportedHolidays[Date],INT(F29),ImportedHolidays[Active],1,ImportedHolidays[Kind],"HOLIDAY"))</f>
        <v>0</v>
      </c>
      <c r="AE29" s="1">
        <f>IF(Planner!G$10="Nessuno",0,COUNTIFS(HolidayDates[Calendar],Planner!G$10,HolidayDates[Local date],INT(G29),HolidayDates[Active 0/1],1)+COUNTIFS(ImportedHolidays[Calendar],Planner!G$10,ImportedHolidays[Date],INT(G29),ImportedHolidays[Active],1,ImportedHolidays[Kind],"HOLIDAY"))</f>
        <v>0</v>
      </c>
      <c r="AF29" s="1">
        <f>IF(Planner!H$10="Nessuno",0,COUNTIFS(HolidayDates[Calendar],Planner!H$10,HolidayDates[Local date],INT(H29),HolidayDates[Active 0/1],1)+COUNTIFS(ImportedHolidays[Calendar],Planner!H$10,ImportedHolidays[Date],INT(H29),ImportedHolidays[Active],1,ImportedHolidays[Kind],"HOLIDAY"))</f>
        <v>0</v>
      </c>
      <c r="AG29" s="1"/>
      <c r="AH29" s="1" t="b">
        <f>INDEX(Parametri!$G12:$M12,1,WEEKDAY(INT(B29),2))=1</f>
        <v>0</v>
      </c>
      <c r="AI29" s="1" t="b">
        <f>INDEX(Parametri!$G13:$M13,1,WEEKDAY(INT(C29),2))=1</f>
        <v>0</v>
      </c>
      <c r="AJ29" s="1" t="b">
        <f>INDEX(Parametri!$G14:$M14,1,WEEKDAY(INT(D29),2))=1</f>
        <v>0</v>
      </c>
      <c r="AK29" s="1" t="b">
        <f>INDEX(Parametri!$G15:$M15,1,WEEKDAY(INT(E29),2))=1</f>
        <v>0</v>
      </c>
      <c r="AL29" s="1" t="b">
        <f>INDEX(Parametri!$G16:$M16,1,WEEKDAY(INT(F29),2))=1</f>
        <v>0</v>
      </c>
      <c r="AM29" s="1" t="b">
        <f>INDEX(Parametri!$G17:$M17,1,WEEKDAY(INT(G29),2))=1</f>
        <v>0</v>
      </c>
      <c r="AN29" s="1" t="b">
        <f>INDEX(Parametri!$G18:$M18,1,WEEKDAY(INT(H29),2))=1</f>
        <v>0</v>
      </c>
      <c r="AO29">
        <f>COUNTIFS(PersonalExceptions[Colonna],1,PersonalExceptions[Dal],"&lt;="&amp;INT(B29),PersonalExceptions[Al],"&gt;="&amp;INT(B29),PersonalExceptions[Active 0/1],1,PersonalExceptions[Effetto],"Rest")</f>
        <v>0</v>
      </c>
      <c r="AP29">
        <f>COUNTIFS(PersonalExceptions[Colonna],2,PersonalExceptions[Dal],"&lt;="&amp;INT(C29),PersonalExceptions[Al],"&gt;="&amp;INT(C29),PersonalExceptions[Active 0/1],1,PersonalExceptions[Effetto],"Rest")</f>
        <v>0</v>
      </c>
      <c r="AQ29">
        <f>COUNTIFS(PersonalExceptions[Colonna],3,PersonalExceptions[Dal],"&lt;="&amp;INT(D29),PersonalExceptions[Al],"&gt;="&amp;INT(D29),PersonalExceptions[Active 0/1],1,PersonalExceptions[Effetto],"Rest")</f>
        <v>0</v>
      </c>
      <c r="AR29">
        <f>COUNTIFS(PersonalExceptions[Colonna],4,PersonalExceptions[Dal],"&lt;="&amp;INT(E29),PersonalExceptions[Al],"&gt;="&amp;INT(E29),PersonalExceptions[Active 0/1],1,PersonalExceptions[Effetto],"Rest")</f>
        <v>0</v>
      </c>
      <c r="AS29">
        <f>COUNTIFS(PersonalExceptions[Colonna],5,PersonalExceptions[Dal],"&lt;="&amp;INT(F29),PersonalExceptions[Al],"&gt;="&amp;INT(F29),PersonalExceptions[Active 0/1],1,PersonalExceptions[Effetto],"Rest")</f>
        <v>0</v>
      </c>
      <c r="AT29">
        <f>COUNTIFS(PersonalExceptions[Colonna],6,PersonalExceptions[Dal],"&lt;="&amp;INT(G29),PersonalExceptions[Al],"&gt;="&amp;INT(G29),PersonalExceptions[Active 0/1],1,PersonalExceptions[Effetto],"Rest")</f>
        <v>0</v>
      </c>
      <c r="AU29">
        <f>COUNTIFS(PersonalExceptions[Colonna],7,PersonalExceptions[Dal],"&lt;="&amp;INT(H29),PersonalExceptions[Al],"&gt;="&amp;INT(H29),PersonalExceptions[Active 0/1],1,PersonalExceptions[Effetto],"Rest")</f>
        <v>0</v>
      </c>
      <c r="AW29">
        <f>COUNTIFS(PersonalExceptions[Colonna],1,PersonalExceptions[Dal],"&lt;="&amp;INT(B29),PersonalExceptions[Al],"&gt;="&amp;INT(B29),PersonalExceptions[Active 0/1],1,PersonalExceptions[Effetto],"Activity")</f>
        <v>0</v>
      </c>
      <c r="AX29">
        <f>COUNTIFS(PersonalExceptions[Colonna],2,PersonalExceptions[Dal],"&lt;="&amp;INT(C29),PersonalExceptions[Al],"&gt;="&amp;INT(C29),PersonalExceptions[Active 0/1],1,PersonalExceptions[Effetto],"Activity")</f>
        <v>0</v>
      </c>
      <c r="AY29">
        <f>COUNTIFS(PersonalExceptions[Colonna],3,PersonalExceptions[Dal],"&lt;="&amp;INT(D29),PersonalExceptions[Al],"&gt;="&amp;INT(D29),PersonalExceptions[Active 0/1],1,PersonalExceptions[Effetto],"Activity")</f>
        <v>0</v>
      </c>
      <c r="AZ29">
        <f>COUNTIFS(PersonalExceptions[Colonna],4,PersonalExceptions[Dal],"&lt;="&amp;INT(E29),PersonalExceptions[Al],"&gt;="&amp;INT(E29),PersonalExceptions[Active 0/1],1,PersonalExceptions[Effetto],"Activity")</f>
        <v>0</v>
      </c>
      <c r="BA29">
        <f>COUNTIFS(PersonalExceptions[Colonna],5,PersonalExceptions[Dal],"&lt;="&amp;INT(F29),PersonalExceptions[Al],"&gt;="&amp;INT(F29),PersonalExceptions[Active 0/1],1,PersonalExceptions[Effetto],"Activity")</f>
        <v>0</v>
      </c>
      <c r="BB29">
        <f>COUNTIFS(PersonalExceptions[Colonna],6,PersonalExceptions[Dal],"&lt;="&amp;INT(G29),PersonalExceptions[Al],"&gt;="&amp;INT(G29),PersonalExceptions[Active 0/1],1,PersonalExceptions[Effetto],"Activity")</f>
        <v>0</v>
      </c>
      <c r="BC29">
        <f>COUNTIFS(PersonalExceptions[Colonna],7,PersonalExceptions[Dal],"&lt;="&amp;INT(H29),PersonalExceptions[Al],"&gt;="&amp;INT(H29),PersonalExceptions[Active 0/1],1,PersonalExceptions[Effetto],"Activity")</f>
        <v>0</v>
      </c>
      <c r="BE29">
        <f>IF(Planner!B$10="Nessuno",0,COUNTIFS(ImportedHolidays[Calendar],Planner!B$10,ImportedHolidays[Date],INT(B29),ImportedHolidays[Active],1,ImportedHolidays[Kind],"WORKDAY"))</f>
        <v>0</v>
      </c>
      <c r="BF29">
        <f>IF(Planner!C$10="Nessuno",0,COUNTIFS(ImportedHolidays[Calendar],Planner!C$10,ImportedHolidays[Date],INT(C29),ImportedHolidays[Active],1,ImportedHolidays[Kind],"WORKDAY"))</f>
        <v>0</v>
      </c>
      <c r="BG29">
        <f>IF(Planner!D$10="Nessuno",0,COUNTIFS(ImportedHolidays[Calendar],Planner!D$10,ImportedHolidays[Date],INT(D29),ImportedHolidays[Active],1,ImportedHolidays[Kind],"WORKDAY"))</f>
        <v>0</v>
      </c>
      <c r="BH29">
        <f>IF(Planner!E$10="Nessuno",0,COUNTIFS(ImportedHolidays[Calendar],Planner!E$10,ImportedHolidays[Date],INT(E29),ImportedHolidays[Active],1,ImportedHolidays[Kind],"WORKDAY"))</f>
        <v>0</v>
      </c>
      <c r="BI29">
        <f>IF(Planner!F$10="Nessuno",0,COUNTIFS(ImportedHolidays[Calendar],Planner!F$10,ImportedHolidays[Date],INT(F29),ImportedHolidays[Active],1,ImportedHolidays[Kind],"WORKDAY"))</f>
        <v>0</v>
      </c>
      <c r="BJ29">
        <f>IF(Planner!G$10="Nessuno",0,COUNTIFS(ImportedHolidays[Calendar],Planner!G$10,ImportedHolidays[Date],INT(G29),ImportedHolidays[Active],1,ImportedHolidays[Kind],"WORKDAY"))</f>
        <v>0</v>
      </c>
      <c r="BK29">
        <f>IF(Planner!H$10="Nessuno",0,COUNTIFS(ImportedHolidays[Calendar],Planner!H$10,ImportedHolidays[Date],INT(H29),ImportedHolidays[Active],1,ImportedHolidays[Kind],"WORKDAY"))</f>
        <v>0</v>
      </c>
      <c r="BM29">
        <f>IF(MOD(J29-B$11,1440)&lt;B$12,2,IF(OR(MOD(J29-B$11,1440)&lt;B$12+ROUND(Planner!$D$5*60,0),MOD(J29-B$11,1440)&gt;=1440-ROUND(Planner!$B$5*60,0)),1,0))</f>
        <v>2</v>
      </c>
      <c r="BN29">
        <f>IF(MOD(K29-C$11,1440)&lt;C$12,2,IF(OR(MOD(K29-C$11,1440)&lt;C$12+ROUND(Planner!$D$5*60,0),MOD(K29-C$11,1440)&gt;=1440-ROUND(Planner!$B$5*60,0)),1,0))</f>
        <v>2</v>
      </c>
      <c r="BO29">
        <f>IF(MOD(L29-D$11,1440)&lt;D$12,2,IF(OR(MOD(L29-D$11,1440)&lt;D$12+ROUND(Planner!$D$5*60,0),MOD(L29-D$11,1440)&gt;=1440-ROUND(Planner!$B$5*60,0)),1,0))</f>
        <v>1</v>
      </c>
      <c r="BP29">
        <f>IF(MOD(M29-E$11,1440)&lt;E$12,2,IF(OR(MOD(M29-E$11,1440)&lt;E$12+ROUND(Planner!$D$5*60,0),MOD(M29-E$11,1440)&gt;=1440-ROUND(Planner!$B$5*60,0)),1,0))</f>
        <v>1</v>
      </c>
      <c r="BQ29">
        <f>IF(MOD(N29-F$11,1440)&lt;F$12,2,IF(OR(MOD(N29-F$11,1440)&lt;F$12+ROUND(Planner!$D$5*60,0),MOD(N29-F$11,1440)&gt;=1440-ROUND(Planner!$B$5*60,0)),1,0))</f>
        <v>0</v>
      </c>
      <c r="BR29">
        <f>IF(MOD(O29-G$11,1440)&lt;G$12,2,IF(OR(MOD(O29-G$11,1440)&lt;G$12+ROUND(Planner!$D$5*60,0),MOD(O29-G$11,1440)&gt;=1440-ROUND(Planner!$B$5*60,0)),1,0))</f>
        <v>0</v>
      </c>
      <c r="BS29">
        <f>IF(MOD(P29-H$11,1440)&lt;H$12,2,IF(OR(MOD(P29-H$11,1440)&lt;H$12+ROUND(Planner!$D$5*60,0),MOD(P29-H$11,1440)&gt;=1440-ROUND(Planner!$B$5*60,0)),1,0))</f>
        <v>0</v>
      </c>
    </row>
    <row r="30" spans="1:71">
      <c r="A30" s="22">
        <f>ROUND(($B$6+13*60/1440)*1440,0)/1440</f>
        <v>46289.25</v>
      </c>
      <c r="B30" s="22">
        <f>IF(COUNTIFS(ZonePeriods[Code],Planner!B$9,ZonePeriods[FromUtc],"&lt;="&amp;$A30,ZonePeriods[UntilUtc],"&gt;"&amp;$A30)=1,ROUND(($A30+SUMIFS(ZonePeriods[OffsetHours],ZonePeriods[Code],Planner!B$9,ZonePeriods[FromUtc],"&lt;="&amp;$A30,ZonePeriods[UntilUtc],"&gt;"&amp;$A30)/24)*1440,0)/1440,NA())</f>
        <v>46289.541666666664</v>
      </c>
      <c r="C30" s="22">
        <f>IF(COUNTIFS(ZonePeriods[Code],Planner!C$9,ZonePeriods[FromUtc],"&lt;="&amp;$A30,ZonePeriods[UntilUtc],"&gt;"&amp;$A30)=1,ROUND(($A30+SUMIFS(ZonePeriods[OffsetHours],ZonePeriods[Code],Planner!C$9,ZonePeriods[FromUtc],"&lt;="&amp;$A30,ZonePeriods[UntilUtc],"&gt;"&amp;$A30)/24)*1440,0)/1440,NA())</f>
        <v>46289.479166666664</v>
      </c>
      <c r="D30" s="22">
        <f>IF(COUNTIFS(ZonePeriods[Code],Planner!D$9,ZonePeriods[FromUtc],"&lt;="&amp;$A30,ZonePeriods[UntilUtc],"&gt;"&amp;$A30)=1,ROUND(($A30+SUMIFS(ZonePeriods[OffsetHours],ZonePeriods[Code],Planner!D$9,ZonePeriods[FromUtc],"&lt;="&amp;$A30,ZonePeriods[UntilUtc],"&gt;"&amp;$A30)/24)*1440,0)/1440,NA())</f>
        <v>46289.375</v>
      </c>
      <c r="E30" s="22">
        <f>IF(COUNTIFS(ZonePeriods[Code],Planner!E$9,ZonePeriods[FromUtc],"&lt;="&amp;$A30,ZonePeriods[UntilUtc],"&gt;"&amp;$A30)=1,ROUND(($A30+SUMIFS(ZonePeriods[OffsetHours],ZonePeriods[Code],Planner!E$9,ZonePeriods[FromUtc],"&lt;="&amp;$A30,ZonePeriods[UntilUtc],"&gt;"&amp;$A30)/24)*1440,0)/1440,NA())</f>
        <v>46289.333333333336</v>
      </c>
      <c r="F30" s="22">
        <f>IF(COUNTIFS(ZonePeriods[Code],Planner!F$9,ZonePeriods[FromUtc],"&lt;="&amp;$A30,ZonePeriods[UntilUtc],"&gt;"&amp;$A30)=1,ROUND(($A30+SUMIFS(ZonePeriods[OffsetHours],ZonePeriods[Code],Planner!F$9,ZonePeriods[FromUtc],"&lt;="&amp;$A30,ZonePeriods[UntilUtc],"&gt;"&amp;$A30)/24)*1440,0)/1440,NA())</f>
        <v>46289.291666666664</v>
      </c>
      <c r="G30" s="22">
        <f>IF(COUNTIFS(ZonePeriods[Code],Planner!G$9,ZonePeriods[FromUtc],"&lt;="&amp;$A30,ZonePeriods[UntilUtc],"&gt;"&amp;$A30)=1,ROUND(($A30+SUMIFS(ZonePeriods[OffsetHours],ZonePeriods[Code],Planner!G$9,ZonePeriods[FromUtc],"&lt;="&amp;$A30,ZonePeriods[UntilUtc],"&gt;"&amp;$A30)/24)*1440,0)/1440,NA())</f>
        <v>46289.083333333336</v>
      </c>
      <c r="H30" s="22">
        <f>IF(COUNTIFS(ZonePeriods[Code],Planner!H$9,ZonePeriods[FromUtc],"&lt;="&amp;$A30,ZonePeriods[UntilUtc],"&gt;"&amp;$A30)=1,ROUND(($A30+SUMIFS(ZonePeriods[OffsetHours],ZonePeriods[Code],Planner!H$9,ZonePeriods[FromUtc],"&lt;="&amp;$A30,ZonePeriods[UntilUtc],"&gt;"&amp;$A30)/24)*1440,0)/1440,NA())</f>
        <v>46288.958333333336</v>
      </c>
      <c r="I30" s="1"/>
      <c r="J30" s="1">
        <f t="shared" si="0"/>
        <v>780</v>
      </c>
      <c r="K30" s="1">
        <f t="shared" si="1"/>
        <v>690</v>
      </c>
      <c r="L30" s="1">
        <f t="shared" si="2"/>
        <v>540</v>
      </c>
      <c r="M30" s="1">
        <f t="shared" si="3"/>
        <v>480</v>
      </c>
      <c r="N30" s="1">
        <f t="shared" si="4"/>
        <v>420</v>
      </c>
      <c r="O30" s="1">
        <f t="shared" si="5"/>
        <v>120</v>
      </c>
      <c r="P30" s="1">
        <f t="shared" si="6"/>
        <v>1380</v>
      </c>
      <c r="Q30" s="1"/>
      <c r="R30" s="1">
        <f t="shared" si="7"/>
        <v>2</v>
      </c>
      <c r="S30" s="1">
        <f t="shared" si="8"/>
        <v>2</v>
      </c>
      <c r="T30" s="1">
        <f t="shared" si="9"/>
        <v>2</v>
      </c>
      <c r="U30" s="1">
        <f t="shared" si="10"/>
        <v>1</v>
      </c>
      <c r="V30" s="1">
        <f t="shared" si="11"/>
        <v>1</v>
      </c>
      <c r="W30" s="1">
        <f t="shared" si="12"/>
        <v>0</v>
      </c>
      <c r="X30" s="1">
        <f t="shared" si="13"/>
        <v>0</v>
      </c>
      <c r="Y30" s="1"/>
      <c r="Z30" s="1">
        <f>IF(Planner!B$10="Nessuno",0,COUNTIFS(HolidayDates[Calendar],Planner!B$10,HolidayDates[Local date],INT(B30),HolidayDates[Active 0/1],1)+COUNTIFS(ImportedHolidays[Calendar],Planner!B$10,ImportedHolidays[Date],INT(B30),ImportedHolidays[Active],1,ImportedHolidays[Kind],"HOLIDAY"))</f>
        <v>0</v>
      </c>
      <c r="AA30" s="1">
        <f>IF(Planner!C$10="Nessuno",0,COUNTIFS(HolidayDates[Calendar],Planner!C$10,HolidayDates[Local date],INT(C30),HolidayDates[Active 0/1],1)+COUNTIFS(ImportedHolidays[Calendar],Planner!C$10,ImportedHolidays[Date],INT(C30),ImportedHolidays[Active],1,ImportedHolidays[Kind],"HOLIDAY"))</f>
        <v>0</v>
      </c>
      <c r="AB30" s="1">
        <f>IF(Planner!D$10="Nessuno",0,COUNTIFS(HolidayDates[Calendar],Planner!D$10,HolidayDates[Local date],INT(D30),HolidayDates[Active 0/1],1)+COUNTIFS(ImportedHolidays[Calendar],Planner!D$10,ImportedHolidays[Date],INT(D30),ImportedHolidays[Active],1,ImportedHolidays[Kind],"HOLIDAY"))</f>
        <v>0</v>
      </c>
      <c r="AC30" s="1">
        <f>IF(Planner!E$10="Nessuno",0,COUNTIFS(HolidayDates[Calendar],Planner!E$10,HolidayDates[Local date],INT(E30),HolidayDates[Active 0/1],1)+COUNTIFS(ImportedHolidays[Calendar],Planner!E$10,ImportedHolidays[Date],INT(E30),ImportedHolidays[Active],1,ImportedHolidays[Kind],"HOLIDAY"))</f>
        <v>0</v>
      </c>
      <c r="AD30" s="1">
        <f>IF(Planner!F$10="Nessuno",0,COUNTIFS(HolidayDates[Calendar],Planner!F$10,HolidayDates[Local date],INT(F30),HolidayDates[Active 0/1],1)+COUNTIFS(ImportedHolidays[Calendar],Planner!F$10,ImportedHolidays[Date],INT(F30),ImportedHolidays[Active],1,ImportedHolidays[Kind],"HOLIDAY"))</f>
        <v>0</v>
      </c>
      <c r="AE30" s="1">
        <f>IF(Planner!G$10="Nessuno",0,COUNTIFS(HolidayDates[Calendar],Planner!G$10,HolidayDates[Local date],INT(G30),HolidayDates[Active 0/1],1)+COUNTIFS(ImportedHolidays[Calendar],Planner!G$10,ImportedHolidays[Date],INT(G30),ImportedHolidays[Active],1,ImportedHolidays[Kind],"HOLIDAY"))</f>
        <v>0</v>
      </c>
      <c r="AF30" s="1">
        <f>IF(Planner!H$10="Nessuno",0,COUNTIFS(HolidayDates[Calendar],Planner!H$10,HolidayDates[Local date],INT(H30),HolidayDates[Active 0/1],1)+COUNTIFS(ImportedHolidays[Calendar],Planner!H$10,ImportedHolidays[Date],INT(H30),ImportedHolidays[Active],1,ImportedHolidays[Kind],"HOLIDAY"))</f>
        <v>0</v>
      </c>
      <c r="AG30" s="1"/>
      <c r="AH30" s="1" t="b">
        <f>INDEX(Parametri!$G12:$M12,1,WEEKDAY(INT(B30),2))=1</f>
        <v>0</v>
      </c>
      <c r="AI30" s="1" t="b">
        <f>INDEX(Parametri!$G13:$M13,1,WEEKDAY(INT(C30),2))=1</f>
        <v>0</v>
      </c>
      <c r="AJ30" s="1" t="b">
        <f>INDEX(Parametri!$G14:$M14,1,WEEKDAY(INT(D30),2))=1</f>
        <v>0</v>
      </c>
      <c r="AK30" s="1" t="b">
        <f>INDEX(Parametri!$G15:$M15,1,WEEKDAY(INT(E30),2))=1</f>
        <v>0</v>
      </c>
      <c r="AL30" s="1" t="b">
        <f>INDEX(Parametri!$G16:$M16,1,WEEKDAY(INT(F30),2))=1</f>
        <v>0</v>
      </c>
      <c r="AM30" s="1" t="b">
        <f>INDEX(Parametri!$G17:$M17,1,WEEKDAY(INT(G30),2))=1</f>
        <v>0</v>
      </c>
      <c r="AN30" s="1" t="b">
        <f>INDEX(Parametri!$G18:$M18,1,WEEKDAY(INT(H30),2))=1</f>
        <v>0</v>
      </c>
      <c r="AO30">
        <f>COUNTIFS(PersonalExceptions[Colonna],1,PersonalExceptions[Dal],"&lt;="&amp;INT(B30),PersonalExceptions[Al],"&gt;="&amp;INT(B30),PersonalExceptions[Active 0/1],1,PersonalExceptions[Effetto],"Rest")</f>
        <v>0</v>
      </c>
      <c r="AP30">
        <f>COUNTIFS(PersonalExceptions[Colonna],2,PersonalExceptions[Dal],"&lt;="&amp;INT(C30),PersonalExceptions[Al],"&gt;="&amp;INT(C30),PersonalExceptions[Active 0/1],1,PersonalExceptions[Effetto],"Rest")</f>
        <v>0</v>
      </c>
      <c r="AQ30">
        <f>COUNTIFS(PersonalExceptions[Colonna],3,PersonalExceptions[Dal],"&lt;="&amp;INT(D30),PersonalExceptions[Al],"&gt;="&amp;INT(D30),PersonalExceptions[Active 0/1],1,PersonalExceptions[Effetto],"Rest")</f>
        <v>0</v>
      </c>
      <c r="AR30">
        <f>COUNTIFS(PersonalExceptions[Colonna],4,PersonalExceptions[Dal],"&lt;="&amp;INT(E30),PersonalExceptions[Al],"&gt;="&amp;INT(E30),PersonalExceptions[Active 0/1],1,PersonalExceptions[Effetto],"Rest")</f>
        <v>0</v>
      </c>
      <c r="AS30">
        <f>COUNTIFS(PersonalExceptions[Colonna],5,PersonalExceptions[Dal],"&lt;="&amp;INT(F30),PersonalExceptions[Al],"&gt;="&amp;INT(F30),PersonalExceptions[Active 0/1],1,PersonalExceptions[Effetto],"Rest")</f>
        <v>0</v>
      </c>
      <c r="AT30">
        <f>COUNTIFS(PersonalExceptions[Colonna],6,PersonalExceptions[Dal],"&lt;="&amp;INT(G30),PersonalExceptions[Al],"&gt;="&amp;INT(G30),PersonalExceptions[Active 0/1],1,PersonalExceptions[Effetto],"Rest")</f>
        <v>0</v>
      </c>
      <c r="AU30">
        <f>COUNTIFS(PersonalExceptions[Colonna],7,PersonalExceptions[Dal],"&lt;="&amp;INT(H30),PersonalExceptions[Al],"&gt;="&amp;INT(H30),PersonalExceptions[Active 0/1],1,PersonalExceptions[Effetto],"Rest")</f>
        <v>0</v>
      </c>
      <c r="AW30">
        <f>COUNTIFS(PersonalExceptions[Colonna],1,PersonalExceptions[Dal],"&lt;="&amp;INT(B30),PersonalExceptions[Al],"&gt;="&amp;INT(B30),PersonalExceptions[Active 0/1],1,PersonalExceptions[Effetto],"Activity")</f>
        <v>0</v>
      </c>
      <c r="AX30">
        <f>COUNTIFS(PersonalExceptions[Colonna],2,PersonalExceptions[Dal],"&lt;="&amp;INT(C30),PersonalExceptions[Al],"&gt;="&amp;INT(C30),PersonalExceptions[Active 0/1],1,PersonalExceptions[Effetto],"Activity")</f>
        <v>0</v>
      </c>
      <c r="AY30">
        <f>COUNTIFS(PersonalExceptions[Colonna],3,PersonalExceptions[Dal],"&lt;="&amp;INT(D30),PersonalExceptions[Al],"&gt;="&amp;INT(D30),PersonalExceptions[Active 0/1],1,PersonalExceptions[Effetto],"Activity")</f>
        <v>0</v>
      </c>
      <c r="AZ30">
        <f>COUNTIFS(PersonalExceptions[Colonna],4,PersonalExceptions[Dal],"&lt;="&amp;INT(E30),PersonalExceptions[Al],"&gt;="&amp;INT(E30),PersonalExceptions[Active 0/1],1,PersonalExceptions[Effetto],"Activity")</f>
        <v>0</v>
      </c>
      <c r="BA30">
        <f>COUNTIFS(PersonalExceptions[Colonna],5,PersonalExceptions[Dal],"&lt;="&amp;INT(F30),PersonalExceptions[Al],"&gt;="&amp;INT(F30),PersonalExceptions[Active 0/1],1,PersonalExceptions[Effetto],"Activity")</f>
        <v>0</v>
      </c>
      <c r="BB30">
        <f>COUNTIFS(PersonalExceptions[Colonna],6,PersonalExceptions[Dal],"&lt;="&amp;INT(G30),PersonalExceptions[Al],"&gt;="&amp;INT(G30),PersonalExceptions[Active 0/1],1,PersonalExceptions[Effetto],"Activity")</f>
        <v>0</v>
      </c>
      <c r="BC30">
        <f>COUNTIFS(PersonalExceptions[Colonna],7,PersonalExceptions[Dal],"&lt;="&amp;INT(H30),PersonalExceptions[Al],"&gt;="&amp;INT(H30),PersonalExceptions[Active 0/1],1,PersonalExceptions[Effetto],"Activity")</f>
        <v>0</v>
      </c>
      <c r="BE30">
        <f>IF(Planner!B$10="Nessuno",0,COUNTIFS(ImportedHolidays[Calendar],Planner!B$10,ImportedHolidays[Date],INT(B30),ImportedHolidays[Active],1,ImportedHolidays[Kind],"WORKDAY"))</f>
        <v>0</v>
      </c>
      <c r="BF30">
        <f>IF(Planner!C$10="Nessuno",0,COUNTIFS(ImportedHolidays[Calendar],Planner!C$10,ImportedHolidays[Date],INT(C30),ImportedHolidays[Active],1,ImportedHolidays[Kind],"WORKDAY"))</f>
        <v>0</v>
      </c>
      <c r="BG30">
        <f>IF(Planner!D$10="Nessuno",0,COUNTIFS(ImportedHolidays[Calendar],Planner!D$10,ImportedHolidays[Date],INT(D30),ImportedHolidays[Active],1,ImportedHolidays[Kind],"WORKDAY"))</f>
        <v>0</v>
      </c>
      <c r="BH30">
        <f>IF(Planner!E$10="Nessuno",0,COUNTIFS(ImportedHolidays[Calendar],Planner!E$10,ImportedHolidays[Date],INT(E30),ImportedHolidays[Active],1,ImportedHolidays[Kind],"WORKDAY"))</f>
        <v>0</v>
      </c>
      <c r="BI30">
        <f>IF(Planner!F$10="Nessuno",0,COUNTIFS(ImportedHolidays[Calendar],Planner!F$10,ImportedHolidays[Date],INT(F30),ImportedHolidays[Active],1,ImportedHolidays[Kind],"WORKDAY"))</f>
        <v>0</v>
      </c>
      <c r="BJ30">
        <f>IF(Planner!G$10="Nessuno",0,COUNTIFS(ImportedHolidays[Calendar],Planner!G$10,ImportedHolidays[Date],INT(G30),ImportedHolidays[Active],1,ImportedHolidays[Kind],"WORKDAY"))</f>
        <v>0</v>
      </c>
      <c r="BK30">
        <f>IF(Planner!H$10="Nessuno",0,COUNTIFS(ImportedHolidays[Calendar],Planner!H$10,ImportedHolidays[Date],INT(H30),ImportedHolidays[Active],1,ImportedHolidays[Kind],"WORKDAY"))</f>
        <v>0</v>
      </c>
      <c r="BM30">
        <f>IF(MOD(J30-B$11,1440)&lt;B$12,2,IF(OR(MOD(J30-B$11,1440)&lt;B$12+ROUND(Planner!$D$5*60,0),MOD(J30-B$11,1440)&gt;=1440-ROUND(Planner!$B$5*60,0)),1,0))</f>
        <v>2</v>
      </c>
      <c r="BN30">
        <f>IF(MOD(K30-C$11,1440)&lt;C$12,2,IF(OR(MOD(K30-C$11,1440)&lt;C$12+ROUND(Planner!$D$5*60,0),MOD(K30-C$11,1440)&gt;=1440-ROUND(Planner!$B$5*60,0)),1,0))</f>
        <v>2</v>
      </c>
      <c r="BO30">
        <f>IF(MOD(L30-D$11,1440)&lt;D$12,2,IF(OR(MOD(L30-D$11,1440)&lt;D$12+ROUND(Planner!$D$5*60,0),MOD(L30-D$11,1440)&gt;=1440-ROUND(Planner!$B$5*60,0)),1,0))</f>
        <v>2</v>
      </c>
      <c r="BP30">
        <f>IF(MOD(M30-E$11,1440)&lt;E$12,2,IF(OR(MOD(M30-E$11,1440)&lt;E$12+ROUND(Planner!$D$5*60,0),MOD(M30-E$11,1440)&gt;=1440-ROUND(Planner!$B$5*60,0)),1,0))</f>
        <v>1</v>
      </c>
      <c r="BQ30">
        <f>IF(MOD(N30-F$11,1440)&lt;F$12,2,IF(OR(MOD(N30-F$11,1440)&lt;F$12+ROUND(Planner!$D$5*60,0),MOD(N30-F$11,1440)&gt;=1440-ROUND(Planner!$B$5*60,0)),1,0))</f>
        <v>1</v>
      </c>
      <c r="BR30">
        <f>IF(MOD(O30-G$11,1440)&lt;G$12,2,IF(OR(MOD(O30-G$11,1440)&lt;G$12+ROUND(Planner!$D$5*60,0),MOD(O30-G$11,1440)&gt;=1440-ROUND(Planner!$B$5*60,0)),1,0))</f>
        <v>0</v>
      </c>
      <c r="BS30">
        <f>IF(MOD(P30-H$11,1440)&lt;H$12,2,IF(OR(MOD(P30-H$11,1440)&lt;H$12+ROUND(Planner!$D$5*60,0),MOD(P30-H$11,1440)&gt;=1440-ROUND(Planner!$B$5*60,0)),1,0))</f>
        <v>0</v>
      </c>
    </row>
    <row r="31" spans="1:71">
      <c r="A31" s="22">
        <f>ROUND(($B$6+14*60/1440)*1440,0)/1440</f>
        <v>46289.291666666664</v>
      </c>
      <c r="B31" s="22">
        <f>IF(COUNTIFS(ZonePeriods[Code],Planner!B$9,ZonePeriods[FromUtc],"&lt;="&amp;$A31,ZonePeriods[UntilUtc],"&gt;"&amp;$A31)=1,ROUND(($A31+SUMIFS(ZonePeriods[OffsetHours],ZonePeriods[Code],Planner!B$9,ZonePeriods[FromUtc],"&lt;="&amp;$A31,ZonePeriods[UntilUtc],"&gt;"&amp;$A31)/24)*1440,0)/1440,NA())</f>
        <v>46289.583333333336</v>
      </c>
      <c r="C31" s="22">
        <f>IF(COUNTIFS(ZonePeriods[Code],Planner!C$9,ZonePeriods[FromUtc],"&lt;="&amp;$A31,ZonePeriods[UntilUtc],"&gt;"&amp;$A31)=1,ROUND(($A31+SUMIFS(ZonePeriods[OffsetHours],ZonePeriods[Code],Planner!C$9,ZonePeriods[FromUtc],"&lt;="&amp;$A31,ZonePeriods[UntilUtc],"&gt;"&amp;$A31)/24)*1440,0)/1440,NA())</f>
        <v>46289.520833333336</v>
      </c>
      <c r="D31" s="22">
        <f>IF(COUNTIFS(ZonePeriods[Code],Planner!D$9,ZonePeriods[FromUtc],"&lt;="&amp;$A31,ZonePeriods[UntilUtc],"&gt;"&amp;$A31)=1,ROUND(($A31+SUMIFS(ZonePeriods[OffsetHours],ZonePeriods[Code],Planner!D$9,ZonePeriods[FromUtc],"&lt;="&amp;$A31,ZonePeriods[UntilUtc],"&gt;"&amp;$A31)/24)*1440,0)/1440,NA())</f>
        <v>46289.416666666664</v>
      </c>
      <c r="E31" s="22">
        <f>IF(COUNTIFS(ZonePeriods[Code],Planner!E$9,ZonePeriods[FromUtc],"&lt;="&amp;$A31,ZonePeriods[UntilUtc],"&gt;"&amp;$A31)=1,ROUND(($A31+SUMIFS(ZonePeriods[OffsetHours],ZonePeriods[Code],Planner!E$9,ZonePeriods[FromUtc],"&lt;="&amp;$A31,ZonePeriods[UntilUtc],"&gt;"&amp;$A31)/24)*1440,0)/1440,NA())</f>
        <v>46289.375</v>
      </c>
      <c r="F31" s="22">
        <f>IF(COUNTIFS(ZonePeriods[Code],Planner!F$9,ZonePeriods[FromUtc],"&lt;="&amp;$A31,ZonePeriods[UntilUtc],"&gt;"&amp;$A31)=1,ROUND(($A31+SUMIFS(ZonePeriods[OffsetHours],ZonePeriods[Code],Planner!F$9,ZonePeriods[FromUtc],"&lt;="&amp;$A31,ZonePeriods[UntilUtc],"&gt;"&amp;$A31)/24)*1440,0)/1440,NA())</f>
        <v>46289.333333333336</v>
      </c>
      <c r="G31" s="22">
        <f>IF(COUNTIFS(ZonePeriods[Code],Planner!G$9,ZonePeriods[FromUtc],"&lt;="&amp;$A31,ZonePeriods[UntilUtc],"&gt;"&amp;$A31)=1,ROUND(($A31+SUMIFS(ZonePeriods[OffsetHours],ZonePeriods[Code],Planner!G$9,ZonePeriods[FromUtc],"&lt;="&amp;$A31,ZonePeriods[UntilUtc],"&gt;"&amp;$A31)/24)*1440,0)/1440,NA())</f>
        <v>46289.125</v>
      </c>
      <c r="H31" s="22">
        <f>IF(COUNTIFS(ZonePeriods[Code],Planner!H$9,ZonePeriods[FromUtc],"&lt;="&amp;$A31,ZonePeriods[UntilUtc],"&gt;"&amp;$A31)=1,ROUND(($A31+SUMIFS(ZonePeriods[OffsetHours],ZonePeriods[Code],Planner!H$9,ZonePeriods[FromUtc],"&lt;="&amp;$A31,ZonePeriods[UntilUtc],"&gt;"&amp;$A31)/24)*1440,0)/1440,NA())</f>
        <v>46289</v>
      </c>
      <c r="I31" s="1"/>
      <c r="J31" s="1">
        <f t="shared" si="0"/>
        <v>840</v>
      </c>
      <c r="K31" s="1">
        <f t="shared" si="1"/>
        <v>750</v>
      </c>
      <c r="L31" s="1">
        <f t="shared" si="2"/>
        <v>600</v>
      </c>
      <c r="M31" s="1">
        <f t="shared" si="3"/>
        <v>540</v>
      </c>
      <c r="N31" s="1">
        <f t="shared" si="4"/>
        <v>480</v>
      </c>
      <c r="O31" s="1">
        <f t="shared" si="5"/>
        <v>180</v>
      </c>
      <c r="P31" s="1">
        <f t="shared" si="6"/>
        <v>0</v>
      </c>
      <c r="Q31" s="1"/>
      <c r="R31" s="1">
        <f t="shared" si="7"/>
        <v>2</v>
      </c>
      <c r="S31" s="1">
        <f t="shared" si="8"/>
        <v>2</v>
      </c>
      <c r="T31" s="1">
        <f t="shared" si="9"/>
        <v>2</v>
      </c>
      <c r="U31" s="1">
        <f t="shared" si="10"/>
        <v>2</v>
      </c>
      <c r="V31" s="1">
        <f t="shared" si="11"/>
        <v>1</v>
      </c>
      <c r="W31" s="1">
        <f t="shared" si="12"/>
        <v>0</v>
      </c>
      <c r="X31" s="1">
        <f t="shared" si="13"/>
        <v>0</v>
      </c>
      <c r="Y31" s="1"/>
      <c r="Z31" s="1">
        <f>IF(Planner!B$10="Nessuno",0,COUNTIFS(HolidayDates[Calendar],Planner!B$10,HolidayDates[Local date],INT(B31),HolidayDates[Active 0/1],1)+COUNTIFS(ImportedHolidays[Calendar],Planner!B$10,ImportedHolidays[Date],INT(B31),ImportedHolidays[Active],1,ImportedHolidays[Kind],"HOLIDAY"))</f>
        <v>0</v>
      </c>
      <c r="AA31" s="1">
        <f>IF(Planner!C$10="Nessuno",0,COUNTIFS(HolidayDates[Calendar],Planner!C$10,HolidayDates[Local date],INT(C31),HolidayDates[Active 0/1],1)+COUNTIFS(ImportedHolidays[Calendar],Planner!C$10,ImportedHolidays[Date],INT(C31),ImportedHolidays[Active],1,ImportedHolidays[Kind],"HOLIDAY"))</f>
        <v>0</v>
      </c>
      <c r="AB31" s="1">
        <f>IF(Planner!D$10="Nessuno",0,COUNTIFS(HolidayDates[Calendar],Planner!D$10,HolidayDates[Local date],INT(D31),HolidayDates[Active 0/1],1)+COUNTIFS(ImportedHolidays[Calendar],Planner!D$10,ImportedHolidays[Date],INT(D31),ImportedHolidays[Active],1,ImportedHolidays[Kind],"HOLIDAY"))</f>
        <v>0</v>
      </c>
      <c r="AC31" s="1">
        <f>IF(Planner!E$10="Nessuno",0,COUNTIFS(HolidayDates[Calendar],Planner!E$10,HolidayDates[Local date],INT(E31),HolidayDates[Active 0/1],1)+COUNTIFS(ImportedHolidays[Calendar],Planner!E$10,ImportedHolidays[Date],INT(E31),ImportedHolidays[Active],1,ImportedHolidays[Kind],"HOLIDAY"))</f>
        <v>0</v>
      </c>
      <c r="AD31" s="1">
        <f>IF(Planner!F$10="Nessuno",0,COUNTIFS(HolidayDates[Calendar],Planner!F$10,HolidayDates[Local date],INT(F31),HolidayDates[Active 0/1],1)+COUNTIFS(ImportedHolidays[Calendar],Planner!F$10,ImportedHolidays[Date],INT(F31),ImportedHolidays[Active],1,ImportedHolidays[Kind],"HOLIDAY"))</f>
        <v>0</v>
      </c>
      <c r="AE31" s="1">
        <f>IF(Planner!G$10="Nessuno",0,COUNTIFS(HolidayDates[Calendar],Planner!G$10,HolidayDates[Local date],INT(G31),HolidayDates[Active 0/1],1)+COUNTIFS(ImportedHolidays[Calendar],Planner!G$10,ImportedHolidays[Date],INT(G31),ImportedHolidays[Active],1,ImportedHolidays[Kind],"HOLIDAY"))</f>
        <v>0</v>
      </c>
      <c r="AF31" s="1">
        <f>IF(Planner!H$10="Nessuno",0,COUNTIFS(HolidayDates[Calendar],Planner!H$10,HolidayDates[Local date],INT(H31),HolidayDates[Active 0/1],1)+COUNTIFS(ImportedHolidays[Calendar],Planner!H$10,ImportedHolidays[Date],INT(H31),ImportedHolidays[Active],1,ImportedHolidays[Kind],"HOLIDAY"))</f>
        <v>0</v>
      </c>
      <c r="AG31" s="1"/>
      <c r="AH31" s="1" t="b">
        <f>INDEX(Parametri!$G12:$M12,1,WEEKDAY(INT(B31),2))=1</f>
        <v>0</v>
      </c>
      <c r="AI31" s="1" t="b">
        <f>INDEX(Parametri!$G13:$M13,1,WEEKDAY(INT(C31),2))=1</f>
        <v>0</v>
      </c>
      <c r="AJ31" s="1" t="b">
        <f>INDEX(Parametri!$G14:$M14,1,WEEKDAY(INT(D31),2))=1</f>
        <v>0</v>
      </c>
      <c r="AK31" s="1" t="b">
        <f>INDEX(Parametri!$G15:$M15,1,WEEKDAY(INT(E31),2))=1</f>
        <v>0</v>
      </c>
      <c r="AL31" s="1" t="b">
        <f>INDEX(Parametri!$G16:$M16,1,WEEKDAY(INT(F31),2))=1</f>
        <v>0</v>
      </c>
      <c r="AM31" s="1" t="b">
        <f>INDEX(Parametri!$G17:$M17,1,WEEKDAY(INT(G31),2))=1</f>
        <v>0</v>
      </c>
      <c r="AN31" s="1" t="b">
        <f>INDEX(Parametri!$G18:$M18,1,WEEKDAY(INT(H31),2))=1</f>
        <v>0</v>
      </c>
      <c r="AO31">
        <f>COUNTIFS(PersonalExceptions[Colonna],1,PersonalExceptions[Dal],"&lt;="&amp;INT(B31),PersonalExceptions[Al],"&gt;="&amp;INT(B31),PersonalExceptions[Active 0/1],1,PersonalExceptions[Effetto],"Rest")</f>
        <v>0</v>
      </c>
      <c r="AP31">
        <f>COUNTIFS(PersonalExceptions[Colonna],2,PersonalExceptions[Dal],"&lt;="&amp;INT(C31),PersonalExceptions[Al],"&gt;="&amp;INT(C31),PersonalExceptions[Active 0/1],1,PersonalExceptions[Effetto],"Rest")</f>
        <v>0</v>
      </c>
      <c r="AQ31">
        <f>COUNTIFS(PersonalExceptions[Colonna],3,PersonalExceptions[Dal],"&lt;="&amp;INT(D31),PersonalExceptions[Al],"&gt;="&amp;INT(D31),PersonalExceptions[Active 0/1],1,PersonalExceptions[Effetto],"Rest")</f>
        <v>0</v>
      </c>
      <c r="AR31">
        <f>COUNTIFS(PersonalExceptions[Colonna],4,PersonalExceptions[Dal],"&lt;="&amp;INT(E31),PersonalExceptions[Al],"&gt;="&amp;INT(E31),PersonalExceptions[Active 0/1],1,PersonalExceptions[Effetto],"Rest")</f>
        <v>0</v>
      </c>
      <c r="AS31">
        <f>COUNTIFS(PersonalExceptions[Colonna],5,PersonalExceptions[Dal],"&lt;="&amp;INT(F31),PersonalExceptions[Al],"&gt;="&amp;INT(F31),PersonalExceptions[Active 0/1],1,PersonalExceptions[Effetto],"Rest")</f>
        <v>0</v>
      </c>
      <c r="AT31">
        <f>COUNTIFS(PersonalExceptions[Colonna],6,PersonalExceptions[Dal],"&lt;="&amp;INT(G31),PersonalExceptions[Al],"&gt;="&amp;INT(G31),PersonalExceptions[Active 0/1],1,PersonalExceptions[Effetto],"Rest")</f>
        <v>0</v>
      </c>
      <c r="AU31">
        <f>COUNTIFS(PersonalExceptions[Colonna],7,PersonalExceptions[Dal],"&lt;="&amp;INT(H31),PersonalExceptions[Al],"&gt;="&amp;INT(H31),PersonalExceptions[Active 0/1],1,PersonalExceptions[Effetto],"Rest")</f>
        <v>0</v>
      </c>
      <c r="AW31">
        <f>COUNTIFS(PersonalExceptions[Colonna],1,PersonalExceptions[Dal],"&lt;="&amp;INT(B31),PersonalExceptions[Al],"&gt;="&amp;INT(B31),PersonalExceptions[Active 0/1],1,PersonalExceptions[Effetto],"Activity")</f>
        <v>0</v>
      </c>
      <c r="AX31">
        <f>COUNTIFS(PersonalExceptions[Colonna],2,PersonalExceptions[Dal],"&lt;="&amp;INT(C31),PersonalExceptions[Al],"&gt;="&amp;INT(C31),PersonalExceptions[Active 0/1],1,PersonalExceptions[Effetto],"Activity")</f>
        <v>0</v>
      </c>
      <c r="AY31">
        <f>COUNTIFS(PersonalExceptions[Colonna],3,PersonalExceptions[Dal],"&lt;="&amp;INT(D31),PersonalExceptions[Al],"&gt;="&amp;INT(D31),PersonalExceptions[Active 0/1],1,PersonalExceptions[Effetto],"Activity")</f>
        <v>0</v>
      </c>
      <c r="AZ31">
        <f>COUNTIFS(PersonalExceptions[Colonna],4,PersonalExceptions[Dal],"&lt;="&amp;INT(E31),PersonalExceptions[Al],"&gt;="&amp;INT(E31),PersonalExceptions[Active 0/1],1,PersonalExceptions[Effetto],"Activity")</f>
        <v>0</v>
      </c>
      <c r="BA31">
        <f>COUNTIFS(PersonalExceptions[Colonna],5,PersonalExceptions[Dal],"&lt;="&amp;INT(F31),PersonalExceptions[Al],"&gt;="&amp;INT(F31),PersonalExceptions[Active 0/1],1,PersonalExceptions[Effetto],"Activity")</f>
        <v>0</v>
      </c>
      <c r="BB31">
        <f>COUNTIFS(PersonalExceptions[Colonna],6,PersonalExceptions[Dal],"&lt;="&amp;INT(G31),PersonalExceptions[Al],"&gt;="&amp;INT(G31),PersonalExceptions[Active 0/1],1,PersonalExceptions[Effetto],"Activity")</f>
        <v>0</v>
      </c>
      <c r="BC31">
        <f>COUNTIFS(PersonalExceptions[Colonna],7,PersonalExceptions[Dal],"&lt;="&amp;INT(H31),PersonalExceptions[Al],"&gt;="&amp;INT(H31),PersonalExceptions[Active 0/1],1,PersonalExceptions[Effetto],"Activity")</f>
        <v>0</v>
      </c>
      <c r="BE31">
        <f>IF(Planner!B$10="Nessuno",0,COUNTIFS(ImportedHolidays[Calendar],Planner!B$10,ImportedHolidays[Date],INT(B31),ImportedHolidays[Active],1,ImportedHolidays[Kind],"WORKDAY"))</f>
        <v>0</v>
      </c>
      <c r="BF31">
        <f>IF(Planner!C$10="Nessuno",0,COUNTIFS(ImportedHolidays[Calendar],Planner!C$10,ImportedHolidays[Date],INT(C31),ImportedHolidays[Active],1,ImportedHolidays[Kind],"WORKDAY"))</f>
        <v>0</v>
      </c>
      <c r="BG31">
        <f>IF(Planner!D$10="Nessuno",0,COUNTIFS(ImportedHolidays[Calendar],Planner!D$10,ImportedHolidays[Date],INT(D31),ImportedHolidays[Active],1,ImportedHolidays[Kind],"WORKDAY"))</f>
        <v>0</v>
      </c>
      <c r="BH31">
        <f>IF(Planner!E$10="Nessuno",0,COUNTIFS(ImportedHolidays[Calendar],Planner!E$10,ImportedHolidays[Date],INT(E31),ImportedHolidays[Active],1,ImportedHolidays[Kind],"WORKDAY"))</f>
        <v>0</v>
      </c>
      <c r="BI31">
        <f>IF(Planner!F$10="Nessuno",0,COUNTIFS(ImportedHolidays[Calendar],Planner!F$10,ImportedHolidays[Date],INT(F31),ImportedHolidays[Active],1,ImportedHolidays[Kind],"WORKDAY"))</f>
        <v>0</v>
      </c>
      <c r="BJ31">
        <f>IF(Planner!G$10="Nessuno",0,COUNTIFS(ImportedHolidays[Calendar],Planner!G$10,ImportedHolidays[Date],INT(G31),ImportedHolidays[Active],1,ImportedHolidays[Kind],"WORKDAY"))</f>
        <v>0</v>
      </c>
      <c r="BK31">
        <f>IF(Planner!H$10="Nessuno",0,COUNTIFS(ImportedHolidays[Calendar],Planner!H$10,ImportedHolidays[Date],INT(H31),ImportedHolidays[Active],1,ImportedHolidays[Kind],"WORKDAY"))</f>
        <v>0</v>
      </c>
      <c r="BM31">
        <f>IF(MOD(J31-B$11,1440)&lt;B$12,2,IF(OR(MOD(J31-B$11,1440)&lt;B$12+ROUND(Planner!$D$5*60,0),MOD(J31-B$11,1440)&gt;=1440-ROUND(Planner!$B$5*60,0)),1,0))</f>
        <v>2</v>
      </c>
      <c r="BN31">
        <f>IF(MOD(K31-C$11,1440)&lt;C$12,2,IF(OR(MOD(K31-C$11,1440)&lt;C$12+ROUND(Planner!$D$5*60,0),MOD(K31-C$11,1440)&gt;=1440-ROUND(Planner!$B$5*60,0)),1,0))</f>
        <v>2</v>
      </c>
      <c r="BO31">
        <f>IF(MOD(L31-D$11,1440)&lt;D$12,2,IF(OR(MOD(L31-D$11,1440)&lt;D$12+ROUND(Planner!$D$5*60,0),MOD(L31-D$11,1440)&gt;=1440-ROUND(Planner!$B$5*60,0)),1,0))</f>
        <v>2</v>
      </c>
      <c r="BP31">
        <f>IF(MOD(M31-E$11,1440)&lt;E$12,2,IF(OR(MOD(M31-E$11,1440)&lt;E$12+ROUND(Planner!$D$5*60,0),MOD(M31-E$11,1440)&gt;=1440-ROUND(Planner!$B$5*60,0)),1,0))</f>
        <v>2</v>
      </c>
      <c r="BQ31">
        <f>IF(MOD(N31-F$11,1440)&lt;F$12,2,IF(OR(MOD(N31-F$11,1440)&lt;F$12+ROUND(Planner!$D$5*60,0),MOD(N31-F$11,1440)&gt;=1440-ROUND(Planner!$B$5*60,0)),1,0))</f>
        <v>1</v>
      </c>
      <c r="BR31">
        <f>IF(MOD(O31-G$11,1440)&lt;G$12,2,IF(OR(MOD(O31-G$11,1440)&lt;G$12+ROUND(Planner!$D$5*60,0),MOD(O31-G$11,1440)&gt;=1440-ROUND(Planner!$B$5*60,0)),1,0))</f>
        <v>0</v>
      </c>
      <c r="BS31">
        <f>IF(MOD(P31-H$11,1440)&lt;H$12,2,IF(OR(MOD(P31-H$11,1440)&lt;H$12+ROUND(Planner!$D$5*60,0),MOD(P31-H$11,1440)&gt;=1440-ROUND(Planner!$B$5*60,0)),1,0))</f>
        <v>0</v>
      </c>
    </row>
    <row r="32" spans="1:71">
      <c r="A32" s="22">
        <f>ROUND(($B$6+15*60/1440)*1440,0)/1440</f>
        <v>46289.333333333336</v>
      </c>
      <c r="B32" s="22">
        <f>IF(COUNTIFS(ZonePeriods[Code],Planner!B$9,ZonePeriods[FromUtc],"&lt;="&amp;$A32,ZonePeriods[UntilUtc],"&gt;"&amp;$A32)=1,ROUND(($A32+SUMIFS(ZonePeriods[OffsetHours],ZonePeriods[Code],Planner!B$9,ZonePeriods[FromUtc],"&lt;="&amp;$A32,ZonePeriods[UntilUtc],"&gt;"&amp;$A32)/24)*1440,0)/1440,NA())</f>
        <v>46289.625</v>
      </c>
      <c r="C32" s="22">
        <f>IF(COUNTIFS(ZonePeriods[Code],Planner!C$9,ZonePeriods[FromUtc],"&lt;="&amp;$A32,ZonePeriods[UntilUtc],"&gt;"&amp;$A32)=1,ROUND(($A32+SUMIFS(ZonePeriods[OffsetHours],ZonePeriods[Code],Planner!C$9,ZonePeriods[FromUtc],"&lt;="&amp;$A32,ZonePeriods[UntilUtc],"&gt;"&amp;$A32)/24)*1440,0)/1440,NA())</f>
        <v>46289.5625</v>
      </c>
      <c r="D32" s="22">
        <f>IF(COUNTIFS(ZonePeriods[Code],Planner!D$9,ZonePeriods[FromUtc],"&lt;="&amp;$A32,ZonePeriods[UntilUtc],"&gt;"&amp;$A32)=1,ROUND(($A32+SUMIFS(ZonePeriods[OffsetHours],ZonePeriods[Code],Planner!D$9,ZonePeriods[FromUtc],"&lt;="&amp;$A32,ZonePeriods[UntilUtc],"&gt;"&amp;$A32)/24)*1440,0)/1440,NA())</f>
        <v>46289.458333333336</v>
      </c>
      <c r="E32" s="22">
        <f>IF(COUNTIFS(ZonePeriods[Code],Planner!E$9,ZonePeriods[FromUtc],"&lt;="&amp;$A32,ZonePeriods[UntilUtc],"&gt;"&amp;$A32)=1,ROUND(($A32+SUMIFS(ZonePeriods[OffsetHours],ZonePeriods[Code],Planner!E$9,ZonePeriods[FromUtc],"&lt;="&amp;$A32,ZonePeriods[UntilUtc],"&gt;"&amp;$A32)/24)*1440,0)/1440,NA())</f>
        <v>46289.416666666664</v>
      </c>
      <c r="F32" s="22">
        <f>IF(COUNTIFS(ZonePeriods[Code],Planner!F$9,ZonePeriods[FromUtc],"&lt;="&amp;$A32,ZonePeriods[UntilUtc],"&gt;"&amp;$A32)=1,ROUND(($A32+SUMIFS(ZonePeriods[OffsetHours],ZonePeriods[Code],Planner!F$9,ZonePeriods[FromUtc],"&lt;="&amp;$A32,ZonePeriods[UntilUtc],"&gt;"&amp;$A32)/24)*1440,0)/1440,NA())</f>
        <v>46289.375</v>
      </c>
      <c r="G32" s="22">
        <f>IF(COUNTIFS(ZonePeriods[Code],Planner!G$9,ZonePeriods[FromUtc],"&lt;="&amp;$A32,ZonePeriods[UntilUtc],"&gt;"&amp;$A32)=1,ROUND(($A32+SUMIFS(ZonePeriods[OffsetHours],ZonePeriods[Code],Planner!G$9,ZonePeriods[FromUtc],"&lt;="&amp;$A32,ZonePeriods[UntilUtc],"&gt;"&amp;$A32)/24)*1440,0)/1440,NA())</f>
        <v>46289.166666666664</v>
      </c>
      <c r="H32" s="22">
        <f>IF(COUNTIFS(ZonePeriods[Code],Planner!H$9,ZonePeriods[FromUtc],"&lt;="&amp;$A32,ZonePeriods[UntilUtc],"&gt;"&amp;$A32)=1,ROUND(($A32+SUMIFS(ZonePeriods[OffsetHours],ZonePeriods[Code],Planner!H$9,ZonePeriods[FromUtc],"&lt;="&amp;$A32,ZonePeriods[UntilUtc],"&gt;"&amp;$A32)/24)*1440,0)/1440,NA())</f>
        <v>46289.041666666664</v>
      </c>
      <c r="I32" s="1"/>
      <c r="J32" s="1">
        <f t="shared" si="0"/>
        <v>900</v>
      </c>
      <c r="K32" s="1">
        <f t="shared" si="1"/>
        <v>810</v>
      </c>
      <c r="L32" s="1">
        <f t="shared" si="2"/>
        <v>660</v>
      </c>
      <c r="M32" s="1">
        <f t="shared" si="3"/>
        <v>600</v>
      </c>
      <c r="N32" s="1">
        <f t="shared" si="4"/>
        <v>540</v>
      </c>
      <c r="O32" s="1">
        <f t="shared" si="5"/>
        <v>240</v>
      </c>
      <c r="P32" s="1">
        <f t="shared" si="6"/>
        <v>60</v>
      </c>
      <c r="Q32" s="1"/>
      <c r="R32" s="1">
        <f t="shared" si="7"/>
        <v>2</v>
      </c>
      <c r="S32" s="1">
        <f t="shared" si="8"/>
        <v>2</v>
      </c>
      <c r="T32" s="1">
        <f t="shared" si="9"/>
        <v>2</v>
      </c>
      <c r="U32" s="1">
        <f t="shared" si="10"/>
        <v>2</v>
      </c>
      <c r="V32" s="1">
        <f t="shared" si="11"/>
        <v>2</v>
      </c>
      <c r="W32" s="1">
        <f t="shared" si="12"/>
        <v>0</v>
      </c>
      <c r="X32" s="1">
        <f t="shared" si="13"/>
        <v>0</v>
      </c>
      <c r="Y32" s="1"/>
      <c r="Z32" s="1">
        <f>IF(Planner!B$10="Nessuno",0,COUNTIFS(HolidayDates[Calendar],Planner!B$10,HolidayDates[Local date],INT(B32),HolidayDates[Active 0/1],1)+COUNTIFS(ImportedHolidays[Calendar],Planner!B$10,ImportedHolidays[Date],INT(B32),ImportedHolidays[Active],1,ImportedHolidays[Kind],"HOLIDAY"))</f>
        <v>0</v>
      </c>
      <c r="AA32" s="1">
        <f>IF(Planner!C$10="Nessuno",0,COUNTIFS(HolidayDates[Calendar],Planner!C$10,HolidayDates[Local date],INT(C32),HolidayDates[Active 0/1],1)+COUNTIFS(ImportedHolidays[Calendar],Planner!C$10,ImportedHolidays[Date],INT(C32),ImportedHolidays[Active],1,ImportedHolidays[Kind],"HOLIDAY"))</f>
        <v>0</v>
      </c>
      <c r="AB32" s="1">
        <f>IF(Planner!D$10="Nessuno",0,COUNTIFS(HolidayDates[Calendar],Planner!D$10,HolidayDates[Local date],INT(D32),HolidayDates[Active 0/1],1)+COUNTIFS(ImportedHolidays[Calendar],Planner!D$10,ImportedHolidays[Date],INT(D32),ImportedHolidays[Active],1,ImportedHolidays[Kind],"HOLIDAY"))</f>
        <v>0</v>
      </c>
      <c r="AC32" s="1">
        <f>IF(Planner!E$10="Nessuno",0,COUNTIFS(HolidayDates[Calendar],Planner!E$10,HolidayDates[Local date],INT(E32),HolidayDates[Active 0/1],1)+COUNTIFS(ImportedHolidays[Calendar],Planner!E$10,ImportedHolidays[Date],INT(E32),ImportedHolidays[Active],1,ImportedHolidays[Kind],"HOLIDAY"))</f>
        <v>0</v>
      </c>
      <c r="AD32" s="1">
        <f>IF(Planner!F$10="Nessuno",0,COUNTIFS(HolidayDates[Calendar],Planner!F$10,HolidayDates[Local date],INT(F32),HolidayDates[Active 0/1],1)+COUNTIFS(ImportedHolidays[Calendar],Planner!F$10,ImportedHolidays[Date],INT(F32),ImportedHolidays[Active],1,ImportedHolidays[Kind],"HOLIDAY"))</f>
        <v>0</v>
      </c>
      <c r="AE32" s="1">
        <f>IF(Planner!G$10="Nessuno",0,COUNTIFS(HolidayDates[Calendar],Planner!G$10,HolidayDates[Local date],INT(G32),HolidayDates[Active 0/1],1)+COUNTIFS(ImportedHolidays[Calendar],Planner!G$10,ImportedHolidays[Date],INT(G32),ImportedHolidays[Active],1,ImportedHolidays[Kind],"HOLIDAY"))</f>
        <v>0</v>
      </c>
      <c r="AF32" s="1">
        <f>IF(Planner!H$10="Nessuno",0,COUNTIFS(HolidayDates[Calendar],Planner!H$10,HolidayDates[Local date],INT(H32),HolidayDates[Active 0/1],1)+COUNTIFS(ImportedHolidays[Calendar],Planner!H$10,ImportedHolidays[Date],INT(H32),ImportedHolidays[Active],1,ImportedHolidays[Kind],"HOLIDAY"))</f>
        <v>0</v>
      </c>
      <c r="AG32" s="1"/>
      <c r="AH32" s="1" t="b">
        <f>INDEX(Parametri!$G12:$M12,1,WEEKDAY(INT(B32),2))=1</f>
        <v>0</v>
      </c>
      <c r="AI32" s="1" t="b">
        <f>INDEX(Parametri!$G13:$M13,1,WEEKDAY(INT(C32),2))=1</f>
        <v>0</v>
      </c>
      <c r="AJ32" s="1" t="b">
        <f>INDEX(Parametri!$G14:$M14,1,WEEKDAY(INT(D32),2))=1</f>
        <v>0</v>
      </c>
      <c r="AK32" s="1" t="b">
        <f>INDEX(Parametri!$G15:$M15,1,WEEKDAY(INT(E32),2))=1</f>
        <v>0</v>
      </c>
      <c r="AL32" s="1" t="b">
        <f>INDEX(Parametri!$G16:$M16,1,WEEKDAY(INT(F32),2))=1</f>
        <v>0</v>
      </c>
      <c r="AM32" s="1" t="b">
        <f>INDEX(Parametri!$G17:$M17,1,WEEKDAY(INT(G32),2))=1</f>
        <v>0</v>
      </c>
      <c r="AN32" s="1" t="b">
        <f>INDEX(Parametri!$G18:$M18,1,WEEKDAY(INT(H32),2))=1</f>
        <v>0</v>
      </c>
      <c r="AO32">
        <f>COUNTIFS(PersonalExceptions[Colonna],1,PersonalExceptions[Dal],"&lt;="&amp;INT(B32),PersonalExceptions[Al],"&gt;="&amp;INT(B32),PersonalExceptions[Active 0/1],1,PersonalExceptions[Effetto],"Rest")</f>
        <v>0</v>
      </c>
      <c r="AP32">
        <f>COUNTIFS(PersonalExceptions[Colonna],2,PersonalExceptions[Dal],"&lt;="&amp;INT(C32),PersonalExceptions[Al],"&gt;="&amp;INT(C32),PersonalExceptions[Active 0/1],1,PersonalExceptions[Effetto],"Rest")</f>
        <v>0</v>
      </c>
      <c r="AQ32">
        <f>COUNTIFS(PersonalExceptions[Colonna],3,PersonalExceptions[Dal],"&lt;="&amp;INT(D32),PersonalExceptions[Al],"&gt;="&amp;INT(D32),PersonalExceptions[Active 0/1],1,PersonalExceptions[Effetto],"Rest")</f>
        <v>0</v>
      </c>
      <c r="AR32">
        <f>COUNTIFS(PersonalExceptions[Colonna],4,PersonalExceptions[Dal],"&lt;="&amp;INT(E32),PersonalExceptions[Al],"&gt;="&amp;INT(E32),PersonalExceptions[Active 0/1],1,PersonalExceptions[Effetto],"Rest")</f>
        <v>0</v>
      </c>
      <c r="AS32">
        <f>COUNTIFS(PersonalExceptions[Colonna],5,PersonalExceptions[Dal],"&lt;="&amp;INT(F32),PersonalExceptions[Al],"&gt;="&amp;INT(F32),PersonalExceptions[Active 0/1],1,PersonalExceptions[Effetto],"Rest")</f>
        <v>0</v>
      </c>
      <c r="AT32">
        <f>COUNTIFS(PersonalExceptions[Colonna],6,PersonalExceptions[Dal],"&lt;="&amp;INT(G32),PersonalExceptions[Al],"&gt;="&amp;INT(G32),PersonalExceptions[Active 0/1],1,PersonalExceptions[Effetto],"Rest")</f>
        <v>0</v>
      </c>
      <c r="AU32">
        <f>COUNTIFS(PersonalExceptions[Colonna],7,PersonalExceptions[Dal],"&lt;="&amp;INT(H32),PersonalExceptions[Al],"&gt;="&amp;INT(H32),PersonalExceptions[Active 0/1],1,PersonalExceptions[Effetto],"Rest")</f>
        <v>0</v>
      </c>
      <c r="AW32">
        <f>COUNTIFS(PersonalExceptions[Colonna],1,PersonalExceptions[Dal],"&lt;="&amp;INT(B32),PersonalExceptions[Al],"&gt;="&amp;INT(B32),PersonalExceptions[Active 0/1],1,PersonalExceptions[Effetto],"Activity")</f>
        <v>0</v>
      </c>
      <c r="AX32">
        <f>COUNTIFS(PersonalExceptions[Colonna],2,PersonalExceptions[Dal],"&lt;="&amp;INT(C32),PersonalExceptions[Al],"&gt;="&amp;INT(C32),PersonalExceptions[Active 0/1],1,PersonalExceptions[Effetto],"Activity")</f>
        <v>0</v>
      </c>
      <c r="AY32">
        <f>COUNTIFS(PersonalExceptions[Colonna],3,PersonalExceptions[Dal],"&lt;="&amp;INT(D32),PersonalExceptions[Al],"&gt;="&amp;INT(D32),PersonalExceptions[Active 0/1],1,PersonalExceptions[Effetto],"Activity")</f>
        <v>0</v>
      </c>
      <c r="AZ32">
        <f>COUNTIFS(PersonalExceptions[Colonna],4,PersonalExceptions[Dal],"&lt;="&amp;INT(E32),PersonalExceptions[Al],"&gt;="&amp;INT(E32),PersonalExceptions[Active 0/1],1,PersonalExceptions[Effetto],"Activity")</f>
        <v>0</v>
      </c>
      <c r="BA32">
        <f>COUNTIFS(PersonalExceptions[Colonna],5,PersonalExceptions[Dal],"&lt;="&amp;INT(F32),PersonalExceptions[Al],"&gt;="&amp;INT(F32),PersonalExceptions[Active 0/1],1,PersonalExceptions[Effetto],"Activity")</f>
        <v>0</v>
      </c>
      <c r="BB32">
        <f>COUNTIFS(PersonalExceptions[Colonna],6,PersonalExceptions[Dal],"&lt;="&amp;INT(G32),PersonalExceptions[Al],"&gt;="&amp;INT(G32),PersonalExceptions[Active 0/1],1,PersonalExceptions[Effetto],"Activity")</f>
        <v>0</v>
      </c>
      <c r="BC32">
        <f>COUNTIFS(PersonalExceptions[Colonna],7,PersonalExceptions[Dal],"&lt;="&amp;INT(H32),PersonalExceptions[Al],"&gt;="&amp;INT(H32),PersonalExceptions[Active 0/1],1,PersonalExceptions[Effetto],"Activity")</f>
        <v>0</v>
      </c>
      <c r="BE32">
        <f>IF(Planner!B$10="Nessuno",0,COUNTIFS(ImportedHolidays[Calendar],Planner!B$10,ImportedHolidays[Date],INT(B32),ImportedHolidays[Active],1,ImportedHolidays[Kind],"WORKDAY"))</f>
        <v>0</v>
      </c>
      <c r="BF32">
        <f>IF(Planner!C$10="Nessuno",0,COUNTIFS(ImportedHolidays[Calendar],Planner!C$10,ImportedHolidays[Date],INT(C32),ImportedHolidays[Active],1,ImportedHolidays[Kind],"WORKDAY"))</f>
        <v>0</v>
      </c>
      <c r="BG32">
        <f>IF(Planner!D$10="Nessuno",0,COUNTIFS(ImportedHolidays[Calendar],Planner!D$10,ImportedHolidays[Date],INT(D32),ImportedHolidays[Active],1,ImportedHolidays[Kind],"WORKDAY"))</f>
        <v>0</v>
      </c>
      <c r="BH32">
        <f>IF(Planner!E$10="Nessuno",0,COUNTIFS(ImportedHolidays[Calendar],Planner!E$10,ImportedHolidays[Date],INT(E32),ImportedHolidays[Active],1,ImportedHolidays[Kind],"WORKDAY"))</f>
        <v>0</v>
      </c>
      <c r="BI32">
        <f>IF(Planner!F$10="Nessuno",0,COUNTIFS(ImportedHolidays[Calendar],Planner!F$10,ImportedHolidays[Date],INT(F32),ImportedHolidays[Active],1,ImportedHolidays[Kind],"WORKDAY"))</f>
        <v>0</v>
      </c>
      <c r="BJ32">
        <f>IF(Planner!G$10="Nessuno",0,COUNTIFS(ImportedHolidays[Calendar],Planner!G$10,ImportedHolidays[Date],INT(G32),ImportedHolidays[Active],1,ImportedHolidays[Kind],"WORKDAY"))</f>
        <v>0</v>
      </c>
      <c r="BK32">
        <f>IF(Planner!H$10="Nessuno",0,COUNTIFS(ImportedHolidays[Calendar],Planner!H$10,ImportedHolidays[Date],INT(H32),ImportedHolidays[Active],1,ImportedHolidays[Kind],"WORKDAY"))</f>
        <v>0</v>
      </c>
      <c r="BM32">
        <f>IF(MOD(J32-B$11,1440)&lt;B$12,2,IF(OR(MOD(J32-B$11,1440)&lt;B$12+ROUND(Planner!$D$5*60,0),MOD(J32-B$11,1440)&gt;=1440-ROUND(Planner!$B$5*60,0)),1,0))</f>
        <v>2</v>
      </c>
      <c r="BN32">
        <f>IF(MOD(K32-C$11,1440)&lt;C$12,2,IF(OR(MOD(K32-C$11,1440)&lt;C$12+ROUND(Planner!$D$5*60,0),MOD(K32-C$11,1440)&gt;=1440-ROUND(Planner!$B$5*60,0)),1,0))</f>
        <v>2</v>
      </c>
      <c r="BO32">
        <f>IF(MOD(L32-D$11,1440)&lt;D$12,2,IF(OR(MOD(L32-D$11,1440)&lt;D$12+ROUND(Planner!$D$5*60,0),MOD(L32-D$11,1440)&gt;=1440-ROUND(Planner!$B$5*60,0)),1,0))</f>
        <v>2</v>
      </c>
      <c r="BP32">
        <f>IF(MOD(M32-E$11,1440)&lt;E$12,2,IF(OR(MOD(M32-E$11,1440)&lt;E$12+ROUND(Planner!$D$5*60,0),MOD(M32-E$11,1440)&gt;=1440-ROUND(Planner!$B$5*60,0)),1,0))</f>
        <v>2</v>
      </c>
      <c r="BQ32">
        <f>IF(MOD(N32-F$11,1440)&lt;F$12,2,IF(OR(MOD(N32-F$11,1440)&lt;F$12+ROUND(Planner!$D$5*60,0),MOD(N32-F$11,1440)&gt;=1440-ROUND(Planner!$B$5*60,0)),1,0))</f>
        <v>2</v>
      </c>
      <c r="BR32">
        <f>IF(MOD(O32-G$11,1440)&lt;G$12,2,IF(OR(MOD(O32-G$11,1440)&lt;G$12+ROUND(Planner!$D$5*60,0),MOD(O32-G$11,1440)&gt;=1440-ROUND(Planner!$B$5*60,0)),1,0))</f>
        <v>0</v>
      </c>
      <c r="BS32">
        <f>IF(MOD(P32-H$11,1440)&lt;H$12,2,IF(OR(MOD(P32-H$11,1440)&lt;H$12+ROUND(Planner!$D$5*60,0),MOD(P32-H$11,1440)&gt;=1440-ROUND(Planner!$B$5*60,0)),1,0))</f>
        <v>0</v>
      </c>
    </row>
    <row r="33" spans="1:71">
      <c r="A33" s="22">
        <f>ROUND(($B$6+16*60/1440)*1440,0)/1440</f>
        <v>46289.375</v>
      </c>
      <c r="B33" s="22">
        <f>IF(COUNTIFS(ZonePeriods[Code],Planner!B$9,ZonePeriods[FromUtc],"&lt;="&amp;$A33,ZonePeriods[UntilUtc],"&gt;"&amp;$A33)=1,ROUND(($A33+SUMIFS(ZonePeriods[OffsetHours],ZonePeriods[Code],Planner!B$9,ZonePeriods[FromUtc],"&lt;="&amp;$A33,ZonePeriods[UntilUtc],"&gt;"&amp;$A33)/24)*1440,0)/1440,NA())</f>
        <v>46289.666666666664</v>
      </c>
      <c r="C33" s="22">
        <f>IF(COUNTIFS(ZonePeriods[Code],Planner!C$9,ZonePeriods[FromUtc],"&lt;="&amp;$A33,ZonePeriods[UntilUtc],"&gt;"&amp;$A33)=1,ROUND(($A33+SUMIFS(ZonePeriods[OffsetHours],ZonePeriods[Code],Planner!C$9,ZonePeriods[FromUtc],"&lt;="&amp;$A33,ZonePeriods[UntilUtc],"&gt;"&amp;$A33)/24)*1440,0)/1440,NA())</f>
        <v>46289.604166666664</v>
      </c>
      <c r="D33" s="22">
        <f>IF(COUNTIFS(ZonePeriods[Code],Planner!D$9,ZonePeriods[FromUtc],"&lt;="&amp;$A33,ZonePeriods[UntilUtc],"&gt;"&amp;$A33)=1,ROUND(($A33+SUMIFS(ZonePeriods[OffsetHours],ZonePeriods[Code],Planner!D$9,ZonePeriods[FromUtc],"&lt;="&amp;$A33,ZonePeriods[UntilUtc],"&gt;"&amp;$A33)/24)*1440,0)/1440,NA())</f>
        <v>46289.5</v>
      </c>
      <c r="E33" s="22">
        <f>IF(COUNTIFS(ZonePeriods[Code],Planner!E$9,ZonePeriods[FromUtc],"&lt;="&amp;$A33,ZonePeriods[UntilUtc],"&gt;"&amp;$A33)=1,ROUND(($A33+SUMIFS(ZonePeriods[OffsetHours],ZonePeriods[Code],Planner!E$9,ZonePeriods[FromUtc],"&lt;="&amp;$A33,ZonePeriods[UntilUtc],"&gt;"&amp;$A33)/24)*1440,0)/1440,NA())</f>
        <v>46289.458333333336</v>
      </c>
      <c r="F33" s="22">
        <f>IF(COUNTIFS(ZonePeriods[Code],Planner!F$9,ZonePeriods[FromUtc],"&lt;="&amp;$A33,ZonePeriods[UntilUtc],"&gt;"&amp;$A33)=1,ROUND(($A33+SUMIFS(ZonePeriods[OffsetHours],ZonePeriods[Code],Planner!F$9,ZonePeriods[FromUtc],"&lt;="&amp;$A33,ZonePeriods[UntilUtc],"&gt;"&amp;$A33)/24)*1440,0)/1440,NA())</f>
        <v>46289.416666666664</v>
      </c>
      <c r="G33" s="22">
        <f>IF(COUNTIFS(ZonePeriods[Code],Planner!G$9,ZonePeriods[FromUtc],"&lt;="&amp;$A33,ZonePeriods[UntilUtc],"&gt;"&amp;$A33)=1,ROUND(($A33+SUMIFS(ZonePeriods[OffsetHours],ZonePeriods[Code],Planner!G$9,ZonePeriods[FromUtc],"&lt;="&amp;$A33,ZonePeriods[UntilUtc],"&gt;"&amp;$A33)/24)*1440,0)/1440,NA())</f>
        <v>46289.208333333336</v>
      </c>
      <c r="H33" s="22">
        <f>IF(COUNTIFS(ZonePeriods[Code],Planner!H$9,ZonePeriods[FromUtc],"&lt;="&amp;$A33,ZonePeriods[UntilUtc],"&gt;"&amp;$A33)=1,ROUND(($A33+SUMIFS(ZonePeriods[OffsetHours],ZonePeriods[Code],Planner!H$9,ZonePeriods[FromUtc],"&lt;="&amp;$A33,ZonePeriods[UntilUtc],"&gt;"&amp;$A33)/24)*1440,0)/1440,NA())</f>
        <v>46289.083333333336</v>
      </c>
      <c r="I33" s="1"/>
      <c r="J33" s="1">
        <f t="shared" si="0"/>
        <v>960</v>
      </c>
      <c r="K33" s="1">
        <f t="shared" si="1"/>
        <v>870</v>
      </c>
      <c r="L33" s="1">
        <f t="shared" si="2"/>
        <v>720</v>
      </c>
      <c r="M33" s="1">
        <f t="shared" si="3"/>
        <v>660</v>
      </c>
      <c r="N33" s="1">
        <f t="shared" si="4"/>
        <v>600</v>
      </c>
      <c r="O33" s="1">
        <f t="shared" si="5"/>
        <v>300</v>
      </c>
      <c r="P33" s="1">
        <f t="shared" si="6"/>
        <v>120</v>
      </c>
      <c r="Q33" s="1"/>
      <c r="R33" s="1">
        <f t="shared" si="7"/>
        <v>2</v>
      </c>
      <c r="S33" s="1">
        <f t="shared" si="8"/>
        <v>2</v>
      </c>
      <c r="T33" s="1">
        <f t="shared" si="9"/>
        <v>2</v>
      </c>
      <c r="U33" s="1">
        <f t="shared" si="10"/>
        <v>2</v>
      </c>
      <c r="V33" s="1">
        <f t="shared" si="11"/>
        <v>2</v>
      </c>
      <c r="W33" s="1">
        <f t="shared" si="12"/>
        <v>0</v>
      </c>
      <c r="X33" s="1">
        <f t="shared" si="13"/>
        <v>0</v>
      </c>
      <c r="Y33" s="1"/>
      <c r="Z33" s="1">
        <f>IF(Planner!B$10="Nessuno",0,COUNTIFS(HolidayDates[Calendar],Planner!B$10,HolidayDates[Local date],INT(B33),HolidayDates[Active 0/1],1)+COUNTIFS(ImportedHolidays[Calendar],Planner!B$10,ImportedHolidays[Date],INT(B33),ImportedHolidays[Active],1,ImportedHolidays[Kind],"HOLIDAY"))</f>
        <v>0</v>
      </c>
      <c r="AA33" s="1">
        <f>IF(Planner!C$10="Nessuno",0,COUNTIFS(HolidayDates[Calendar],Planner!C$10,HolidayDates[Local date],INT(C33),HolidayDates[Active 0/1],1)+COUNTIFS(ImportedHolidays[Calendar],Planner!C$10,ImportedHolidays[Date],INT(C33),ImportedHolidays[Active],1,ImportedHolidays[Kind],"HOLIDAY"))</f>
        <v>0</v>
      </c>
      <c r="AB33" s="1">
        <f>IF(Planner!D$10="Nessuno",0,COUNTIFS(HolidayDates[Calendar],Planner!D$10,HolidayDates[Local date],INT(D33),HolidayDates[Active 0/1],1)+COUNTIFS(ImportedHolidays[Calendar],Planner!D$10,ImportedHolidays[Date],INT(D33),ImportedHolidays[Active],1,ImportedHolidays[Kind],"HOLIDAY"))</f>
        <v>0</v>
      </c>
      <c r="AC33" s="1">
        <f>IF(Planner!E$10="Nessuno",0,COUNTIFS(HolidayDates[Calendar],Planner!E$10,HolidayDates[Local date],INT(E33),HolidayDates[Active 0/1],1)+COUNTIFS(ImportedHolidays[Calendar],Planner!E$10,ImportedHolidays[Date],INT(E33),ImportedHolidays[Active],1,ImportedHolidays[Kind],"HOLIDAY"))</f>
        <v>0</v>
      </c>
      <c r="AD33" s="1">
        <f>IF(Planner!F$10="Nessuno",0,COUNTIFS(HolidayDates[Calendar],Planner!F$10,HolidayDates[Local date],INT(F33),HolidayDates[Active 0/1],1)+COUNTIFS(ImportedHolidays[Calendar],Planner!F$10,ImportedHolidays[Date],INT(F33),ImportedHolidays[Active],1,ImportedHolidays[Kind],"HOLIDAY"))</f>
        <v>0</v>
      </c>
      <c r="AE33" s="1">
        <f>IF(Planner!G$10="Nessuno",0,COUNTIFS(HolidayDates[Calendar],Planner!G$10,HolidayDates[Local date],INT(G33),HolidayDates[Active 0/1],1)+COUNTIFS(ImportedHolidays[Calendar],Planner!G$10,ImportedHolidays[Date],INT(G33),ImportedHolidays[Active],1,ImportedHolidays[Kind],"HOLIDAY"))</f>
        <v>0</v>
      </c>
      <c r="AF33" s="1">
        <f>IF(Planner!H$10="Nessuno",0,COUNTIFS(HolidayDates[Calendar],Planner!H$10,HolidayDates[Local date],INT(H33),HolidayDates[Active 0/1],1)+COUNTIFS(ImportedHolidays[Calendar],Planner!H$10,ImportedHolidays[Date],INT(H33),ImportedHolidays[Active],1,ImportedHolidays[Kind],"HOLIDAY"))</f>
        <v>0</v>
      </c>
      <c r="AG33" s="1"/>
      <c r="AH33" s="1" t="b">
        <f>INDEX(Parametri!$G12:$M12,1,WEEKDAY(INT(B33),2))=1</f>
        <v>0</v>
      </c>
      <c r="AI33" s="1" t="b">
        <f>INDEX(Parametri!$G13:$M13,1,WEEKDAY(INT(C33),2))=1</f>
        <v>0</v>
      </c>
      <c r="AJ33" s="1" t="b">
        <f>INDEX(Parametri!$G14:$M14,1,WEEKDAY(INT(D33),2))=1</f>
        <v>0</v>
      </c>
      <c r="AK33" s="1" t="b">
        <f>INDEX(Parametri!$G15:$M15,1,WEEKDAY(INT(E33),2))=1</f>
        <v>0</v>
      </c>
      <c r="AL33" s="1" t="b">
        <f>INDEX(Parametri!$G16:$M16,1,WEEKDAY(INT(F33),2))=1</f>
        <v>0</v>
      </c>
      <c r="AM33" s="1" t="b">
        <f>INDEX(Parametri!$G17:$M17,1,WEEKDAY(INT(G33),2))=1</f>
        <v>0</v>
      </c>
      <c r="AN33" s="1" t="b">
        <f>INDEX(Parametri!$G18:$M18,1,WEEKDAY(INT(H33),2))=1</f>
        <v>0</v>
      </c>
      <c r="AO33">
        <f>COUNTIFS(PersonalExceptions[Colonna],1,PersonalExceptions[Dal],"&lt;="&amp;INT(B33),PersonalExceptions[Al],"&gt;="&amp;INT(B33),PersonalExceptions[Active 0/1],1,PersonalExceptions[Effetto],"Rest")</f>
        <v>0</v>
      </c>
      <c r="AP33">
        <f>COUNTIFS(PersonalExceptions[Colonna],2,PersonalExceptions[Dal],"&lt;="&amp;INT(C33),PersonalExceptions[Al],"&gt;="&amp;INT(C33),PersonalExceptions[Active 0/1],1,PersonalExceptions[Effetto],"Rest")</f>
        <v>0</v>
      </c>
      <c r="AQ33">
        <f>COUNTIFS(PersonalExceptions[Colonna],3,PersonalExceptions[Dal],"&lt;="&amp;INT(D33),PersonalExceptions[Al],"&gt;="&amp;INT(D33),PersonalExceptions[Active 0/1],1,PersonalExceptions[Effetto],"Rest")</f>
        <v>0</v>
      </c>
      <c r="AR33">
        <f>COUNTIFS(PersonalExceptions[Colonna],4,PersonalExceptions[Dal],"&lt;="&amp;INT(E33),PersonalExceptions[Al],"&gt;="&amp;INT(E33),PersonalExceptions[Active 0/1],1,PersonalExceptions[Effetto],"Rest")</f>
        <v>0</v>
      </c>
      <c r="AS33">
        <f>COUNTIFS(PersonalExceptions[Colonna],5,PersonalExceptions[Dal],"&lt;="&amp;INT(F33),PersonalExceptions[Al],"&gt;="&amp;INT(F33),PersonalExceptions[Active 0/1],1,PersonalExceptions[Effetto],"Rest")</f>
        <v>0</v>
      </c>
      <c r="AT33">
        <f>COUNTIFS(PersonalExceptions[Colonna],6,PersonalExceptions[Dal],"&lt;="&amp;INT(G33),PersonalExceptions[Al],"&gt;="&amp;INT(G33),PersonalExceptions[Active 0/1],1,PersonalExceptions[Effetto],"Rest")</f>
        <v>0</v>
      </c>
      <c r="AU33">
        <f>COUNTIFS(PersonalExceptions[Colonna],7,PersonalExceptions[Dal],"&lt;="&amp;INT(H33),PersonalExceptions[Al],"&gt;="&amp;INT(H33),PersonalExceptions[Active 0/1],1,PersonalExceptions[Effetto],"Rest")</f>
        <v>0</v>
      </c>
      <c r="AW33">
        <f>COUNTIFS(PersonalExceptions[Colonna],1,PersonalExceptions[Dal],"&lt;="&amp;INT(B33),PersonalExceptions[Al],"&gt;="&amp;INT(B33),PersonalExceptions[Active 0/1],1,PersonalExceptions[Effetto],"Activity")</f>
        <v>0</v>
      </c>
      <c r="AX33">
        <f>COUNTIFS(PersonalExceptions[Colonna],2,PersonalExceptions[Dal],"&lt;="&amp;INT(C33),PersonalExceptions[Al],"&gt;="&amp;INT(C33),PersonalExceptions[Active 0/1],1,PersonalExceptions[Effetto],"Activity")</f>
        <v>0</v>
      </c>
      <c r="AY33">
        <f>COUNTIFS(PersonalExceptions[Colonna],3,PersonalExceptions[Dal],"&lt;="&amp;INT(D33),PersonalExceptions[Al],"&gt;="&amp;INT(D33),PersonalExceptions[Active 0/1],1,PersonalExceptions[Effetto],"Activity")</f>
        <v>0</v>
      </c>
      <c r="AZ33">
        <f>COUNTIFS(PersonalExceptions[Colonna],4,PersonalExceptions[Dal],"&lt;="&amp;INT(E33),PersonalExceptions[Al],"&gt;="&amp;INT(E33),PersonalExceptions[Active 0/1],1,PersonalExceptions[Effetto],"Activity")</f>
        <v>0</v>
      </c>
      <c r="BA33">
        <f>COUNTIFS(PersonalExceptions[Colonna],5,PersonalExceptions[Dal],"&lt;="&amp;INT(F33),PersonalExceptions[Al],"&gt;="&amp;INT(F33),PersonalExceptions[Active 0/1],1,PersonalExceptions[Effetto],"Activity")</f>
        <v>0</v>
      </c>
      <c r="BB33">
        <f>COUNTIFS(PersonalExceptions[Colonna],6,PersonalExceptions[Dal],"&lt;="&amp;INT(G33),PersonalExceptions[Al],"&gt;="&amp;INT(G33),PersonalExceptions[Active 0/1],1,PersonalExceptions[Effetto],"Activity")</f>
        <v>0</v>
      </c>
      <c r="BC33">
        <f>COUNTIFS(PersonalExceptions[Colonna],7,PersonalExceptions[Dal],"&lt;="&amp;INT(H33),PersonalExceptions[Al],"&gt;="&amp;INT(H33),PersonalExceptions[Active 0/1],1,PersonalExceptions[Effetto],"Activity")</f>
        <v>0</v>
      </c>
      <c r="BE33">
        <f>IF(Planner!B$10="Nessuno",0,COUNTIFS(ImportedHolidays[Calendar],Planner!B$10,ImportedHolidays[Date],INT(B33),ImportedHolidays[Active],1,ImportedHolidays[Kind],"WORKDAY"))</f>
        <v>0</v>
      </c>
      <c r="BF33">
        <f>IF(Planner!C$10="Nessuno",0,COUNTIFS(ImportedHolidays[Calendar],Planner!C$10,ImportedHolidays[Date],INT(C33),ImportedHolidays[Active],1,ImportedHolidays[Kind],"WORKDAY"))</f>
        <v>0</v>
      </c>
      <c r="BG33">
        <f>IF(Planner!D$10="Nessuno",0,COUNTIFS(ImportedHolidays[Calendar],Planner!D$10,ImportedHolidays[Date],INT(D33),ImportedHolidays[Active],1,ImportedHolidays[Kind],"WORKDAY"))</f>
        <v>0</v>
      </c>
      <c r="BH33">
        <f>IF(Planner!E$10="Nessuno",0,COUNTIFS(ImportedHolidays[Calendar],Planner!E$10,ImportedHolidays[Date],INT(E33),ImportedHolidays[Active],1,ImportedHolidays[Kind],"WORKDAY"))</f>
        <v>0</v>
      </c>
      <c r="BI33">
        <f>IF(Planner!F$10="Nessuno",0,COUNTIFS(ImportedHolidays[Calendar],Planner!F$10,ImportedHolidays[Date],INT(F33),ImportedHolidays[Active],1,ImportedHolidays[Kind],"WORKDAY"))</f>
        <v>0</v>
      </c>
      <c r="BJ33">
        <f>IF(Planner!G$10="Nessuno",0,COUNTIFS(ImportedHolidays[Calendar],Planner!G$10,ImportedHolidays[Date],INT(G33),ImportedHolidays[Active],1,ImportedHolidays[Kind],"WORKDAY"))</f>
        <v>0</v>
      </c>
      <c r="BK33">
        <f>IF(Planner!H$10="Nessuno",0,COUNTIFS(ImportedHolidays[Calendar],Planner!H$10,ImportedHolidays[Date],INT(H33),ImportedHolidays[Active],1,ImportedHolidays[Kind],"WORKDAY"))</f>
        <v>0</v>
      </c>
      <c r="BM33">
        <f>IF(MOD(J33-B$11,1440)&lt;B$12,2,IF(OR(MOD(J33-B$11,1440)&lt;B$12+ROUND(Planner!$D$5*60,0),MOD(J33-B$11,1440)&gt;=1440-ROUND(Planner!$B$5*60,0)),1,0))</f>
        <v>2</v>
      </c>
      <c r="BN33">
        <f>IF(MOD(K33-C$11,1440)&lt;C$12,2,IF(OR(MOD(K33-C$11,1440)&lt;C$12+ROUND(Planner!$D$5*60,0),MOD(K33-C$11,1440)&gt;=1440-ROUND(Planner!$B$5*60,0)),1,0))</f>
        <v>2</v>
      </c>
      <c r="BO33">
        <f>IF(MOD(L33-D$11,1440)&lt;D$12,2,IF(OR(MOD(L33-D$11,1440)&lt;D$12+ROUND(Planner!$D$5*60,0),MOD(L33-D$11,1440)&gt;=1440-ROUND(Planner!$B$5*60,0)),1,0))</f>
        <v>2</v>
      </c>
      <c r="BP33">
        <f>IF(MOD(M33-E$11,1440)&lt;E$12,2,IF(OR(MOD(M33-E$11,1440)&lt;E$12+ROUND(Planner!$D$5*60,0),MOD(M33-E$11,1440)&gt;=1440-ROUND(Planner!$B$5*60,0)),1,0))</f>
        <v>2</v>
      </c>
      <c r="BQ33">
        <f>IF(MOD(N33-F$11,1440)&lt;F$12,2,IF(OR(MOD(N33-F$11,1440)&lt;F$12+ROUND(Planner!$D$5*60,0),MOD(N33-F$11,1440)&gt;=1440-ROUND(Planner!$B$5*60,0)),1,0))</f>
        <v>2</v>
      </c>
      <c r="BR33">
        <f>IF(MOD(O33-G$11,1440)&lt;G$12,2,IF(OR(MOD(O33-G$11,1440)&lt;G$12+ROUND(Planner!$D$5*60,0),MOD(O33-G$11,1440)&gt;=1440-ROUND(Planner!$B$5*60,0)),1,0))</f>
        <v>0</v>
      </c>
      <c r="BS33">
        <f>IF(MOD(P33-H$11,1440)&lt;H$12,2,IF(OR(MOD(P33-H$11,1440)&lt;H$12+ROUND(Planner!$D$5*60,0),MOD(P33-H$11,1440)&gt;=1440-ROUND(Planner!$B$5*60,0)),1,0))</f>
        <v>0</v>
      </c>
    </row>
    <row r="34" spans="1:71">
      <c r="A34" s="22">
        <f>ROUND(($B$6+17*60/1440)*1440,0)/1440</f>
        <v>46289.416666666664</v>
      </c>
      <c r="B34" s="22">
        <f>IF(COUNTIFS(ZonePeriods[Code],Planner!B$9,ZonePeriods[FromUtc],"&lt;="&amp;$A34,ZonePeriods[UntilUtc],"&gt;"&amp;$A34)=1,ROUND(($A34+SUMIFS(ZonePeriods[OffsetHours],ZonePeriods[Code],Planner!B$9,ZonePeriods[FromUtc],"&lt;="&amp;$A34,ZonePeriods[UntilUtc],"&gt;"&amp;$A34)/24)*1440,0)/1440,NA())</f>
        <v>46289.708333333336</v>
      </c>
      <c r="C34" s="22">
        <f>IF(COUNTIFS(ZonePeriods[Code],Planner!C$9,ZonePeriods[FromUtc],"&lt;="&amp;$A34,ZonePeriods[UntilUtc],"&gt;"&amp;$A34)=1,ROUND(($A34+SUMIFS(ZonePeriods[OffsetHours],ZonePeriods[Code],Planner!C$9,ZonePeriods[FromUtc],"&lt;="&amp;$A34,ZonePeriods[UntilUtc],"&gt;"&amp;$A34)/24)*1440,0)/1440,NA())</f>
        <v>46289.645833333336</v>
      </c>
      <c r="D34" s="22">
        <f>IF(COUNTIFS(ZonePeriods[Code],Planner!D$9,ZonePeriods[FromUtc],"&lt;="&amp;$A34,ZonePeriods[UntilUtc],"&gt;"&amp;$A34)=1,ROUND(($A34+SUMIFS(ZonePeriods[OffsetHours],ZonePeriods[Code],Planner!D$9,ZonePeriods[FromUtc],"&lt;="&amp;$A34,ZonePeriods[UntilUtc],"&gt;"&amp;$A34)/24)*1440,0)/1440,NA())</f>
        <v>46289.541666666664</v>
      </c>
      <c r="E34" s="22">
        <f>IF(COUNTIFS(ZonePeriods[Code],Planner!E$9,ZonePeriods[FromUtc],"&lt;="&amp;$A34,ZonePeriods[UntilUtc],"&gt;"&amp;$A34)=1,ROUND(($A34+SUMIFS(ZonePeriods[OffsetHours],ZonePeriods[Code],Planner!E$9,ZonePeriods[FromUtc],"&lt;="&amp;$A34,ZonePeriods[UntilUtc],"&gt;"&amp;$A34)/24)*1440,0)/1440,NA())</f>
        <v>46289.5</v>
      </c>
      <c r="F34" s="22">
        <f>IF(COUNTIFS(ZonePeriods[Code],Planner!F$9,ZonePeriods[FromUtc],"&lt;="&amp;$A34,ZonePeriods[UntilUtc],"&gt;"&amp;$A34)=1,ROUND(($A34+SUMIFS(ZonePeriods[OffsetHours],ZonePeriods[Code],Planner!F$9,ZonePeriods[FromUtc],"&lt;="&amp;$A34,ZonePeriods[UntilUtc],"&gt;"&amp;$A34)/24)*1440,0)/1440,NA())</f>
        <v>46289.458333333336</v>
      </c>
      <c r="G34" s="22">
        <f>IF(COUNTIFS(ZonePeriods[Code],Planner!G$9,ZonePeriods[FromUtc],"&lt;="&amp;$A34,ZonePeriods[UntilUtc],"&gt;"&amp;$A34)=1,ROUND(($A34+SUMIFS(ZonePeriods[OffsetHours],ZonePeriods[Code],Planner!G$9,ZonePeriods[FromUtc],"&lt;="&amp;$A34,ZonePeriods[UntilUtc],"&gt;"&amp;$A34)/24)*1440,0)/1440,NA())</f>
        <v>46289.25</v>
      </c>
      <c r="H34" s="22">
        <f>IF(COUNTIFS(ZonePeriods[Code],Planner!H$9,ZonePeriods[FromUtc],"&lt;="&amp;$A34,ZonePeriods[UntilUtc],"&gt;"&amp;$A34)=1,ROUND(($A34+SUMIFS(ZonePeriods[OffsetHours],ZonePeriods[Code],Planner!H$9,ZonePeriods[FromUtc],"&lt;="&amp;$A34,ZonePeriods[UntilUtc],"&gt;"&amp;$A34)/24)*1440,0)/1440,NA())</f>
        <v>46289.125</v>
      </c>
      <c r="I34" s="1"/>
      <c r="J34" s="1">
        <f t="shared" si="0"/>
        <v>1020</v>
      </c>
      <c r="K34" s="1">
        <f t="shared" si="1"/>
        <v>930</v>
      </c>
      <c r="L34" s="1">
        <f t="shared" si="2"/>
        <v>780</v>
      </c>
      <c r="M34" s="1">
        <f t="shared" si="3"/>
        <v>720</v>
      </c>
      <c r="N34" s="1">
        <f t="shared" si="4"/>
        <v>660</v>
      </c>
      <c r="O34" s="1">
        <f t="shared" si="5"/>
        <v>360</v>
      </c>
      <c r="P34" s="1">
        <f t="shared" si="6"/>
        <v>180</v>
      </c>
      <c r="Q34" s="1"/>
      <c r="R34" s="1">
        <f t="shared" si="7"/>
        <v>2</v>
      </c>
      <c r="S34" s="1">
        <f t="shared" si="8"/>
        <v>2</v>
      </c>
      <c r="T34" s="1">
        <f t="shared" si="9"/>
        <v>2</v>
      </c>
      <c r="U34" s="1">
        <f t="shared" si="10"/>
        <v>2</v>
      </c>
      <c r="V34" s="1">
        <f t="shared" si="11"/>
        <v>2</v>
      </c>
      <c r="W34" s="1">
        <f t="shared" si="12"/>
        <v>0</v>
      </c>
      <c r="X34" s="1">
        <f t="shared" si="13"/>
        <v>0</v>
      </c>
      <c r="Y34" s="1"/>
      <c r="Z34" s="1">
        <f>IF(Planner!B$10="Nessuno",0,COUNTIFS(HolidayDates[Calendar],Planner!B$10,HolidayDates[Local date],INT(B34),HolidayDates[Active 0/1],1)+COUNTIFS(ImportedHolidays[Calendar],Planner!B$10,ImportedHolidays[Date],INT(B34),ImportedHolidays[Active],1,ImportedHolidays[Kind],"HOLIDAY"))</f>
        <v>0</v>
      </c>
      <c r="AA34" s="1">
        <f>IF(Planner!C$10="Nessuno",0,COUNTIFS(HolidayDates[Calendar],Planner!C$10,HolidayDates[Local date],INT(C34),HolidayDates[Active 0/1],1)+COUNTIFS(ImportedHolidays[Calendar],Planner!C$10,ImportedHolidays[Date],INT(C34),ImportedHolidays[Active],1,ImportedHolidays[Kind],"HOLIDAY"))</f>
        <v>0</v>
      </c>
      <c r="AB34" s="1">
        <f>IF(Planner!D$10="Nessuno",0,COUNTIFS(HolidayDates[Calendar],Planner!D$10,HolidayDates[Local date],INT(D34),HolidayDates[Active 0/1],1)+COUNTIFS(ImportedHolidays[Calendar],Planner!D$10,ImportedHolidays[Date],INT(D34),ImportedHolidays[Active],1,ImportedHolidays[Kind],"HOLIDAY"))</f>
        <v>0</v>
      </c>
      <c r="AC34" s="1">
        <f>IF(Planner!E$10="Nessuno",0,COUNTIFS(HolidayDates[Calendar],Planner!E$10,HolidayDates[Local date],INT(E34),HolidayDates[Active 0/1],1)+COUNTIFS(ImportedHolidays[Calendar],Planner!E$10,ImportedHolidays[Date],INT(E34),ImportedHolidays[Active],1,ImportedHolidays[Kind],"HOLIDAY"))</f>
        <v>0</v>
      </c>
      <c r="AD34" s="1">
        <f>IF(Planner!F$10="Nessuno",0,COUNTIFS(HolidayDates[Calendar],Planner!F$10,HolidayDates[Local date],INT(F34),HolidayDates[Active 0/1],1)+COUNTIFS(ImportedHolidays[Calendar],Planner!F$10,ImportedHolidays[Date],INT(F34),ImportedHolidays[Active],1,ImportedHolidays[Kind],"HOLIDAY"))</f>
        <v>0</v>
      </c>
      <c r="AE34" s="1">
        <f>IF(Planner!G$10="Nessuno",0,COUNTIFS(HolidayDates[Calendar],Planner!G$10,HolidayDates[Local date],INT(G34),HolidayDates[Active 0/1],1)+COUNTIFS(ImportedHolidays[Calendar],Planner!G$10,ImportedHolidays[Date],INT(G34),ImportedHolidays[Active],1,ImportedHolidays[Kind],"HOLIDAY"))</f>
        <v>0</v>
      </c>
      <c r="AF34" s="1">
        <f>IF(Planner!H$10="Nessuno",0,COUNTIFS(HolidayDates[Calendar],Planner!H$10,HolidayDates[Local date],INT(H34),HolidayDates[Active 0/1],1)+COUNTIFS(ImportedHolidays[Calendar],Planner!H$10,ImportedHolidays[Date],INT(H34),ImportedHolidays[Active],1,ImportedHolidays[Kind],"HOLIDAY"))</f>
        <v>0</v>
      </c>
      <c r="AG34" s="1"/>
      <c r="AH34" s="1" t="b">
        <f>INDEX(Parametri!$G12:$M12,1,WEEKDAY(INT(B34),2))=1</f>
        <v>0</v>
      </c>
      <c r="AI34" s="1" t="b">
        <f>INDEX(Parametri!$G13:$M13,1,WEEKDAY(INT(C34),2))=1</f>
        <v>0</v>
      </c>
      <c r="AJ34" s="1" t="b">
        <f>INDEX(Parametri!$G14:$M14,1,WEEKDAY(INT(D34),2))=1</f>
        <v>0</v>
      </c>
      <c r="AK34" s="1" t="b">
        <f>INDEX(Parametri!$G15:$M15,1,WEEKDAY(INT(E34),2))=1</f>
        <v>0</v>
      </c>
      <c r="AL34" s="1" t="b">
        <f>INDEX(Parametri!$G16:$M16,1,WEEKDAY(INT(F34),2))=1</f>
        <v>0</v>
      </c>
      <c r="AM34" s="1" t="b">
        <f>INDEX(Parametri!$G17:$M17,1,WEEKDAY(INT(G34),2))=1</f>
        <v>0</v>
      </c>
      <c r="AN34" s="1" t="b">
        <f>INDEX(Parametri!$G18:$M18,1,WEEKDAY(INT(H34),2))=1</f>
        <v>0</v>
      </c>
      <c r="AO34">
        <f>COUNTIFS(PersonalExceptions[Colonna],1,PersonalExceptions[Dal],"&lt;="&amp;INT(B34),PersonalExceptions[Al],"&gt;="&amp;INT(B34),PersonalExceptions[Active 0/1],1,PersonalExceptions[Effetto],"Rest")</f>
        <v>0</v>
      </c>
      <c r="AP34">
        <f>COUNTIFS(PersonalExceptions[Colonna],2,PersonalExceptions[Dal],"&lt;="&amp;INT(C34),PersonalExceptions[Al],"&gt;="&amp;INT(C34),PersonalExceptions[Active 0/1],1,PersonalExceptions[Effetto],"Rest")</f>
        <v>0</v>
      </c>
      <c r="AQ34">
        <f>COUNTIFS(PersonalExceptions[Colonna],3,PersonalExceptions[Dal],"&lt;="&amp;INT(D34),PersonalExceptions[Al],"&gt;="&amp;INT(D34),PersonalExceptions[Active 0/1],1,PersonalExceptions[Effetto],"Rest")</f>
        <v>0</v>
      </c>
      <c r="AR34">
        <f>COUNTIFS(PersonalExceptions[Colonna],4,PersonalExceptions[Dal],"&lt;="&amp;INT(E34),PersonalExceptions[Al],"&gt;="&amp;INT(E34),PersonalExceptions[Active 0/1],1,PersonalExceptions[Effetto],"Rest")</f>
        <v>0</v>
      </c>
      <c r="AS34">
        <f>COUNTIFS(PersonalExceptions[Colonna],5,PersonalExceptions[Dal],"&lt;="&amp;INT(F34),PersonalExceptions[Al],"&gt;="&amp;INT(F34),PersonalExceptions[Active 0/1],1,PersonalExceptions[Effetto],"Rest")</f>
        <v>0</v>
      </c>
      <c r="AT34">
        <f>COUNTIFS(PersonalExceptions[Colonna],6,PersonalExceptions[Dal],"&lt;="&amp;INT(G34),PersonalExceptions[Al],"&gt;="&amp;INT(G34),PersonalExceptions[Active 0/1],1,PersonalExceptions[Effetto],"Rest")</f>
        <v>0</v>
      </c>
      <c r="AU34">
        <f>COUNTIFS(PersonalExceptions[Colonna],7,PersonalExceptions[Dal],"&lt;="&amp;INT(H34),PersonalExceptions[Al],"&gt;="&amp;INT(H34),PersonalExceptions[Active 0/1],1,PersonalExceptions[Effetto],"Rest")</f>
        <v>0</v>
      </c>
      <c r="AW34">
        <f>COUNTIFS(PersonalExceptions[Colonna],1,PersonalExceptions[Dal],"&lt;="&amp;INT(B34),PersonalExceptions[Al],"&gt;="&amp;INT(B34),PersonalExceptions[Active 0/1],1,PersonalExceptions[Effetto],"Activity")</f>
        <v>0</v>
      </c>
      <c r="AX34">
        <f>COUNTIFS(PersonalExceptions[Colonna],2,PersonalExceptions[Dal],"&lt;="&amp;INT(C34),PersonalExceptions[Al],"&gt;="&amp;INT(C34),PersonalExceptions[Active 0/1],1,PersonalExceptions[Effetto],"Activity")</f>
        <v>0</v>
      </c>
      <c r="AY34">
        <f>COUNTIFS(PersonalExceptions[Colonna],3,PersonalExceptions[Dal],"&lt;="&amp;INT(D34),PersonalExceptions[Al],"&gt;="&amp;INT(D34),PersonalExceptions[Active 0/1],1,PersonalExceptions[Effetto],"Activity")</f>
        <v>0</v>
      </c>
      <c r="AZ34">
        <f>COUNTIFS(PersonalExceptions[Colonna],4,PersonalExceptions[Dal],"&lt;="&amp;INT(E34),PersonalExceptions[Al],"&gt;="&amp;INT(E34),PersonalExceptions[Active 0/1],1,PersonalExceptions[Effetto],"Activity")</f>
        <v>0</v>
      </c>
      <c r="BA34">
        <f>COUNTIFS(PersonalExceptions[Colonna],5,PersonalExceptions[Dal],"&lt;="&amp;INT(F34),PersonalExceptions[Al],"&gt;="&amp;INT(F34),PersonalExceptions[Active 0/1],1,PersonalExceptions[Effetto],"Activity")</f>
        <v>0</v>
      </c>
      <c r="BB34">
        <f>COUNTIFS(PersonalExceptions[Colonna],6,PersonalExceptions[Dal],"&lt;="&amp;INT(G34),PersonalExceptions[Al],"&gt;="&amp;INT(G34),PersonalExceptions[Active 0/1],1,PersonalExceptions[Effetto],"Activity")</f>
        <v>0</v>
      </c>
      <c r="BC34">
        <f>COUNTIFS(PersonalExceptions[Colonna],7,PersonalExceptions[Dal],"&lt;="&amp;INT(H34),PersonalExceptions[Al],"&gt;="&amp;INT(H34),PersonalExceptions[Active 0/1],1,PersonalExceptions[Effetto],"Activity")</f>
        <v>0</v>
      </c>
      <c r="BE34">
        <f>IF(Planner!B$10="Nessuno",0,COUNTIFS(ImportedHolidays[Calendar],Planner!B$10,ImportedHolidays[Date],INT(B34),ImportedHolidays[Active],1,ImportedHolidays[Kind],"WORKDAY"))</f>
        <v>0</v>
      </c>
      <c r="BF34">
        <f>IF(Planner!C$10="Nessuno",0,COUNTIFS(ImportedHolidays[Calendar],Planner!C$10,ImportedHolidays[Date],INT(C34),ImportedHolidays[Active],1,ImportedHolidays[Kind],"WORKDAY"))</f>
        <v>0</v>
      </c>
      <c r="BG34">
        <f>IF(Planner!D$10="Nessuno",0,COUNTIFS(ImportedHolidays[Calendar],Planner!D$10,ImportedHolidays[Date],INT(D34),ImportedHolidays[Active],1,ImportedHolidays[Kind],"WORKDAY"))</f>
        <v>0</v>
      </c>
      <c r="BH34">
        <f>IF(Planner!E$10="Nessuno",0,COUNTIFS(ImportedHolidays[Calendar],Planner!E$10,ImportedHolidays[Date],INT(E34),ImportedHolidays[Active],1,ImportedHolidays[Kind],"WORKDAY"))</f>
        <v>0</v>
      </c>
      <c r="BI34">
        <f>IF(Planner!F$10="Nessuno",0,COUNTIFS(ImportedHolidays[Calendar],Planner!F$10,ImportedHolidays[Date],INT(F34),ImportedHolidays[Active],1,ImportedHolidays[Kind],"WORKDAY"))</f>
        <v>0</v>
      </c>
      <c r="BJ34">
        <f>IF(Planner!G$10="Nessuno",0,COUNTIFS(ImportedHolidays[Calendar],Planner!G$10,ImportedHolidays[Date],INT(G34),ImportedHolidays[Active],1,ImportedHolidays[Kind],"WORKDAY"))</f>
        <v>0</v>
      </c>
      <c r="BK34">
        <f>IF(Planner!H$10="Nessuno",0,COUNTIFS(ImportedHolidays[Calendar],Planner!H$10,ImportedHolidays[Date],INT(H34),ImportedHolidays[Active],1,ImportedHolidays[Kind],"WORKDAY"))</f>
        <v>0</v>
      </c>
      <c r="BM34">
        <f>IF(MOD(J34-B$11,1440)&lt;B$12,2,IF(OR(MOD(J34-B$11,1440)&lt;B$12+ROUND(Planner!$D$5*60,0),MOD(J34-B$11,1440)&gt;=1440-ROUND(Planner!$B$5*60,0)),1,0))</f>
        <v>2</v>
      </c>
      <c r="BN34">
        <f>IF(MOD(K34-C$11,1440)&lt;C$12,2,IF(OR(MOD(K34-C$11,1440)&lt;C$12+ROUND(Planner!$D$5*60,0),MOD(K34-C$11,1440)&gt;=1440-ROUND(Planner!$B$5*60,0)),1,0))</f>
        <v>2</v>
      </c>
      <c r="BO34">
        <f>IF(MOD(L34-D$11,1440)&lt;D$12,2,IF(OR(MOD(L34-D$11,1440)&lt;D$12+ROUND(Planner!$D$5*60,0),MOD(L34-D$11,1440)&gt;=1440-ROUND(Planner!$B$5*60,0)),1,0))</f>
        <v>2</v>
      </c>
      <c r="BP34">
        <f>IF(MOD(M34-E$11,1440)&lt;E$12,2,IF(OR(MOD(M34-E$11,1440)&lt;E$12+ROUND(Planner!$D$5*60,0),MOD(M34-E$11,1440)&gt;=1440-ROUND(Planner!$B$5*60,0)),1,0))</f>
        <v>2</v>
      </c>
      <c r="BQ34">
        <f>IF(MOD(N34-F$11,1440)&lt;F$12,2,IF(OR(MOD(N34-F$11,1440)&lt;F$12+ROUND(Planner!$D$5*60,0),MOD(N34-F$11,1440)&gt;=1440-ROUND(Planner!$B$5*60,0)),1,0))</f>
        <v>2</v>
      </c>
      <c r="BR34">
        <f>IF(MOD(O34-G$11,1440)&lt;G$12,2,IF(OR(MOD(O34-G$11,1440)&lt;G$12+ROUND(Planner!$D$5*60,0),MOD(O34-G$11,1440)&gt;=1440-ROUND(Planner!$B$5*60,0)),1,0))</f>
        <v>0</v>
      </c>
      <c r="BS34">
        <f>IF(MOD(P34-H$11,1440)&lt;H$12,2,IF(OR(MOD(P34-H$11,1440)&lt;H$12+ROUND(Planner!$D$5*60,0),MOD(P34-H$11,1440)&gt;=1440-ROUND(Planner!$B$5*60,0)),1,0))</f>
        <v>0</v>
      </c>
    </row>
    <row r="35" spans="1:71">
      <c r="A35" s="22">
        <f>ROUND(($B$6+18*60/1440)*1440,0)/1440</f>
        <v>46289.458333333336</v>
      </c>
      <c r="B35" s="22">
        <f>IF(COUNTIFS(ZonePeriods[Code],Planner!B$9,ZonePeriods[FromUtc],"&lt;="&amp;$A35,ZonePeriods[UntilUtc],"&gt;"&amp;$A35)=1,ROUND(($A35+SUMIFS(ZonePeriods[OffsetHours],ZonePeriods[Code],Planner!B$9,ZonePeriods[FromUtc],"&lt;="&amp;$A35,ZonePeriods[UntilUtc],"&gt;"&amp;$A35)/24)*1440,0)/1440,NA())</f>
        <v>46289.75</v>
      </c>
      <c r="C35" s="22">
        <f>IF(COUNTIFS(ZonePeriods[Code],Planner!C$9,ZonePeriods[FromUtc],"&lt;="&amp;$A35,ZonePeriods[UntilUtc],"&gt;"&amp;$A35)=1,ROUND(($A35+SUMIFS(ZonePeriods[OffsetHours],ZonePeriods[Code],Planner!C$9,ZonePeriods[FromUtc],"&lt;="&amp;$A35,ZonePeriods[UntilUtc],"&gt;"&amp;$A35)/24)*1440,0)/1440,NA())</f>
        <v>46289.6875</v>
      </c>
      <c r="D35" s="22">
        <f>IF(COUNTIFS(ZonePeriods[Code],Planner!D$9,ZonePeriods[FromUtc],"&lt;="&amp;$A35,ZonePeriods[UntilUtc],"&gt;"&amp;$A35)=1,ROUND(($A35+SUMIFS(ZonePeriods[OffsetHours],ZonePeriods[Code],Planner!D$9,ZonePeriods[FromUtc],"&lt;="&amp;$A35,ZonePeriods[UntilUtc],"&gt;"&amp;$A35)/24)*1440,0)/1440,NA())</f>
        <v>46289.583333333336</v>
      </c>
      <c r="E35" s="22">
        <f>IF(COUNTIFS(ZonePeriods[Code],Planner!E$9,ZonePeriods[FromUtc],"&lt;="&amp;$A35,ZonePeriods[UntilUtc],"&gt;"&amp;$A35)=1,ROUND(($A35+SUMIFS(ZonePeriods[OffsetHours],ZonePeriods[Code],Planner!E$9,ZonePeriods[FromUtc],"&lt;="&amp;$A35,ZonePeriods[UntilUtc],"&gt;"&amp;$A35)/24)*1440,0)/1440,NA())</f>
        <v>46289.541666666664</v>
      </c>
      <c r="F35" s="22">
        <f>IF(COUNTIFS(ZonePeriods[Code],Planner!F$9,ZonePeriods[FromUtc],"&lt;="&amp;$A35,ZonePeriods[UntilUtc],"&gt;"&amp;$A35)=1,ROUND(($A35+SUMIFS(ZonePeriods[OffsetHours],ZonePeriods[Code],Planner!F$9,ZonePeriods[FromUtc],"&lt;="&amp;$A35,ZonePeriods[UntilUtc],"&gt;"&amp;$A35)/24)*1440,0)/1440,NA())</f>
        <v>46289.5</v>
      </c>
      <c r="G35" s="22">
        <f>IF(COUNTIFS(ZonePeriods[Code],Planner!G$9,ZonePeriods[FromUtc],"&lt;="&amp;$A35,ZonePeriods[UntilUtc],"&gt;"&amp;$A35)=1,ROUND(($A35+SUMIFS(ZonePeriods[OffsetHours],ZonePeriods[Code],Planner!G$9,ZonePeriods[FromUtc],"&lt;="&amp;$A35,ZonePeriods[UntilUtc],"&gt;"&amp;$A35)/24)*1440,0)/1440,NA())</f>
        <v>46289.291666666664</v>
      </c>
      <c r="H35" s="22">
        <f>IF(COUNTIFS(ZonePeriods[Code],Planner!H$9,ZonePeriods[FromUtc],"&lt;="&amp;$A35,ZonePeriods[UntilUtc],"&gt;"&amp;$A35)=1,ROUND(($A35+SUMIFS(ZonePeriods[OffsetHours],ZonePeriods[Code],Planner!H$9,ZonePeriods[FromUtc],"&lt;="&amp;$A35,ZonePeriods[UntilUtc],"&gt;"&amp;$A35)/24)*1440,0)/1440,NA())</f>
        <v>46289.166666666664</v>
      </c>
      <c r="I35" s="1"/>
      <c r="J35" s="1">
        <f t="shared" si="0"/>
        <v>1080</v>
      </c>
      <c r="K35" s="1">
        <f t="shared" si="1"/>
        <v>990</v>
      </c>
      <c r="L35" s="1">
        <f t="shared" si="2"/>
        <v>840</v>
      </c>
      <c r="M35" s="1">
        <f t="shared" si="3"/>
        <v>780</v>
      </c>
      <c r="N35" s="1">
        <f t="shared" si="4"/>
        <v>720</v>
      </c>
      <c r="O35" s="1">
        <f t="shared" si="5"/>
        <v>420</v>
      </c>
      <c r="P35" s="1">
        <f t="shared" si="6"/>
        <v>240</v>
      </c>
      <c r="Q35" s="1"/>
      <c r="R35" s="1">
        <f t="shared" si="7"/>
        <v>2</v>
      </c>
      <c r="S35" s="1">
        <f t="shared" si="8"/>
        <v>2</v>
      </c>
      <c r="T35" s="1">
        <f t="shared" si="9"/>
        <v>2</v>
      </c>
      <c r="U35" s="1">
        <f t="shared" si="10"/>
        <v>2</v>
      </c>
      <c r="V35" s="1">
        <f t="shared" si="11"/>
        <v>2</v>
      </c>
      <c r="W35" s="1">
        <f t="shared" si="12"/>
        <v>1</v>
      </c>
      <c r="X35" s="1">
        <f t="shared" si="13"/>
        <v>0</v>
      </c>
      <c r="Y35" s="1"/>
      <c r="Z35" s="1">
        <f>IF(Planner!B$10="Nessuno",0,COUNTIFS(HolidayDates[Calendar],Planner!B$10,HolidayDates[Local date],INT(B35),HolidayDates[Active 0/1],1)+COUNTIFS(ImportedHolidays[Calendar],Planner!B$10,ImportedHolidays[Date],INT(B35),ImportedHolidays[Active],1,ImportedHolidays[Kind],"HOLIDAY"))</f>
        <v>0</v>
      </c>
      <c r="AA35" s="1">
        <f>IF(Planner!C$10="Nessuno",0,COUNTIFS(HolidayDates[Calendar],Planner!C$10,HolidayDates[Local date],INT(C35),HolidayDates[Active 0/1],1)+COUNTIFS(ImportedHolidays[Calendar],Planner!C$10,ImportedHolidays[Date],INT(C35),ImportedHolidays[Active],1,ImportedHolidays[Kind],"HOLIDAY"))</f>
        <v>0</v>
      </c>
      <c r="AB35" s="1">
        <f>IF(Planner!D$10="Nessuno",0,COUNTIFS(HolidayDates[Calendar],Planner!D$10,HolidayDates[Local date],INT(D35),HolidayDates[Active 0/1],1)+COUNTIFS(ImportedHolidays[Calendar],Planner!D$10,ImportedHolidays[Date],INT(D35),ImportedHolidays[Active],1,ImportedHolidays[Kind],"HOLIDAY"))</f>
        <v>0</v>
      </c>
      <c r="AC35" s="1">
        <f>IF(Planner!E$10="Nessuno",0,COUNTIFS(HolidayDates[Calendar],Planner!E$10,HolidayDates[Local date],INT(E35),HolidayDates[Active 0/1],1)+COUNTIFS(ImportedHolidays[Calendar],Planner!E$10,ImportedHolidays[Date],INT(E35),ImportedHolidays[Active],1,ImportedHolidays[Kind],"HOLIDAY"))</f>
        <v>0</v>
      </c>
      <c r="AD35" s="1">
        <f>IF(Planner!F$10="Nessuno",0,COUNTIFS(HolidayDates[Calendar],Planner!F$10,HolidayDates[Local date],INT(F35),HolidayDates[Active 0/1],1)+COUNTIFS(ImportedHolidays[Calendar],Planner!F$10,ImportedHolidays[Date],INT(F35),ImportedHolidays[Active],1,ImportedHolidays[Kind],"HOLIDAY"))</f>
        <v>0</v>
      </c>
      <c r="AE35" s="1">
        <f>IF(Planner!G$10="Nessuno",0,COUNTIFS(HolidayDates[Calendar],Planner!G$10,HolidayDates[Local date],INT(G35),HolidayDates[Active 0/1],1)+COUNTIFS(ImportedHolidays[Calendar],Planner!G$10,ImportedHolidays[Date],INT(G35),ImportedHolidays[Active],1,ImportedHolidays[Kind],"HOLIDAY"))</f>
        <v>0</v>
      </c>
      <c r="AF35" s="1">
        <f>IF(Planner!H$10="Nessuno",0,COUNTIFS(HolidayDates[Calendar],Planner!H$10,HolidayDates[Local date],INT(H35),HolidayDates[Active 0/1],1)+COUNTIFS(ImportedHolidays[Calendar],Planner!H$10,ImportedHolidays[Date],INT(H35),ImportedHolidays[Active],1,ImportedHolidays[Kind],"HOLIDAY"))</f>
        <v>0</v>
      </c>
      <c r="AG35" s="1"/>
      <c r="AH35" s="1" t="b">
        <f>INDEX(Parametri!$G12:$M12,1,WEEKDAY(INT(B35),2))=1</f>
        <v>0</v>
      </c>
      <c r="AI35" s="1" t="b">
        <f>INDEX(Parametri!$G13:$M13,1,WEEKDAY(INT(C35),2))=1</f>
        <v>0</v>
      </c>
      <c r="AJ35" s="1" t="b">
        <f>INDEX(Parametri!$G14:$M14,1,WEEKDAY(INT(D35),2))=1</f>
        <v>0</v>
      </c>
      <c r="AK35" s="1" t="b">
        <f>INDEX(Parametri!$G15:$M15,1,WEEKDAY(INT(E35),2))=1</f>
        <v>0</v>
      </c>
      <c r="AL35" s="1" t="b">
        <f>INDEX(Parametri!$G16:$M16,1,WEEKDAY(INT(F35),2))=1</f>
        <v>0</v>
      </c>
      <c r="AM35" s="1" t="b">
        <f>INDEX(Parametri!$G17:$M17,1,WEEKDAY(INT(G35),2))=1</f>
        <v>0</v>
      </c>
      <c r="AN35" s="1" t="b">
        <f>INDEX(Parametri!$G18:$M18,1,WEEKDAY(INT(H35),2))=1</f>
        <v>0</v>
      </c>
      <c r="AO35">
        <f>COUNTIFS(PersonalExceptions[Colonna],1,PersonalExceptions[Dal],"&lt;="&amp;INT(B35),PersonalExceptions[Al],"&gt;="&amp;INT(B35),PersonalExceptions[Active 0/1],1,PersonalExceptions[Effetto],"Rest")</f>
        <v>0</v>
      </c>
      <c r="AP35">
        <f>COUNTIFS(PersonalExceptions[Colonna],2,PersonalExceptions[Dal],"&lt;="&amp;INT(C35),PersonalExceptions[Al],"&gt;="&amp;INT(C35),PersonalExceptions[Active 0/1],1,PersonalExceptions[Effetto],"Rest")</f>
        <v>0</v>
      </c>
      <c r="AQ35">
        <f>COUNTIFS(PersonalExceptions[Colonna],3,PersonalExceptions[Dal],"&lt;="&amp;INT(D35),PersonalExceptions[Al],"&gt;="&amp;INT(D35),PersonalExceptions[Active 0/1],1,PersonalExceptions[Effetto],"Rest")</f>
        <v>0</v>
      </c>
      <c r="AR35">
        <f>COUNTIFS(PersonalExceptions[Colonna],4,PersonalExceptions[Dal],"&lt;="&amp;INT(E35),PersonalExceptions[Al],"&gt;="&amp;INT(E35),PersonalExceptions[Active 0/1],1,PersonalExceptions[Effetto],"Rest")</f>
        <v>0</v>
      </c>
      <c r="AS35">
        <f>COUNTIFS(PersonalExceptions[Colonna],5,PersonalExceptions[Dal],"&lt;="&amp;INT(F35),PersonalExceptions[Al],"&gt;="&amp;INT(F35),PersonalExceptions[Active 0/1],1,PersonalExceptions[Effetto],"Rest")</f>
        <v>0</v>
      </c>
      <c r="AT35">
        <f>COUNTIFS(PersonalExceptions[Colonna],6,PersonalExceptions[Dal],"&lt;="&amp;INT(G35),PersonalExceptions[Al],"&gt;="&amp;INT(G35),PersonalExceptions[Active 0/1],1,PersonalExceptions[Effetto],"Rest")</f>
        <v>0</v>
      </c>
      <c r="AU35">
        <f>COUNTIFS(PersonalExceptions[Colonna],7,PersonalExceptions[Dal],"&lt;="&amp;INT(H35),PersonalExceptions[Al],"&gt;="&amp;INT(H35),PersonalExceptions[Active 0/1],1,PersonalExceptions[Effetto],"Rest")</f>
        <v>0</v>
      </c>
      <c r="AW35">
        <f>COUNTIFS(PersonalExceptions[Colonna],1,PersonalExceptions[Dal],"&lt;="&amp;INT(B35),PersonalExceptions[Al],"&gt;="&amp;INT(B35),PersonalExceptions[Active 0/1],1,PersonalExceptions[Effetto],"Activity")</f>
        <v>0</v>
      </c>
      <c r="AX35">
        <f>COUNTIFS(PersonalExceptions[Colonna],2,PersonalExceptions[Dal],"&lt;="&amp;INT(C35),PersonalExceptions[Al],"&gt;="&amp;INT(C35),PersonalExceptions[Active 0/1],1,PersonalExceptions[Effetto],"Activity")</f>
        <v>0</v>
      </c>
      <c r="AY35">
        <f>COUNTIFS(PersonalExceptions[Colonna],3,PersonalExceptions[Dal],"&lt;="&amp;INT(D35),PersonalExceptions[Al],"&gt;="&amp;INT(D35),PersonalExceptions[Active 0/1],1,PersonalExceptions[Effetto],"Activity")</f>
        <v>0</v>
      </c>
      <c r="AZ35">
        <f>COUNTIFS(PersonalExceptions[Colonna],4,PersonalExceptions[Dal],"&lt;="&amp;INT(E35),PersonalExceptions[Al],"&gt;="&amp;INT(E35),PersonalExceptions[Active 0/1],1,PersonalExceptions[Effetto],"Activity")</f>
        <v>0</v>
      </c>
      <c r="BA35">
        <f>COUNTIFS(PersonalExceptions[Colonna],5,PersonalExceptions[Dal],"&lt;="&amp;INT(F35),PersonalExceptions[Al],"&gt;="&amp;INT(F35),PersonalExceptions[Active 0/1],1,PersonalExceptions[Effetto],"Activity")</f>
        <v>0</v>
      </c>
      <c r="BB35">
        <f>COUNTIFS(PersonalExceptions[Colonna],6,PersonalExceptions[Dal],"&lt;="&amp;INT(G35),PersonalExceptions[Al],"&gt;="&amp;INT(G35),PersonalExceptions[Active 0/1],1,PersonalExceptions[Effetto],"Activity")</f>
        <v>0</v>
      </c>
      <c r="BC35">
        <f>COUNTIFS(PersonalExceptions[Colonna],7,PersonalExceptions[Dal],"&lt;="&amp;INT(H35),PersonalExceptions[Al],"&gt;="&amp;INT(H35),PersonalExceptions[Active 0/1],1,PersonalExceptions[Effetto],"Activity")</f>
        <v>0</v>
      </c>
      <c r="BE35">
        <f>IF(Planner!B$10="Nessuno",0,COUNTIFS(ImportedHolidays[Calendar],Planner!B$10,ImportedHolidays[Date],INT(B35),ImportedHolidays[Active],1,ImportedHolidays[Kind],"WORKDAY"))</f>
        <v>0</v>
      </c>
      <c r="BF35">
        <f>IF(Planner!C$10="Nessuno",0,COUNTIFS(ImportedHolidays[Calendar],Planner!C$10,ImportedHolidays[Date],INT(C35),ImportedHolidays[Active],1,ImportedHolidays[Kind],"WORKDAY"))</f>
        <v>0</v>
      </c>
      <c r="BG35">
        <f>IF(Planner!D$10="Nessuno",0,COUNTIFS(ImportedHolidays[Calendar],Planner!D$10,ImportedHolidays[Date],INT(D35),ImportedHolidays[Active],1,ImportedHolidays[Kind],"WORKDAY"))</f>
        <v>0</v>
      </c>
      <c r="BH35">
        <f>IF(Planner!E$10="Nessuno",0,COUNTIFS(ImportedHolidays[Calendar],Planner!E$10,ImportedHolidays[Date],INT(E35),ImportedHolidays[Active],1,ImportedHolidays[Kind],"WORKDAY"))</f>
        <v>0</v>
      </c>
      <c r="BI35">
        <f>IF(Planner!F$10="Nessuno",0,COUNTIFS(ImportedHolidays[Calendar],Planner!F$10,ImportedHolidays[Date],INT(F35),ImportedHolidays[Active],1,ImportedHolidays[Kind],"WORKDAY"))</f>
        <v>0</v>
      </c>
      <c r="BJ35">
        <f>IF(Planner!G$10="Nessuno",0,COUNTIFS(ImportedHolidays[Calendar],Planner!G$10,ImportedHolidays[Date],INT(G35),ImportedHolidays[Active],1,ImportedHolidays[Kind],"WORKDAY"))</f>
        <v>0</v>
      </c>
      <c r="BK35">
        <f>IF(Planner!H$10="Nessuno",0,COUNTIFS(ImportedHolidays[Calendar],Planner!H$10,ImportedHolidays[Date],INT(H35),ImportedHolidays[Active],1,ImportedHolidays[Kind],"WORKDAY"))</f>
        <v>0</v>
      </c>
      <c r="BM35">
        <f>IF(MOD(J35-B$11,1440)&lt;B$12,2,IF(OR(MOD(J35-B$11,1440)&lt;B$12+ROUND(Planner!$D$5*60,0),MOD(J35-B$11,1440)&gt;=1440-ROUND(Planner!$B$5*60,0)),1,0))</f>
        <v>2</v>
      </c>
      <c r="BN35">
        <f>IF(MOD(K35-C$11,1440)&lt;C$12,2,IF(OR(MOD(K35-C$11,1440)&lt;C$12+ROUND(Planner!$D$5*60,0),MOD(K35-C$11,1440)&gt;=1440-ROUND(Planner!$B$5*60,0)),1,0))</f>
        <v>2</v>
      </c>
      <c r="BO35">
        <f>IF(MOD(L35-D$11,1440)&lt;D$12,2,IF(OR(MOD(L35-D$11,1440)&lt;D$12+ROUND(Planner!$D$5*60,0),MOD(L35-D$11,1440)&gt;=1440-ROUND(Planner!$B$5*60,0)),1,0))</f>
        <v>2</v>
      </c>
      <c r="BP35">
        <f>IF(MOD(M35-E$11,1440)&lt;E$12,2,IF(OR(MOD(M35-E$11,1440)&lt;E$12+ROUND(Planner!$D$5*60,0),MOD(M35-E$11,1440)&gt;=1440-ROUND(Planner!$B$5*60,0)),1,0))</f>
        <v>2</v>
      </c>
      <c r="BQ35">
        <f>IF(MOD(N35-F$11,1440)&lt;F$12,2,IF(OR(MOD(N35-F$11,1440)&lt;F$12+ROUND(Planner!$D$5*60,0),MOD(N35-F$11,1440)&gt;=1440-ROUND(Planner!$B$5*60,0)),1,0))</f>
        <v>2</v>
      </c>
      <c r="BR35">
        <f>IF(MOD(O35-G$11,1440)&lt;G$12,2,IF(OR(MOD(O35-G$11,1440)&lt;G$12+ROUND(Planner!$D$5*60,0),MOD(O35-G$11,1440)&gt;=1440-ROUND(Planner!$B$5*60,0)),1,0))</f>
        <v>1</v>
      </c>
      <c r="BS35">
        <f>IF(MOD(P35-H$11,1440)&lt;H$12,2,IF(OR(MOD(P35-H$11,1440)&lt;H$12+ROUND(Planner!$D$5*60,0),MOD(P35-H$11,1440)&gt;=1440-ROUND(Planner!$B$5*60,0)),1,0))</f>
        <v>0</v>
      </c>
    </row>
    <row r="36" spans="1:71">
      <c r="A36" s="22">
        <f>ROUND(($B$6+19*60/1440)*1440,0)/1440</f>
        <v>46289.5</v>
      </c>
      <c r="B36" s="22">
        <f>IF(COUNTIFS(ZonePeriods[Code],Planner!B$9,ZonePeriods[FromUtc],"&lt;="&amp;$A36,ZonePeriods[UntilUtc],"&gt;"&amp;$A36)=1,ROUND(($A36+SUMIFS(ZonePeriods[OffsetHours],ZonePeriods[Code],Planner!B$9,ZonePeriods[FromUtc],"&lt;="&amp;$A36,ZonePeriods[UntilUtc],"&gt;"&amp;$A36)/24)*1440,0)/1440,NA())</f>
        <v>46289.791666666664</v>
      </c>
      <c r="C36" s="22">
        <f>IF(COUNTIFS(ZonePeriods[Code],Planner!C$9,ZonePeriods[FromUtc],"&lt;="&amp;$A36,ZonePeriods[UntilUtc],"&gt;"&amp;$A36)=1,ROUND(($A36+SUMIFS(ZonePeriods[OffsetHours],ZonePeriods[Code],Planner!C$9,ZonePeriods[FromUtc],"&lt;="&amp;$A36,ZonePeriods[UntilUtc],"&gt;"&amp;$A36)/24)*1440,0)/1440,NA())</f>
        <v>46289.729166666664</v>
      </c>
      <c r="D36" s="22">
        <f>IF(COUNTIFS(ZonePeriods[Code],Planner!D$9,ZonePeriods[FromUtc],"&lt;="&amp;$A36,ZonePeriods[UntilUtc],"&gt;"&amp;$A36)=1,ROUND(($A36+SUMIFS(ZonePeriods[OffsetHours],ZonePeriods[Code],Planner!D$9,ZonePeriods[FromUtc],"&lt;="&amp;$A36,ZonePeriods[UntilUtc],"&gt;"&amp;$A36)/24)*1440,0)/1440,NA())</f>
        <v>46289.625</v>
      </c>
      <c r="E36" s="22">
        <f>IF(COUNTIFS(ZonePeriods[Code],Planner!E$9,ZonePeriods[FromUtc],"&lt;="&amp;$A36,ZonePeriods[UntilUtc],"&gt;"&amp;$A36)=1,ROUND(($A36+SUMIFS(ZonePeriods[OffsetHours],ZonePeriods[Code],Planner!E$9,ZonePeriods[FromUtc],"&lt;="&amp;$A36,ZonePeriods[UntilUtc],"&gt;"&amp;$A36)/24)*1440,0)/1440,NA())</f>
        <v>46289.583333333336</v>
      </c>
      <c r="F36" s="22">
        <f>IF(COUNTIFS(ZonePeriods[Code],Planner!F$9,ZonePeriods[FromUtc],"&lt;="&amp;$A36,ZonePeriods[UntilUtc],"&gt;"&amp;$A36)=1,ROUND(($A36+SUMIFS(ZonePeriods[OffsetHours],ZonePeriods[Code],Planner!F$9,ZonePeriods[FromUtc],"&lt;="&amp;$A36,ZonePeriods[UntilUtc],"&gt;"&amp;$A36)/24)*1440,0)/1440,NA())</f>
        <v>46289.541666666664</v>
      </c>
      <c r="G36" s="22">
        <f>IF(COUNTIFS(ZonePeriods[Code],Planner!G$9,ZonePeriods[FromUtc],"&lt;="&amp;$A36,ZonePeriods[UntilUtc],"&gt;"&amp;$A36)=1,ROUND(($A36+SUMIFS(ZonePeriods[OffsetHours],ZonePeriods[Code],Planner!G$9,ZonePeriods[FromUtc],"&lt;="&amp;$A36,ZonePeriods[UntilUtc],"&gt;"&amp;$A36)/24)*1440,0)/1440,NA())</f>
        <v>46289.333333333336</v>
      </c>
      <c r="H36" s="22">
        <f>IF(COUNTIFS(ZonePeriods[Code],Planner!H$9,ZonePeriods[FromUtc],"&lt;="&amp;$A36,ZonePeriods[UntilUtc],"&gt;"&amp;$A36)=1,ROUND(($A36+SUMIFS(ZonePeriods[OffsetHours],ZonePeriods[Code],Planner!H$9,ZonePeriods[FromUtc],"&lt;="&amp;$A36,ZonePeriods[UntilUtc],"&gt;"&amp;$A36)/24)*1440,0)/1440,NA())</f>
        <v>46289.208333333336</v>
      </c>
      <c r="I36" s="1"/>
      <c r="J36" s="1">
        <f t="shared" si="0"/>
        <v>1140</v>
      </c>
      <c r="K36" s="1">
        <f t="shared" si="1"/>
        <v>1050</v>
      </c>
      <c r="L36" s="1">
        <f t="shared" si="2"/>
        <v>900</v>
      </c>
      <c r="M36" s="1">
        <f t="shared" si="3"/>
        <v>840</v>
      </c>
      <c r="N36" s="1">
        <f t="shared" si="4"/>
        <v>780</v>
      </c>
      <c r="O36" s="1">
        <f t="shared" si="5"/>
        <v>480</v>
      </c>
      <c r="P36" s="1">
        <f t="shared" si="6"/>
        <v>300</v>
      </c>
      <c r="Q36" s="1"/>
      <c r="R36" s="1">
        <f t="shared" si="7"/>
        <v>2</v>
      </c>
      <c r="S36" s="1">
        <f t="shared" si="8"/>
        <v>2</v>
      </c>
      <c r="T36" s="1">
        <f t="shared" si="9"/>
        <v>2</v>
      </c>
      <c r="U36" s="1">
        <f t="shared" si="10"/>
        <v>2</v>
      </c>
      <c r="V36" s="1">
        <f t="shared" si="11"/>
        <v>2</v>
      </c>
      <c r="W36" s="1">
        <f t="shared" si="12"/>
        <v>1</v>
      </c>
      <c r="X36" s="1">
        <f t="shared" si="13"/>
        <v>0</v>
      </c>
      <c r="Y36" s="1"/>
      <c r="Z36" s="1">
        <f>IF(Planner!B$10="Nessuno",0,COUNTIFS(HolidayDates[Calendar],Planner!B$10,HolidayDates[Local date],INT(B36),HolidayDates[Active 0/1],1)+COUNTIFS(ImportedHolidays[Calendar],Planner!B$10,ImportedHolidays[Date],INT(B36),ImportedHolidays[Active],1,ImportedHolidays[Kind],"HOLIDAY"))</f>
        <v>0</v>
      </c>
      <c r="AA36" s="1">
        <f>IF(Planner!C$10="Nessuno",0,COUNTIFS(HolidayDates[Calendar],Planner!C$10,HolidayDates[Local date],INT(C36),HolidayDates[Active 0/1],1)+COUNTIFS(ImportedHolidays[Calendar],Planner!C$10,ImportedHolidays[Date],INT(C36),ImportedHolidays[Active],1,ImportedHolidays[Kind],"HOLIDAY"))</f>
        <v>0</v>
      </c>
      <c r="AB36" s="1">
        <f>IF(Planner!D$10="Nessuno",0,COUNTIFS(HolidayDates[Calendar],Planner!D$10,HolidayDates[Local date],INT(D36),HolidayDates[Active 0/1],1)+COUNTIFS(ImportedHolidays[Calendar],Planner!D$10,ImportedHolidays[Date],INT(D36),ImportedHolidays[Active],1,ImportedHolidays[Kind],"HOLIDAY"))</f>
        <v>0</v>
      </c>
      <c r="AC36" s="1">
        <f>IF(Planner!E$10="Nessuno",0,COUNTIFS(HolidayDates[Calendar],Planner!E$10,HolidayDates[Local date],INT(E36),HolidayDates[Active 0/1],1)+COUNTIFS(ImportedHolidays[Calendar],Planner!E$10,ImportedHolidays[Date],INT(E36),ImportedHolidays[Active],1,ImportedHolidays[Kind],"HOLIDAY"))</f>
        <v>0</v>
      </c>
      <c r="AD36" s="1">
        <f>IF(Planner!F$10="Nessuno",0,COUNTIFS(HolidayDates[Calendar],Planner!F$10,HolidayDates[Local date],INT(F36),HolidayDates[Active 0/1],1)+COUNTIFS(ImportedHolidays[Calendar],Planner!F$10,ImportedHolidays[Date],INT(F36),ImportedHolidays[Active],1,ImportedHolidays[Kind],"HOLIDAY"))</f>
        <v>0</v>
      </c>
      <c r="AE36" s="1">
        <f>IF(Planner!G$10="Nessuno",0,COUNTIFS(HolidayDates[Calendar],Planner!G$10,HolidayDates[Local date],INT(G36),HolidayDates[Active 0/1],1)+COUNTIFS(ImportedHolidays[Calendar],Planner!G$10,ImportedHolidays[Date],INT(G36),ImportedHolidays[Active],1,ImportedHolidays[Kind],"HOLIDAY"))</f>
        <v>0</v>
      </c>
      <c r="AF36" s="1">
        <f>IF(Planner!H$10="Nessuno",0,COUNTIFS(HolidayDates[Calendar],Planner!H$10,HolidayDates[Local date],INT(H36),HolidayDates[Active 0/1],1)+COUNTIFS(ImportedHolidays[Calendar],Planner!H$10,ImportedHolidays[Date],INT(H36),ImportedHolidays[Active],1,ImportedHolidays[Kind],"HOLIDAY"))</f>
        <v>0</v>
      </c>
      <c r="AG36" s="1"/>
      <c r="AH36" s="1" t="b">
        <f>INDEX(Parametri!$G12:$M12,1,WEEKDAY(INT(B36),2))=1</f>
        <v>0</v>
      </c>
      <c r="AI36" s="1" t="b">
        <f>INDEX(Parametri!$G13:$M13,1,WEEKDAY(INT(C36),2))=1</f>
        <v>0</v>
      </c>
      <c r="AJ36" s="1" t="b">
        <f>INDEX(Parametri!$G14:$M14,1,WEEKDAY(INT(D36),2))=1</f>
        <v>0</v>
      </c>
      <c r="AK36" s="1" t="b">
        <f>INDEX(Parametri!$G15:$M15,1,WEEKDAY(INT(E36),2))=1</f>
        <v>0</v>
      </c>
      <c r="AL36" s="1" t="b">
        <f>INDEX(Parametri!$G16:$M16,1,WEEKDAY(INT(F36),2))=1</f>
        <v>0</v>
      </c>
      <c r="AM36" s="1" t="b">
        <f>INDEX(Parametri!$G17:$M17,1,WEEKDAY(INT(G36),2))=1</f>
        <v>0</v>
      </c>
      <c r="AN36" s="1" t="b">
        <f>INDEX(Parametri!$G18:$M18,1,WEEKDAY(INT(H36),2))=1</f>
        <v>0</v>
      </c>
      <c r="AO36">
        <f>COUNTIFS(PersonalExceptions[Colonna],1,PersonalExceptions[Dal],"&lt;="&amp;INT(B36),PersonalExceptions[Al],"&gt;="&amp;INT(B36),PersonalExceptions[Active 0/1],1,PersonalExceptions[Effetto],"Rest")</f>
        <v>0</v>
      </c>
      <c r="AP36">
        <f>COUNTIFS(PersonalExceptions[Colonna],2,PersonalExceptions[Dal],"&lt;="&amp;INT(C36),PersonalExceptions[Al],"&gt;="&amp;INT(C36),PersonalExceptions[Active 0/1],1,PersonalExceptions[Effetto],"Rest")</f>
        <v>0</v>
      </c>
      <c r="AQ36">
        <f>COUNTIFS(PersonalExceptions[Colonna],3,PersonalExceptions[Dal],"&lt;="&amp;INT(D36),PersonalExceptions[Al],"&gt;="&amp;INT(D36),PersonalExceptions[Active 0/1],1,PersonalExceptions[Effetto],"Rest")</f>
        <v>0</v>
      </c>
      <c r="AR36">
        <f>COUNTIFS(PersonalExceptions[Colonna],4,PersonalExceptions[Dal],"&lt;="&amp;INT(E36),PersonalExceptions[Al],"&gt;="&amp;INT(E36),PersonalExceptions[Active 0/1],1,PersonalExceptions[Effetto],"Rest")</f>
        <v>0</v>
      </c>
      <c r="AS36">
        <f>COUNTIFS(PersonalExceptions[Colonna],5,PersonalExceptions[Dal],"&lt;="&amp;INT(F36),PersonalExceptions[Al],"&gt;="&amp;INT(F36),PersonalExceptions[Active 0/1],1,PersonalExceptions[Effetto],"Rest")</f>
        <v>0</v>
      </c>
      <c r="AT36">
        <f>COUNTIFS(PersonalExceptions[Colonna],6,PersonalExceptions[Dal],"&lt;="&amp;INT(G36),PersonalExceptions[Al],"&gt;="&amp;INT(G36),PersonalExceptions[Active 0/1],1,PersonalExceptions[Effetto],"Rest")</f>
        <v>0</v>
      </c>
      <c r="AU36">
        <f>COUNTIFS(PersonalExceptions[Colonna],7,PersonalExceptions[Dal],"&lt;="&amp;INT(H36),PersonalExceptions[Al],"&gt;="&amp;INT(H36),PersonalExceptions[Active 0/1],1,PersonalExceptions[Effetto],"Rest")</f>
        <v>0</v>
      </c>
      <c r="AW36">
        <f>COUNTIFS(PersonalExceptions[Colonna],1,PersonalExceptions[Dal],"&lt;="&amp;INT(B36),PersonalExceptions[Al],"&gt;="&amp;INT(B36),PersonalExceptions[Active 0/1],1,PersonalExceptions[Effetto],"Activity")</f>
        <v>0</v>
      </c>
      <c r="AX36">
        <f>COUNTIFS(PersonalExceptions[Colonna],2,PersonalExceptions[Dal],"&lt;="&amp;INT(C36),PersonalExceptions[Al],"&gt;="&amp;INT(C36),PersonalExceptions[Active 0/1],1,PersonalExceptions[Effetto],"Activity")</f>
        <v>0</v>
      </c>
      <c r="AY36">
        <f>COUNTIFS(PersonalExceptions[Colonna],3,PersonalExceptions[Dal],"&lt;="&amp;INT(D36),PersonalExceptions[Al],"&gt;="&amp;INT(D36),PersonalExceptions[Active 0/1],1,PersonalExceptions[Effetto],"Activity")</f>
        <v>0</v>
      </c>
      <c r="AZ36">
        <f>COUNTIFS(PersonalExceptions[Colonna],4,PersonalExceptions[Dal],"&lt;="&amp;INT(E36),PersonalExceptions[Al],"&gt;="&amp;INT(E36),PersonalExceptions[Active 0/1],1,PersonalExceptions[Effetto],"Activity")</f>
        <v>0</v>
      </c>
      <c r="BA36">
        <f>COUNTIFS(PersonalExceptions[Colonna],5,PersonalExceptions[Dal],"&lt;="&amp;INT(F36),PersonalExceptions[Al],"&gt;="&amp;INT(F36),PersonalExceptions[Active 0/1],1,PersonalExceptions[Effetto],"Activity")</f>
        <v>0</v>
      </c>
      <c r="BB36">
        <f>COUNTIFS(PersonalExceptions[Colonna],6,PersonalExceptions[Dal],"&lt;="&amp;INT(G36),PersonalExceptions[Al],"&gt;="&amp;INT(G36),PersonalExceptions[Active 0/1],1,PersonalExceptions[Effetto],"Activity")</f>
        <v>0</v>
      </c>
      <c r="BC36">
        <f>COUNTIFS(PersonalExceptions[Colonna],7,PersonalExceptions[Dal],"&lt;="&amp;INT(H36),PersonalExceptions[Al],"&gt;="&amp;INT(H36),PersonalExceptions[Active 0/1],1,PersonalExceptions[Effetto],"Activity")</f>
        <v>0</v>
      </c>
      <c r="BE36">
        <f>IF(Planner!B$10="Nessuno",0,COUNTIFS(ImportedHolidays[Calendar],Planner!B$10,ImportedHolidays[Date],INT(B36),ImportedHolidays[Active],1,ImportedHolidays[Kind],"WORKDAY"))</f>
        <v>0</v>
      </c>
      <c r="BF36">
        <f>IF(Planner!C$10="Nessuno",0,COUNTIFS(ImportedHolidays[Calendar],Planner!C$10,ImportedHolidays[Date],INT(C36),ImportedHolidays[Active],1,ImportedHolidays[Kind],"WORKDAY"))</f>
        <v>0</v>
      </c>
      <c r="BG36">
        <f>IF(Planner!D$10="Nessuno",0,COUNTIFS(ImportedHolidays[Calendar],Planner!D$10,ImportedHolidays[Date],INT(D36),ImportedHolidays[Active],1,ImportedHolidays[Kind],"WORKDAY"))</f>
        <v>0</v>
      </c>
      <c r="BH36">
        <f>IF(Planner!E$10="Nessuno",0,COUNTIFS(ImportedHolidays[Calendar],Planner!E$10,ImportedHolidays[Date],INT(E36),ImportedHolidays[Active],1,ImportedHolidays[Kind],"WORKDAY"))</f>
        <v>0</v>
      </c>
      <c r="BI36">
        <f>IF(Planner!F$10="Nessuno",0,COUNTIFS(ImportedHolidays[Calendar],Planner!F$10,ImportedHolidays[Date],INT(F36),ImportedHolidays[Active],1,ImportedHolidays[Kind],"WORKDAY"))</f>
        <v>0</v>
      </c>
      <c r="BJ36">
        <f>IF(Planner!G$10="Nessuno",0,COUNTIFS(ImportedHolidays[Calendar],Planner!G$10,ImportedHolidays[Date],INT(G36),ImportedHolidays[Active],1,ImportedHolidays[Kind],"WORKDAY"))</f>
        <v>0</v>
      </c>
      <c r="BK36">
        <f>IF(Planner!H$10="Nessuno",0,COUNTIFS(ImportedHolidays[Calendar],Planner!H$10,ImportedHolidays[Date],INT(H36),ImportedHolidays[Active],1,ImportedHolidays[Kind],"WORKDAY"))</f>
        <v>0</v>
      </c>
      <c r="BM36">
        <f>IF(MOD(J36-B$11,1440)&lt;B$12,2,IF(OR(MOD(J36-B$11,1440)&lt;B$12+ROUND(Planner!$D$5*60,0),MOD(J36-B$11,1440)&gt;=1440-ROUND(Planner!$B$5*60,0)),1,0))</f>
        <v>2</v>
      </c>
      <c r="BN36">
        <f>IF(MOD(K36-C$11,1440)&lt;C$12,2,IF(OR(MOD(K36-C$11,1440)&lt;C$12+ROUND(Planner!$D$5*60,0),MOD(K36-C$11,1440)&gt;=1440-ROUND(Planner!$B$5*60,0)),1,0))</f>
        <v>2</v>
      </c>
      <c r="BO36">
        <f>IF(MOD(L36-D$11,1440)&lt;D$12,2,IF(OR(MOD(L36-D$11,1440)&lt;D$12+ROUND(Planner!$D$5*60,0),MOD(L36-D$11,1440)&gt;=1440-ROUND(Planner!$B$5*60,0)),1,0))</f>
        <v>2</v>
      </c>
      <c r="BP36">
        <f>IF(MOD(M36-E$11,1440)&lt;E$12,2,IF(OR(MOD(M36-E$11,1440)&lt;E$12+ROUND(Planner!$D$5*60,0),MOD(M36-E$11,1440)&gt;=1440-ROUND(Planner!$B$5*60,0)),1,0))</f>
        <v>2</v>
      </c>
      <c r="BQ36">
        <f>IF(MOD(N36-F$11,1440)&lt;F$12,2,IF(OR(MOD(N36-F$11,1440)&lt;F$12+ROUND(Planner!$D$5*60,0),MOD(N36-F$11,1440)&gt;=1440-ROUND(Planner!$B$5*60,0)),1,0))</f>
        <v>2</v>
      </c>
      <c r="BR36">
        <f>IF(MOD(O36-G$11,1440)&lt;G$12,2,IF(OR(MOD(O36-G$11,1440)&lt;G$12+ROUND(Planner!$D$5*60,0),MOD(O36-G$11,1440)&gt;=1440-ROUND(Planner!$B$5*60,0)),1,0))</f>
        <v>1</v>
      </c>
      <c r="BS36">
        <f>IF(MOD(P36-H$11,1440)&lt;H$12,2,IF(OR(MOD(P36-H$11,1440)&lt;H$12+ROUND(Planner!$D$5*60,0),MOD(P36-H$11,1440)&gt;=1440-ROUND(Planner!$B$5*60,0)),1,0))</f>
        <v>0</v>
      </c>
    </row>
    <row r="37" spans="1:71">
      <c r="A37" s="22">
        <f>ROUND(($B$6+20*60/1440)*1440,0)/1440</f>
        <v>46289.541666666664</v>
      </c>
      <c r="B37" s="22">
        <f>IF(COUNTIFS(ZonePeriods[Code],Planner!B$9,ZonePeriods[FromUtc],"&lt;="&amp;$A37,ZonePeriods[UntilUtc],"&gt;"&amp;$A37)=1,ROUND(($A37+SUMIFS(ZonePeriods[OffsetHours],ZonePeriods[Code],Planner!B$9,ZonePeriods[FromUtc],"&lt;="&amp;$A37,ZonePeriods[UntilUtc],"&gt;"&amp;$A37)/24)*1440,0)/1440,NA())</f>
        <v>46289.833333333336</v>
      </c>
      <c r="C37" s="22">
        <f>IF(COUNTIFS(ZonePeriods[Code],Planner!C$9,ZonePeriods[FromUtc],"&lt;="&amp;$A37,ZonePeriods[UntilUtc],"&gt;"&amp;$A37)=1,ROUND(($A37+SUMIFS(ZonePeriods[OffsetHours],ZonePeriods[Code],Planner!C$9,ZonePeriods[FromUtc],"&lt;="&amp;$A37,ZonePeriods[UntilUtc],"&gt;"&amp;$A37)/24)*1440,0)/1440,NA())</f>
        <v>46289.770833333336</v>
      </c>
      <c r="D37" s="22">
        <f>IF(COUNTIFS(ZonePeriods[Code],Planner!D$9,ZonePeriods[FromUtc],"&lt;="&amp;$A37,ZonePeriods[UntilUtc],"&gt;"&amp;$A37)=1,ROUND(($A37+SUMIFS(ZonePeriods[OffsetHours],ZonePeriods[Code],Planner!D$9,ZonePeriods[FromUtc],"&lt;="&amp;$A37,ZonePeriods[UntilUtc],"&gt;"&amp;$A37)/24)*1440,0)/1440,NA())</f>
        <v>46289.666666666664</v>
      </c>
      <c r="E37" s="22">
        <f>IF(COUNTIFS(ZonePeriods[Code],Planner!E$9,ZonePeriods[FromUtc],"&lt;="&amp;$A37,ZonePeriods[UntilUtc],"&gt;"&amp;$A37)=1,ROUND(($A37+SUMIFS(ZonePeriods[OffsetHours],ZonePeriods[Code],Planner!E$9,ZonePeriods[FromUtc],"&lt;="&amp;$A37,ZonePeriods[UntilUtc],"&gt;"&amp;$A37)/24)*1440,0)/1440,NA())</f>
        <v>46289.625</v>
      </c>
      <c r="F37" s="22">
        <f>IF(COUNTIFS(ZonePeriods[Code],Planner!F$9,ZonePeriods[FromUtc],"&lt;="&amp;$A37,ZonePeriods[UntilUtc],"&gt;"&amp;$A37)=1,ROUND(($A37+SUMIFS(ZonePeriods[OffsetHours],ZonePeriods[Code],Planner!F$9,ZonePeriods[FromUtc],"&lt;="&amp;$A37,ZonePeriods[UntilUtc],"&gt;"&amp;$A37)/24)*1440,0)/1440,NA())</f>
        <v>46289.583333333336</v>
      </c>
      <c r="G37" s="22">
        <f>IF(COUNTIFS(ZonePeriods[Code],Planner!G$9,ZonePeriods[FromUtc],"&lt;="&amp;$A37,ZonePeriods[UntilUtc],"&gt;"&amp;$A37)=1,ROUND(($A37+SUMIFS(ZonePeriods[OffsetHours],ZonePeriods[Code],Planner!G$9,ZonePeriods[FromUtc],"&lt;="&amp;$A37,ZonePeriods[UntilUtc],"&gt;"&amp;$A37)/24)*1440,0)/1440,NA())</f>
        <v>46289.375</v>
      </c>
      <c r="H37" s="22">
        <f>IF(COUNTIFS(ZonePeriods[Code],Planner!H$9,ZonePeriods[FromUtc],"&lt;="&amp;$A37,ZonePeriods[UntilUtc],"&gt;"&amp;$A37)=1,ROUND(($A37+SUMIFS(ZonePeriods[OffsetHours],ZonePeriods[Code],Planner!H$9,ZonePeriods[FromUtc],"&lt;="&amp;$A37,ZonePeriods[UntilUtc],"&gt;"&amp;$A37)/24)*1440,0)/1440,NA())</f>
        <v>46289.25</v>
      </c>
      <c r="I37" s="1"/>
      <c r="J37" s="1">
        <f t="shared" si="0"/>
        <v>1200</v>
      </c>
      <c r="K37" s="1">
        <f t="shared" si="1"/>
        <v>1110</v>
      </c>
      <c r="L37" s="1">
        <f t="shared" si="2"/>
        <v>960</v>
      </c>
      <c r="M37" s="1">
        <f t="shared" si="3"/>
        <v>900</v>
      </c>
      <c r="N37" s="1">
        <f t="shared" si="4"/>
        <v>840</v>
      </c>
      <c r="O37" s="1">
        <f t="shared" si="5"/>
        <v>540</v>
      </c>
      <c r="P37" s="1">
        <f t="shared" si="6"/>
        <v>360</v>
      </c>
      <c r="Q37" s="1"/>
      <c r="R37" s="1">
        <f t="shared" si="7"/>
        <v>2</v>
      </c>
      <c r="S37" s="1">
        <f t="shared" si="8"/>
        <v>1</v>
      </c>
      <c r="T37" s="1">
        <f t="shared" si="9"/>
        <v>2</v>
      </c>
      <c r="U37" s="1">
        <f t="shared" si="10"/>
        <v>2</v>
      </c>
      <c r="V37" s="1">
        <f t="shared" si="11"/>
        <v>2</v>
      </c>
      <c r="W37" s="1">
        <f t="shared" si="12"/>
        <v>2</v>
      </c>
      <c r="X37" s="1">
        <f t="shared" si="13"/>
        <v>0</v>
      </c>
      <c r="Y37" s="1"/>
      <c r="Z37" s="1">
        <f>IF(Planner!B$10="Nessuno",0,COUNTIFS(HolidayDates[Calendar],Planner!B$10,HolidayDates[Local date],INT(B37),HolidayDates[Active 0/1],1)+COUNTIFS(ImportedHolidays[Calendar],Planner!B$10,ImportedHolidays[Date],INT(B37),ImportedHolidays[Active],1,ImportedHolidays[Kind],"HOLIDAY"))</f>
        <v>0</v>
      </c>
      <c r="AA37" s="1">
        <f>IF(Planner!C$10="Nessuno",0,COUNTIFS(HolidayDates[Calendar],Planner!C$10,HolidayDates[Local date],INT(C37),HolidayDates[Active 0/1],1)+COUNTIFS(ImportedHolidays[Calendar],Planner!C$10,ImportedHolidays[Date],INT(C37),ImportedHolidays[Active],1,ImportedHolidays[Kind],"HOLIDAY"))</f>
        <v>0</v>
      </c>
      <c r="AB37" s="1">
        <f>IF(Planner!D$10="Nessuno",0,COUNTIFS(HolidayDates[Calendar],Planner!D$10,HolidayDates[Local date],INT(D37),HolidayDates[Active 0/1],1)+COUNTIFS(ImportedHolidays[Calendar],Planner!D$10,ImportedHolidays[Date],INT(D37),ImportedHolidays[Active],1,ImportedHolidays[Kind],"HOLIDAY"))</f>
        <v>0</v>
      </c>
      <c r="AC37" s="1">
        <f>IF(Planner!E$10="Nessuno",0,COUNTIFS(HolidayDates[Calendar],Planner!E$10,HolidayDates[Local date],INT(E37),HolidayDates[Active 0/1],1)+COUNTIFS(ImportedHolidays[Calendar],Planner!E$10,ImportedHolidays[Date],INT(E37),ImportedHolidays[Active],1,ImportedHolidays[Kind],"HOLIDAY"))</f>
        <v>0</v>
      </c>
      <c r="AD37" s="1">
        <f>IF(Planner!F$10="Nessuno",0,COUNTIFS(HolidayDates[Calendar],Planner!F$10,HolidayDates[Local date],INT(F37),HolidayDates[Active 0/1],1)+COUNTIFS(ImportedHolidays[Calendar],Planner!F$10,ImportedHolidays[Date],INT(F37),ImportedHolidays[Active],1,ImportedHolidays[Kind],"HOLIDAY"))</f>
        <v>0</v>
      </c>
      <c r="AE37" s="1">
        <f>IF(Planner!G$10="Nessuno",0,COUNTIFS(HolidayDates[Calendar],Planner!G$10,HolidayDates[Local date],INT(G37),HolidayDates[Active 0/1],1)+COUNTIFS(ImportedHolidays[Calendar],Planner!G$10,ImportedHolidays[Date],INT(G37),ImportedHolidays[Active],1,ImportedHolidays[Kind],"HOLIDAY"))</f>
        <v>0</v>
      </c>
      <c r="AF37" s="1">
        <f>IF(Planner!H$10="Nessuno",0,COUNTIFS(HolidayDates[Calendar],Planner!H$10,HolidayDates[Local date],INT(H37),HolidayDates[Active 0/1],1)+COUNTIFS(ImportedHolidays[Calendar],Planner!H$10,ImportedHolidays[Date],INT(H37),ImportedHolidays[Active],1,ImportedHolidays[Kind],"HOLIDAY"))</f>
        <v>0</v>
      </c>
      <c r="AG37" s="1"/>
      <c r="AH37" s="1" t="b">
        <f>INDEX(Parametri!$G12:$M12,1,WEEKDAY(INT(B37),2))=1</f>
        <v>0</v>
      </c>
      <c r="AI37" s="1" t="b">
        <f>INDEX(Parametri!$G13:$M13,1,WEEKDAY(INT(C37),2))=1</f>
        <v>0</v>
      </c>
      <c r="AJ37" s="1" t="b">
        <f>INDEX(Parametri!$G14:$M14,1,WEEKDAY(INT(D37),2))=1</f>
        <v>0</v>
      </c>
      <c r="AK37" s="1" t="b">
        <f>INDEX(Parametri!$G15:$M15,1,WEEKDAY(INT(E37),2))=1</f>
        <v>0</v>
      </c>
      <c r="AL37" s="1" t="b">
        <f>INDEX(Parametri!$G16:$M16,1,WEEKDAY(INT(F37),2))=1</f>
        <v>0</v>
      </c>
      <c r="AM37" s="1" t="b">
        <f>INDEX(Parametri!$G17:$M17,1,WEEKDAY(INT(G37),2))=1</f>
        <v>0</v>
      </c>
      <c r="AN37" s="1" t="b">
        <f>INDEX(Parametri!$G18:$M18,1,WEEKDAY(INT(H37),2))=1</f>
        <v>0</v>
      </c>
      <c r="AO37">
        <f>COUNTIFS(PersonalExceptions[Colonna],1,PersonalExceptions[Dal],"&lt;="&amp;INT(B37),PersonalExceptions[Al],"&gt;="&amp;INT(B37),PersonalExceptions[Active 0/1],1,PersonalExceptions[Effetto],"Rest")</f>
        <v>0</v>
      </c>
      <c r="AP37">
        <f>COUNTIFS(PersonalExceptions[Colonna],2,PersonalExceptions[Dal],"&lt;="&amp;INT(C37),PersonalExceptions[Al],"&gt;="&amp;INT(C37),PersonalExceptions[Active 0/1],1,PersonalExceptions[Effetto],"Rest")</f>
        <v>0</v>
      </c>
      <c r="AQ37">
        <f>COUNTIFS(PersonalExceptions[Colonna],3,PersonalExceptions[Dal],"&lt;="&amp;INT(D37),PersonalExceptions[Al],"&gt;="&amp;INT(D37),PersonalExceptions[Active 0/1],1,PersonalExceptions[Effetto],"Rest")</f>
        <v>0</v>
      </c>
      <c r="AR37">
        <f>COUNTIFS(PersonalExceptions[Colonna],4,PersonalExceptions[Dal],"&lt;="&amp;INT(E37),PersonalExceptions[Al],"&gt;="&amp;INT(E37),PersonalExceptions[Active 0/1],1,PersonalExceptions[Effetto],"Rest")</f>
        <v>0</v>
      </c>
      <c r="AS37">
        <f>COUNTIFS(PersonalExceptions[Colonna],5,PersonalExceptions[Dal],"&lt;="&amp;INT(F37),PersonalExceptions[Al],"&gt;="&amp;INT(F37),PersonalExceptions[Active 0/1],1,PersonalExceptions[Effetto],"Rest")</f>
        <v>0</v>
      </c>
      <c r="AT37">
        <f>COUNTIFS(PersonalExceptions[Colonna],6,PersonalExceptions[Dal],"&lt;="&amp;INT(G37),PersonalExceptions[Al],"&gt;="&amp;INT(G37),PersonalExceptions[Active 0/1],1,PersonalExceptions[Effetto],"Rest")</f>
        <v>0</v>
      </c>
      <c r="AU37">
        <f>COUNTIFS(PersonalExceptions[Colonna],7,PersonalExceptions[Dal],"&lt;="&amp;INT(H37),PersonalExceptions[Al],"&gt;="&amp;INT(H37),PersonalExceptions[Active 0/1],1,PersonalExceptions[Effetto],"Rest")</f>
        <v>0</v>
      </c>
      <c r="AW37">
        <f>COUNTIFS(PersonalExceptions[Colonna],1,PersonalExceptions[Dal],"&lt;="&amp;INT(B37),PersonalExceptions[Al],"&gt;="&amp;INT(B37),PersonalExceptions[Active 0/1],1,PersonalExceptions[Effetto],"Activity")</f>
        <v>0</v>
      </c>
      <c r="AX37">
        <f>COUNTIFS(PersonalExceptions[Colonna],2,PersonalExceptions[Dal],"&lt;="&amp;INT(C37),PersonalExceptions[Al],"&gt;="&amp;INT(C37),PersonalExceptions[Active 0/1],1,PersonalExceptions[Effetto],"Activity")</f>
        <v>0</v>
      </c>
      <c r="AY37">
        <f>COUNTIFS(PersonalExceptions[Colonna],3,PersonalExceptions[Dal],"&lt;="&amp;INT(D37),PersonalExceptions[Al],"&gt;="&amp;INT(D37),PersonalExceptions[Active 0/1],1,PersonalExceptions[Effetto],"Activity")</f>
        <v>0</v>
      </c>
      <c r="AZ37">
        <f>COUNTIFS(PersonalExceptions[Colonna],4,PersonalExceptions[Dal],"&lt;="&amp;INT(E37),PersonalExceptions[Al],"&gt;="&amp;INT(E37),PersonalExceptions[Active 0/1],1,PersonalExceptions[Effetto],"Activity")</f>
        <v>0</v>
      </c>
      <c r="BA37">
        <f>COUNTIFS(PersonalExceptions[Colonna],5,PersonalExceptions[Dal],"&lt;="&amp;INT(F37),PersonalExceptions[Al],"&gt;="&amp;INT(F37),PersonalExceptions[Active 0/1],1,PersonalExceptions[Effetto],"Activity")</f>
        <v>0</v>
      </c>
      <c r="BB37">
        <f>COUNTIFS(PersonalExceptions[Colonna],6,PersonalExceptions[Dal],"&lt;="&amp;INT(G37),PersonalExceptions[Al],"&gt;="&amp;INT(G37),PersonalExceptions[Active 0/1],1,PersonalExceptions[Effetto],"Activity")</f>
        <v>0</v>
      </c>
      <c r="BC37">
        <f>COUNTIFS(PersonalExceptions[Colonna],7,PersonalExceptions[Dal],"&lt;="&amp;INT(H37),PersonalExceptions[Al],"&gt;="&amp;INT(H37),PersonalExceptions[Active 0/1],1,PersonalExceptions[Effetto],"Activity")</f>
        <v>0</v>
      </c>
      <c r="BE37">
        <f>IF(Planner!B$10="Nessuno",0,COUNTIFS(ImportedHolidays[Calendar],Planner!B$10,ImportedHolidays[Date],INT(B37),ImportedHolidays[Active],1,ImportedHolidays[Kind],"WORKDAY"))</f>
        <v>0</v>
      </c>
      <c r="BF37">
        <f>IF(Planner!C$10="Nessuno",0,COUNTIFS(ImportedHolidays[Calendar],Planner!C$10,ImportedHolidays[Date],INT(C37),ImportedHolidays[Active],1,ImportedHolidays[Kind],"WORKDAY"))</f>
        <v>0</v>
      </c>
      <c r="BG37">
        <f>IF(Planner!D$10="Nessuno",0,COUNTIFS(ImportedHolidays[Calendar],Planner!D$10,ImportedHolidays[Date],INT(D37),ImportedHolidays[Active],1,ImportedHolidays[Kind],"WORKDAY"))</f>
        <v>0</v>
      </c>
      <c r="BH37">
        <f>IF(Planner!E$10="Nessuno",0,COUNTIFS(ImportedHolidays[Calendar],Planner!E$10,ImportedHolidays[Date],INT(E37),ImportedHolidays[Active],1,ImportedHolidays[Kind],"WORKDAY"))</f>
        <v>0</v>
      </c>
      <c r="BI37">
        <f>IF(Planner!F$10="Nessuno",0,COUNTIFS(ImportedHolidays[Calendar],Planner!F$10,ImportedHolidays[Date],INT(F37),ImportedHolidays[Active],1,ImportedHolidays[Kind],"WORKDAY"))</f>
        <v>0</v>
      </c>
      <c r="BJ37">
        <f>IF(Planner!G$10="Nessuno",0,COUNTIFS(ImportedHolidays[Calendar],Planner!G$10,ImportedHolidays[Date],INT(G37),ImportedHolidays[Active],1,ImportedHolidays[Kind],"WORKDAY"))</f>
        <v>0</v>
      </c>
      <c r="BK37">
        <f>IF(Planner!H$10="Nessuno",0,COUNTIFS(ImportedHolidays[Calendar],Planner!H$10,ImportedHolidays[Date],INT(H37),ImportedHolidays[Active],1,ImportedHolidays[Kind],"WORKDAY"))</f>
        <v>0</v>
      </c>
      <c r="BM37">
        <f>IF(MOD(J37-B$11,1440)&lt;B$12,2,IF(OR(MOD(J37-B$11,1440)&lt;B$12+ROUND(Planner!$D$5*60,0),MOD(J37-B$11,1440)&gt;=1440-ROUND(Planner!$B$5*60,0)),1,0))</f>
        <v>2</v>
      </c>
      <c r="BN37">
        <f>IF(MOD(K37-C$11,1440)&lt;C$12,2,IF(OR(MOD(K37-C$11,1440)&lt;C$12+ROUND(Planner!$D$5*60,0),MOD(K37-C$11,1440)&gt;=1440-ROUND(Planner!$B$5*60,0)),1,0))</f>
        <v>1</v>
      </c>
      <c r="BO37">
        <f>IF(MOD(L37-D$11,1440)&lt;D$12,2,IF(OR(MOD(L37-D$11,1440)&lt;D$12+ROUND(Planner!$D$5*60,0),MOD(L37-D$11,1440)&gt;=1440-ROUND(Planner!$B$5*60,0)),1,0))</f>
        <v>2</v>
      </c>
      <c r="BP37">
        <f>IF(MOD(M37-E$11,1440)&lt;E$12,2,IF(OR(MOD(M37-E$11,1440)&lt;E$12+ROUND(Planner!$D$5*60,0),MOD(M37-E$11,1440)&gt;=1440-ROUND(Planner!$B$5*60,0)),1,0))</f>
        <v>2</v>
      </c>
      <c r="BQ37">
        <f>IF(MOD(N37-F$11,1440)&lt;F$12,2,IF(OR(MOD(N37-F$11,1440)&lt;F$12+ROUND(Planner!$D$5*60,0),MOD(N37-F$11,1440)&gt;=1440-ROUND(Planner!$B$5*60,0)),1,0))</f>
        <v>2</v>
      </c>
      <c r="BR37">
        <f>IF(MOD(O37-G$11,1440)&lt;G$12,2,IF(OR(MOD(O37-G$11,1440)&lt;G$12+ROUND(Planner!$D$5*60,0),MOD(O37-G$11,1440)&gt;=1440-ROUND(Planner!$B$5*60,0)),1,0))</f>
        <v>2</v>
      </c>
      <c r="BS37">
        <f>IF(MOD(P37-H$11,1440)&lt;H$12,2,IF(OR(MOD(P37-H$11,1440)&lt;H$12+ROUND(Planner!$D$5*60,0),MOD(P37-H$11,1440)&gt;=1440-ROUND(Planner!$B$5*60,0)),1,0))</f>
        <v>0</v>
      </c>
    </row>
    <row r="38" spans="1:71">
      <c r="A38" s="22">
        <f>ROUND(($B$6+21*60/1440)*1440,0)/1440</f>
        <v>46289.583333333336</v>
      </c>
      <c r="B38" s="22">
        <f>IF(COUNTIFS(ZonePeriods[Code],Planner!B$9,ZonePeriods[FromUtc],"&lt;="&amp;$A38,ZonePeriods[UntilUtc],"&gt;"&amp;$A38)=1,ROUND(($A38+SUMIFS(ZonePeriods[OffsetHours],ZonePeriods[Code],Planner!B$9,ZonePeriods[FromUtc],"&lt;="&amp;$A38,ZonePeriods[UntilUtc],"&gt;"&amp;$A38)/24)*1440,0)/1440,NA())</f>
        <v>46289.875</v>
      </c>
      <c r="C38" s="22">
        <f>IF(COUNTIFS(ZonePeriods[Code],Planner!C$9,ZonePeriods[FromUtc],"&lt;="&amp;$A38,ZonePeriods[UntilUtc],"&gt;"&amp;$A38)=1,ROUND(($A38+SUMIFS(ZonePeriods[OffsetHours],ZonePeriods[Code],Planner!C$9,ZonePeriods[FromUtc],"&lt;="&amp;$A38,ZonePeriods[UntilUtc],"&gt;"&amp;$A38)/24)*1440,0)/1440,NA())</f>
        <v>46289.8125</v>
      </c>
      <c r="D38" s="22">
        <f>IF(COUNTIFS(ZonePeriods[Code],Planner!D$9,ZonePeriods[FromUtc],"&lt;="&amp;$A38,ZonePeriods[UntilUtc],"&gt;"&amp;$A38)=1,ROUND(($A38+SUMIFS(ZonePeriods[OffsetHours],ZonePeriods[Code],Planner!D$9,ZonePeriods[FromUtc],"&lt;="&amp;$A38,ZonePeriods[UntilUtc],"&gt;"&amp;$A38)/24)*1440,0)/1440,NA())</f>
        <v>46289.708333333336</v>
      </c>
      <c r="E38" s="22">
        <f>IF(COUNTIFS(ZonePeriods[Code],Planner!E$9,ZonePeriods[FromUtc],"&lt;="&amp;$A38,ZonePeriods[UntilUtc],"&gt;"&amp;$A38)=1,ROUND(($A38+SUMIFS(ZonePeriods[OffsetHours],ZonePeriods[Code],Planner!E$9,ZonePeriods[FromUtc],"&lt;="&amp;$A38,ZonePeriods[UntilUtc],"&gt;"&amp;$A38)/24)*1440,0)/1440,NA())</f>
        <v>46289.666666666664</v>
      </c>
      <c r="F38" s="22">
        <f>IF(COUNTIFS(ZonePeriods[Code],Planner!F$9,ZonePeriods[FromUtc],"&lt;="&amp;$A38,ZonePeriods[UntilUtc],"&gt;"&amp;$A38)=1,ROUND(($A38+SUMIFS(ZonePeriods[OffsetHours],ZonePeriods[Code],Planner!F$9,ZonePeriods[FromUtc],"&lt;="&amp;$A38,ZonePeriods[UntilUtc],"&gt;"&amp;$A38)/24)*1440,0)/1440,NA())</f>
        <v>46289.625</v>
      </c>
      <c r="G38" s="22">
        <f>IF(COUNTIFS(ZonePeriods[Code],Planner!G$9,ZonePeriods[FromUtc],"&lt;="&amp;$A38,ZonePeriods[UntilUtc],"&gt;"&amp;$A38)=1,ROUND(($A38+SUMIFS(ZonePeriods[OffsetHours],ZonePeriods[Code],Planner!G$9,ZonePeriods[FromUtc],"&lt;="&amp;$A38,ZonePeriods[UntilUtc],"&gt;"&amp;$A38)/24)*1440,0)/1440,NA())</f>
        <v>46289.416666666664</v>
      </c>
      <c r="H38" s="22">
        <f>IF(COUNTIFS(ZonePeriods[Code],Planner!H$9,ZonePeriods[FromUtc],"&lt;="&amp;$A38,ZonePeriods[UntilUtc],"&gt;"&amp;$A38)=1,ROUND(($A38+SUMIFS(ZonePeriods[OffsetHours],ZonePeriods[Code],Planner!H$9,ZonePeriods[FromUtc],"&lt;="&amp;$A38,ZonePeriods[UntilUtc],"&gt;"&amp;$A38)/24)*1440,0)/1440,NA())</f>
        <v>46289.291666666664</v>
      </c>
      <c r="I38" s="1"/>
      <c r="J38" s="1">
        <f t="shared" si="0"/>
        <v>1260</v>
      </c>
      <c r="K38" s="1">
        <f t="shared" si="1"/>
        <v>1170</v>
      </c>
      <c r="L38" s="1">
        <f t="shared" si="2"/>
        <v>1020</v>
      </c>
      <c r="M38" s="1">
        <f t="shared" si="3"/>
        <v>960</v>
      </c>
      <c r="N38" s="1">
        <f t="shared" si="4"/>
        <v>900</v>
      </c>
      <c r="O38" s="1">
        <f t="shared" si="5"/>
        <v>600</v>
      </c>
      <c r="P38" s="1">
        <f t="shared" si="6"/>
        <v>420</v>
      </c>
      <c r="Q38" s="1"/>
      <c r="R38" s="1">
        <f t="shared" si="7"/>
        <v>2</v>
      </c>
      <c r="S38" s="1">
        <f t="shared" si="8"/>
        <v>1</v>
      </c>
      <c r="T38" s="1">
        <f t="shared" si="9"/>
        <v>2</v>
      </c>
      <c r="U38" s="1">
        <f t="shared" si="10"/>
        <v>2</v>
      </c>
      <c r="V38" s="1">
        <f t="shared" si="11"/>
        <v>2</v>
      </c>
      <c r="W38" s="1">
        <f t="shared" si="12"/>
        <v>2</v>
      </c>
      <c r="X38" s="1">
        <f t="shared" si="13"/>
        <v>1</v>
      </c>
      <c r="Y38" s="1"/>
      <c r="Z38" s="1">
        <f>IF(Planner!B$10="Nessuno",0,COUNTIFS(HolidayDates[Calendar],Planner!B$10,HolidayDates[Local date],INT(B38),HolidayDates[Active 0/1],1)+COUNTIFS(ImportedHolidays[Calendar],Planner!B$10,ImportedHolidays[Date],INT(B38),ImportedHolidays[Active],1,ImportedHolidays[Kind],"HOLIDAY"))</f>
        <v>0</v>
      </c>
      <c r="AA38" s="1">
        <f>IF(Planner!C$10="Nessuno",0,COUNTIFS(HolidayDates[Calendar],Planner!C$10,HolidayDates[Local date],INT(C38),HolidayDates[Active 0/1],1)+COUNTIFS(ImportedHolidays[Calendar],Planner!C$10,ImportedHolidays[Date],INT(C38),ImportedHolidays[Active],1,ImportedHolidays[Kind],"HOLIDAY"))</f>
        <v>0</v>
      </c>
      <c r="AB38" s="1">
        <f>IF(Planner!D$10="Nessuno",0,COUNTIFS(HolidayDates[Calendar],Planner!D$10,HolidayDates[Local date],INT(D38),HolidayDates[Active 0/1],1)+COUNTIFS(ImportedHolidays[Calendar],Planner!D$10,ImportedHolidays[Date],INT(D38),ImportedHolidays[Active],1,ImportedHolidays[Kind],"HOLIDAY"))</f>
        <v>0</v>
      </c>
      <c r="AC38" s="1">
        <f>IF(Planner!E$10="Nessuno",0,COUNTIFS(HolidayDates[Calendar],Planner!E$10,HolidayDates[Local date],INT(E38),HolidayDates[Active 0/1],1)+COUNTIFS(ImportedHolidays[Calendar],Planner!E$10,ImportedHolidays[Date],INT(E38),ImportedHolidays[Active],1,ImportedHolidays[Kind],"HOLIDAY"))</f>
        <v>0</v>
      </c>
      <c r="AD38" s="1">
        <f>IF(Planner!F$10="Nessuno",0,COUNTIFS(HolidayDates[Calendar],Planner!F$10,HolidayDates[Local date],INT(F38),HolidayDates[Active 0/1],1)+COUNTIFS(ImportedHolidays[Calendar],Planner!F$10,ImportedHolidays[Date],INT(F38),ImportedHolidays[Active],1,ImportedHolidays[Kind],"HOLIDAY"))</f>
        <v>0</v>
      </c>
      <c r="AE38" s="1">
        <f>IF(Planner!G$10="Nessuno",0,COUNTIFS(HolidayDates[Calendar],Planner!G$10,HolidayDates[Local date],INT(G38),HolidayDates[Active 0/1],1)+COUNTIFS(ImportedHolidays[Calendar],Planner!G$10,ImportedHolidays[Date],INT(G38),ImportedHolidays[Active],1,ImportedHolidays[Kind],"HOLIDAY"))</f>
        <v>0</v>
      </c>
      <c r="AF38" s="1">
        <f>IF(Planner!H$10="Nessuno",0,COUNTIFS(HolidayDates[Calendar],Planner!H$10,HolidayDates[Local date],INT(H38),HolidayDates[Active 0/1],1)+COUNTIFS(ImportedHolidays[Calendar],Planner!H$10,ImportedHolidays[Date],INT(H38),ImportedHolidays[Active],1,ImportedHolidays[Kind],"HOLIDAY"))</f>
        <v>0</v>
      </c>
      <c r="AG38" s="1"/>
      <c r="AH38" s="1" t="b">
        <f>INDEX(Parametri!$G12:$M12,1,WEEKDAY(INT(B38),2))=1</f>
        <v>0</v>
      </c>
      <c r="AI38" s="1" t="b">
        <f>INDEX(Parametri!$G13:$M13,1,WEEKDAY(INT(C38),2))=1</f>
        <v>0</v>
      </c>
      <c r="AJ38" s="1" t="b">
        <f>INDEX(Parametri!$G14:$M14,1,WEEKDAY(INT(D38),2))=1</f>
        <v>0</v>
      </c>
      <c r="AK38" s="1" t="b">
        <f>INDEX(Parametri!$G15:$M15,1,WEEKDAY(INT(E38),2))=1</f>
        <v>0</v>
      </c>
      <c r="AL38" s="1" t="b">
        <f>INDEX(Parametri!$G16:$M16,1,WEEKDAY(INT(F38),2))=1</f>
        <v>0</v>
      </c>
      <c r="AM38" s="1" t="b">
        <f>INDEX(Parametri!$G17:$M17,1,WEEKDAY(INT(G38),2))=1</f>
        <v>0</v>
      </c>
      <c r="AN38" s="1" t="b">
        <f>INDEX(Parametri!$G18:$M18,1,WEEKDAY(INT(H38),2))=1</f>
        <v>0</v>
      </c>
      <c r="AO38">
        <f>COUNTIFS(PersonalExceptions[Colonna],1,PersonalExceptions[Dal],"&lt;="&amp;INT(B38),PersonalExceptions[Al],"&gt;="&amp;INT(B38),PersonalExceptions[Active 0/1],1,PersonalExceptions[Effetto],"Rest")</f>
        <v>0</v>
      </c>
      <c r="AP38">
        <f>COUNTIFS(PersonalExceptions[Colonna],2,PersonalExceptions[Dal],"&lt;="&amp;INT(C38),PersonalExceptions[Al],"&gt;="&amp;INT(C38),PersonalExceptions[Active 0/1],1,PersonalExceptions[Effetto],"Rest")</f>
        <v>0</v>
      </c>
      <c r="AQ38">
        <f>COUNTIFS(PersonalExceptions[Colonna],3,PersonalExceptions[Dal],"&lt;="&amp;INT(D38),PersonalExceptions[Al],"&gt;="&amp;INT(D38),PersonalExceptions[Active 0/1],1,PersonalExceptions[Effetto],"Rest")</f>
        <v>0</v>
      </c>
      <c r="AR38">
        <f>COUNTIFS(PersonalExceptions[Colonna],4,PersonalExceptions[Dal],"&lt;="&amp;INT(E38),PersonalExceptions[Al],"&gt;="&amp;INT(E38),PersonalExceptions[Active 0/1],1,PersonalExceptions[Effetto],"Rest")</f>
        <v>0</v>
      </c>
      <c r="AS38">
        <f>COUNTIFS(PersonalExceptions[Colonna],5,PersonalExceptions[Dal],"&lt;="&amp;INT(F38),PersonalExceptions[Al],"&gt;="&amp;INT(F38),PersonalExceptions[Active 0/1],1,PersonalExceptions[Effetto],"Rest")</f>
        <v>0</v>
      </c>
      <c r="AT38">
        <f>COUNTIFS(PersonalExceptions[Colonna],6,PersonalExceptions[Dal],"&lt;="&amp;INT(G38),PersonalExceptions[Al],"&gt;="&amp;INT(G38),PersonalExceptions[Active 0/1],1,PersonalExceptions[Effetto],"Rest")</f>
        <v>0</v>
      </c>
      <c r="AU38">
        <f>COUNTIFS(PersonalExceptions[Colonna],7,PersonalExceptions[Dal],"&lt;="&amp;INT(H38),PersonalExceptions[Al],"&gt;="&amp;INT(H38),PersonalExceptions[Active 0/1],1,PersonalExceptions[Effetto],"Rest")</f>
        <v>0</v>
      </c>
      <c r="AW38">
        <f>COUNTIFS(PersonalExceptions[Colonna],1,PersonalExceptions[Dal],"&lt;="&amp;INT(B38),PersonalExceptions[Al],"&gt;="&amp;INT(B38),PersonalExceptions[Active 0/1],1,PersonalExceptions[Effetto],"Activity")</f>
        <v>0</v>
      </c>
      <c r="AX38">
        <f>COUNTIFS(PersonalExceptions[Colonna],2,PersonalExceptions[Dal],"&lt;="&amp;INT(C38),PersonalExceptions[Al],"&gt;="&amp;INT(C38),PersonalExceptions[Active 0/1],1,PersonalExceptions[Effetto],"Activity")</f>
        <v>0</v>
      </c>
      <c r="AY38">
        <f>COUNTIFS(PersonalExceptions[Colonna],3,PersonalExceptions[Dal],"&lt;="&amp;INT(D38),PersonalExceptions[Al],"&gt;="&amp;INT(D38),PersonalExceptions[Active 0/1],1,PersonalExceptions[Effetto],"Activity")</f>
        <v>0</v>
      </c>
      <c r="AZ38">
        <f>COUNTIFS(PersonalExceptions[Colonna],4,PersonalExceptions[Dal],"&lt;="&amp;INT(E38),PersonalExceptions[Al],"&gt;="&amp;INT(E38),PersonalExceptions[Active 0/1],1,PersonalExceptions[Effetto],"Activity")</f>
        <v>0</v>
      </c>
      <c r="BA38">
        <f>COUNTIFS(PersonalExceptions[Colonna],5,PersonalExceptions[Dal],"&lt;="&amp;INT(F38),PersonalExceptions[Al],"&gt;="&amp;INT(F38),PersonalExceptions[Active 0/1],1,PersonalExceptions[Effetto],"Activity")</f>
        <v>0</v>
      </c>
      <c r="BB38">
        <f>COUNTIFS(PersonalExceptions[Colonna],6,PersonalExceptions[Dal],"&lt;="&amp;INT(G38),PersonalExceptions[Al],"&gt;="&amp;INT(G38),PersonalExceptions[Active 0/1],1,PersonalExceptions[Effetto],"Activity")</f>
        <v>0</v>
      </c>
      <c r="BC38">
        <f>COUNTIFS(PersonalExceptions[Colonna],7,PersonalExceptions[Dal],"&lt;="&amp;INT(H38),PersonalExceptions[Al],"&gt;="&amp;INT(H38),PersonalExceptions[Active 0/1],1,PersonalExceptions[Effetto],"Activity")</f>
        <v>0</v>
      </c>
      <c r="BE38">
        <f>IF(Planner!B$10="Nessuno",0,COUNTIFS(ImportedHolidays[Calendar],Planner!B$10,ImportedHolidays[Date],INT(B38),ImportedHolidays[Active],1,ImportedHolidays[Kind],"WORKDAY"))</f>
        <v>0</v>
      </c>
      <c r="BF38">
        <f>IF(Planner!C$10="Nessuno",0,COUNTIFS(ImportedHolidays[Calendar],Planner!C$10,ImportedHolidays[Date],INT(C38),ImportedHolidays[Active],1,ImportedHolidays[Kind],"WORKDAY"))</f>
        <v>0</v>
      </c>
      <c r="BG38">
        <f>IF(Planner!D$10="Nessuno",0,COUNTIFS(ImportedHolidays[Calendar],Planner!D$10,ImportedHolidays[Date],INT(D38),ImportedHolidays[Active],1,ImportedHolidays[Kind],"WORKDAY"))</f>
        <v>0</v>
      </c>
      <c r="BH38">
        <f>IF(Planner!E$10="Nessuno",0,COUNTIFS(ImportedHolidays[Calendar],Planner!E$10,ImportedHolidays[Date],INT(E38),ImportedHolidays[Active],1,ImportedHolidays[Kind],"WORKDAY"))</f>
        <v>0</v>
      </c>
      <c r="BI38">
        <f>IF(Planner!F$10="Nessuno",0,COUNTIFS(ImportedHolidays[Calendar],Planner!F$10,ImportedHolidays[Date],INT(F38),ImportedHolidays[Active],1,ImportedHolidays[Kind],"WORKDAY"))</f>
        <v>0</v>
      </c>
      <c r="BJ38">
        <f>IF(Planner!G$10="Nessuno",0,COUNTIFS(ImportedHolidays[Calendar],Planner!G$10,ImportedHolidays[Date],INT(G38),ImportedHolidays[Active],1,ImportedHolidays[Kind],"WORKDAY"))</f>
        <v>0</v>
      </c>
      <c r="BK38">
        <f>IF(Planner!H$10="Nessuno",0,COUNTIFS(ImportedHolidays[Calendar],Planner!H$10,ImportedHolidays[Date],INT(H38),ImportedHolidays[Active],1,ImportedHolidays[Kind],"WORKDAY"))</f>
        <v>0</v>
      </c>
      <c r="BM38">
        <f>IF(MOD(J38-B$11,1440)&lt;B$12,2,IF(OR(MOD(J38-B$11,1440)&lt;B$12+ROUND(Planner!$D$5*60,0),MOD(J38-B$11,1440)&gt;=1440-ROUND(Planner!$B$5*60,0)),1,0))</f>
        <v>2</v>
      </c>
      <c r="BN38">
        <f>IF(MOD(K38-C$11,1440)&lt;C$12,2,IF(OR(MOD(K38-C$11,1440)&lt;C$12+ROUND(Planner!$D$5*60,0),MOD(K38-C$11,1440)&gt;=1440-ROUND(Planner!$B$5*60,0)),1,0))</f>
        <v>1</v>
      </c>
      <c r="BO38">
        <f>IF(MOD(L38-D$11,1440)&lt;D$12,2,IF(OR(MOD(L38-D$11,1440)&lt;D$12+ROUND(Planner!$D$5*60,0),MOD(L38-D$11,1440)&gt;=1440-ROUND(Planner!$B$5*60,0)),1,0))</f>
        <v>2</v>
      </c>
      <c r="BP38">
        <f>IF(MOD(M38-E$11,1440)&lt;E$12,2,IF(OR(MOD(M38-E$11,1440)&lt;E$12+ROUND(Planner!$D$5*60,0),MOD(M38-E$11,1440)&gt;=1440-ROUND(Planner!$B$5*60,0)),1,0))</f>
        <v>2</v>
      </c>
      <c r="BQ38">
        <f>IF(MOD(N38-F$11,1440)&lt;F$12,2,IF(OR(MOD(N38-F$11,1440)&lt;F$12+ROUND(Planner!$D$5*60,0),MOD(N38-F$11,1440)&gt;=1440-ROUND(Planner!$B$5*60,0)),1,0))</f>
        <v>2</v>
      </c>
      <c r="BR38">
        <f>IF(MOD(O38-G$11,1440)&lt;G$12,2,IF(OR(MOD(O38-G$11,1440)&lt;G$12+ROUND(Planner!$D$5*60,0),MOD(O38-G$11,1440)&gt;=1440-ROUND(Planner!$B$5*60,0)),1,0))</f>
        <v>2</v>
      </c>
      <c r="BS38">
        <f>IF(MOD(P38-H$11,1440)&lt;H$12,2,IF(OR(MOD(P38-H$11,1440)&lt;H$12+ROUND(Planner!$D$5*60,0),MOD(P38-H$11,1440)&gt;=1440-ROUND(Planner!$B$5*60,0)),1,0))</f>
        <v>1</v>
      </c>
    </row>
    <row r="39" spans="1:71">
      <c r="A39" s="22">
        <f>ROUND(($B$6+22*60/1440)*1440,0)/1440</f>
        <v>46289.625</v>
      </c>
      <c r="B39" s="22">
        <f>IF(COUNTIFS(ZonePeriods[Code],Planner!B$9,ZonePeriods[FromUtc],"&lt;="&amp;$A39,ZonePeriods[UntilUtc],"&gt;"&amp;$A39)=1,ROUND(($A39+SUMIFS(ZonePeriods[OffsetHours],ZonePeriods[Code],Planner!B$9,ZonePeriods[FromUtc],"&lt;="&amp;$A39,ZonePeriods[UntilUtc],"&gt;"&amp;$A39)/24)*1440,0)/1440,NA())</f>
        <v>46289.916666666664</v>
      </c>
      <c r="C39" s="22">
        <f>IF(COUNTIFS(ZonePeriods[Code],Planner!C$9,ZonePeriods[FromUtc],"&lt;="&amp;$A39,ZonePeriods[UntilUtc],"&gt;"&amp;$A39)=1,ROUND(($A39+SUMIFS(ZonePeriods[OffsetHours],ZonePeriods[Code],Planner!C$9,ZonePeriods[FromUtc],"&lt;="&amp;$A39,ZonePeriods[UntilUtc],"&gt;"&amp;$A39)/24)*1440,0)/1440,NA())</f>
        <v>46289.854166666664</v>
      </c>
      <c r="D39" s="22">
        <f>IF(COUNTIFS(ZonePeriods[Code],Planner!D$9,ZonePeriods[FromUtc],"&lt;="&amp;$A39,ZonePeriods[UntilUtc],"&gt;"&amp;$A39)=1,ROUND(($A39+SUMIFS(ZonePeriods[OffsetHours],ZonePeriods[Code],Planner!D$9,ZonePeriods[FromUtc],"&lt;="&amp;$A39,ZonePeriods[UntilUtc],"&gt;"&amp;$A39)/24)*1440,0)/1440,NA())</f>
        <v>46289.75</v>
      </c>
      <c r="E39" s="22">
        <f>IF(COUNTIFS(ZonePeriods[Code],Planner!E$9,ZonePeriods[FromUtc],"&lt;="&amp;$A39,ZonePeriods[UntilUtc],"&gt;"&amp;$A39)=1,ROUND(($A39+SUMIFS(ZonePeriods[OffsetHours],ZonePeriods[Code],Planner!E$9,ZonePeriods[FromUtc],"&lt;="&amp;$A39,ZonePeriods[UntilUtc],"&gt;"&amp;$A39)/24)*1440,0)/1440,NA())</f>
        <v>46289.708333333336</v>
      </c>
      <c r="F39" s="22">
        <f>IF(COUNTIFS(ZonePeriods[Code],Planner!F$9,ZonePeriods[FromUtc],"&lt;="&amp;$A39,ZonePeriods[UntilUtc],"&gt;"&amp;$A39)=1,ROUND(($A39+SUMIFS(ZonePeriods[OffsetHours],ZonePeriods[Code],Planner!F$9,ZonePeriods[FromUtc],"&lt;="&amp;$A39,ZonePeriods[UntilUtc],"&gt;"&amp;$A39)/24)*1440,0)/1440,NA())</f>
        <v>46289.666666666664</v>
      </c>
      <c r="G39" s="22">
        <f>IF(COUNTIFS(ZonePeriods[Code],Planner!G$9,ZonePeriods[FromUtc],"&lt;="&amp;$A39,ZonePeriods[UntilUtc],"&gt;"&amp;$A39)=1,ROUND(($A39+SUMIFS(ZonePeriods[OffsetHours],ZonePeriods[Code],Planner!G$9,ZonePeriods[FromUtc],"&lt;="&amp;$A39,ZonePeriods[UntilUtc],"&gt;"&amp;$A39)/24)*1440,0)/1440,NA())</f>
        <v>46289.458333333336</v>
      </c>
      <c r="H39" s="22">
        <f>IF(COUNTIFS(ZonePeriods[Code],Planner!H$9,ZonePeriods[FromUtc],"&lt;="&amp;$A39,ZonePeriods[UntilUtc],"&gt;"&amp;$A39)=1,ROUND(($A39+SUMIFS(ZonePeriods[OffsetHours],ZonePeriods[Code],Planner!H$9,ZonePeriods[FromUtc],"&lt;="&amp;$A39,ZonePeriods[UntilUtc],"&gt;"&amp;$A39)/24)*1440,0)/1440,NA())</f>
        <v>46289.333333333336</v>
      </c>
      <c r="I39" s="1"/>
      <c r="J39" s="1">
        <f t="shared" si="0"/>
        <v>1320</v>
      </c>
      <c r="K39" s="1">
        <f t="shared" si="1"/>
        <v>1230</v>
      </c>
      <c r="L39" s="1">
        <f t="shared" si="2"/>
        <v>1080</v>
      </c>
      <c r="M39" s="1">
        <f t="shared" si="3"/>
        <v>1020</v>
      </c>
      <c r="N39" s="1">
        <f t="shared" si="4"/>
        <v>960</v>
      </c>
      <c r="O39" s="1">
        <f t="shared" si="5"/>
        <v>660</v>
      </c>
      <c r="P39" s="1">
        <f t="shared" si="6"/>
        <v>480</v>
      </c>
      <c r="Q39" s="1"/>
      <c r="R39" s="1">
        <f t="shared" si="7"/>
        <v>2</v>
      </c>
      <c r="S39" s="1">
        <f t="shared" si="8"/>
        <v>0</v>
      </c>
      <c r="T39" s="1">
        <f t="shared" si="9"/>
        <v>1</v>
      </c>
      <c r="U39" s="1">
        <f t="shared" si="10"/>
        <v>2</v>
      </c>
      <c r="V39" s="1">
        <f t="shared" si="11"/>
        <v>2</v>
      </c>
      <c r="W39" s="1">
        <f t="shared" si="12"/>
        <v>2</v>
      </c>
      <c r="X39" s="1">
        <f t="shared" si="13"/>
        <v>1</v>
      </c>
      <c r="Y39" s="1"/>
      <c r="Z39" s="1">
        <f>IF(Planner!B$10="Nessuno",0,COUNTIFS(HolidayDates[Calendar],Planner!B$10,HolidayDates[Local date],INT(B39),HolidayDates[Active 0/1],1)+COUNTIFS(ImportedHolidays[Calendar],Planner!B$10,ImportedHolidays[Date],INT(B39),ImportedHolidays[Active],1,ImportedHolidays[Kind],"HOLIDAY"))</f>
        <v>0</v>
      </c>
      <c r="AA39" s="1">
        <f>IF(Planner!C$10="Nessuno",0,COUNTIFS(HolidayDates[Calendar],Planner!C$10,HolidayDates[Local date],INT(C39),HolidayDates[Active 0/1],1)+COUNTIFS(ImportedHolidays[Calendar],Planner!C$10,ImportedHolidays[Date],INT(C39),ImportedHolidays[Active],1,ImportedHolidays[Kind],"HOLIDAY"))</f>
        <v>0</v>
      </c>
      <c r="AB39" s="1">
        <f>IF(Planner!D$10="Nessuno",0,COUNTIFS(HolidayDates[Calendar],Planner!D$10,HolidayDates[Local date],INT(D39),HolidayDates[Active 0/1],1)+COUNTIFS(ImportedHolidays[Calendar],Planner!D$10,ImportedHolidays[Date],INT(D39),ImportedHolidays[Active],1,ImportedHolidays[Kind],"HOLIDAY"))</f>
        <v>0</v>
      </c>
      <c r="AC39" s="1">
        <f>IF(Planner!E$10="Nessuno",0,COUNTIFS(HolidayDates[Calendar],Planner!E$10,HolidayDates[Local date],INT(E39),HolidayDates[Active 0/1],1)+COUNTIFS(ImportedHolidays[Calendar],Planner!E$10,ImportedHolidays[Date],INT(E39),ImportedHolidays[Active],1,ImportedHolidays[Kind],"HOLIDAY"))</f>
        <v>0</v>
      </c>
      <c r="AD39" s="1">
        <f>IF(Planner!F$10="Nessuno",0,COUNTIFS(HolidayDates[Calendar],Planner!F$10,HolidayDates[Local date],INT(F39),HolidayDates[Active 0/1],1)+COUNTIFS(ImportedHolidays[Calendar],Planner!F$10,ImportedHolidays[Date],INT(F39),ImportedHolidays[Active],1,ImportedHolidays[Kind],"HOLIDAY"))</f>
        <v>0</v>
      </c>
      <c r="AE39" s="1">
        <f>IF(Planner!G$10="Nessuno",0,COUNTIFS(HolidayDates[Calendar],Planner!G$10,HolidayDates[Local date],INT(G39),HolidayDates[Active 0/1],1)+COUNTIFS(ImportedHolidays[Calendar],Planner!G$10,ImportedHolidays[Date],INT(G39),ImportedHolidays[Active],1,ImportedHolidays[Kind],"HOLIDAY"))</f>
        <v>0</v>
      </c>
      <c r="AF39" s="1">
        <f>IF(Planner!H$10="Nessuno",0,COUNTIFS(HolidayDates[Calendar],Planner!H$10,HolidayDates[Local date],INT(H39),HolidayDates[Active 0/1],1)+COUNTIFS(ImportedHolidays[Calendar],Planner!H$10,ImportedHolidays[Date],INT(H39),ImportedHolidays[Active],1,ImportedHolidays[Kind],"HOLIDAY"))</f>
        <v>0</v>
      </c>
      <c r="AG39" s="1"/>
      <c r="AH39" s="1" t="b">
        <f>INDEX(Parametri!$G12:$M12,1,WEEKDAY(INT(B39),2))=1</f>
        <v>0</v>
      </c>
      <c r="AI39" s="1" t="b">
        <f>INDEX(Parametri!$G13:$M13,1,WEEKDAY(INT(C39),2))=1</f>
        <v>0</v>
      </c>
      <c r="AJ39" s="1" t="b">
        <f>INDEX(Parametri!$G14:$M14,1,WEEKDAY(INT(D39),2))=1</f>
        <v>0</v>
      </c>
      <c r="AK39" s="1" t="b">
        <f>INDEX(Parametri!$G15:$M15,1,WEEKDAY(INT(E39),2))=1</f>
        <v>0</v>
      </c>
      <c r="AL39" s="1" t="b">
        <f>INDEX(Parametri!$G16:$M16,1,WEEKDAY(INT(F39),2))=1</f>
        <v>0</v>
      </c>
      <c r="AM39" s="1" t="b">
        <f>INDEX(Parametri!$G17:$M17,1,WEEKDAY(INT(G39),2))=1</f>
        <v>0</v>
      </c>
      <c r="AN39" s="1" t="b">
        <f>INDEX(Parametri!$G18:$M18,1,WEEKDAY(INT(H39),2))=1</f>
        <v>0</v>
      </c>
      <c r="AO39">
        <f>COUNTIFS(PersonalExceptions[Colonna],1,PersonalExceptions[Dal],"&lt;="&amp;INT(B39),PersonalExceptions[Al],"&gt;="&amp;INT(B39),PersonalExceptions[Active 0/1],1,PersonalExceptions[Effetto],"Rest")</f>
        <v>0</v>
      </c>
      <c r="AP39">
        <f>COUNTIFS(PersonalExceptions[Colonna],2,PersonalExceptions[Dal],"&lt;="&amp;INT(C39),PersonalExceptions[Al],"&gt;="&amp;INT(C39),PersonalExceptions[Active 0/1],1,PersonalExceptions[Effetto],"Rest")</f>
        <v>0</v>
      </c>
      <c r="AQ39">
        <f>COUNTIFS(PersonalExceptions[Colonna],3,PersonalExceptions[Dal],"&lt;="&amp;INT(D39),PersonalExceptions[Al],"&gt;="&amp;INT(D39),PersonalExceptions[Active 0/1],1,PersonalExceptions[Effetto],"Rest")</f>
        <v>0</v>
      </c>
      <c r="AR39">
        <f>COUNTIFS(PersonalExceptions[Colonna],4,PersonalExceptions[Dal],"&lt;="&amp;INT(E39),PersonalExceptions[Al],"&gt;="&amp;INT(E39),PersonalExceptions[Active 0/1],1,PersonalExceptions[Effetto],"Rest")</f>
        <v>0</v>
      </c>
      <c r="AS39">
        <f>COUNTIFS(PersonalExceptions[Colonna],5,PersonalExceptions[Dal],"&lt;="&amp;INT(F39),PersonalExceptions[Al],"&gt;="&amp;INT(F39),PersonalExceptions[Active 0/1],1,PersonalExceptions[Effetto],"Rest")</f>
        <v>0</v>
      </c>
      <c r="AT39">
        <f>COUNTIFS(PersonalExceptions[Colonna],6,PersonalExceptions[Dal],"&lt;="&amp;INT(G39),PersonalExceptions[Al],"&gt;="&amp;INT(G39),PersonalExceptions[Active 0/1],1,PersonalExceptions[Effetto],"Rest")</f>
        <v>0</v>
      </c>
      <c r="AU39">
        <f>COUNTIFS(PersonalExceptions[Colonna],7,PersonalExceptions[Dal],"&lt;="&amp;INT(H39),PersonalExceptions[Al],"&gt;="&amp;INT(H39),PersonalExceptions[Active 0/1],1,PersonalExceptions[Effetto],"Rest")</f>
        <v>0</v>
      </c>
      <c r="AW39">
        <f>COUNTIFS(PersonalExceptions[Colonna],1,PersonalExceptions[Dal],"&lt;="&amp;INT(B39),PersonalExceptions[Al],"&gt;="&amp;INT(B39),PersonalExceptions[Active 0/1],1,PersonalExceptions[Effetto],"Activity")</f>
        <v>0</v>
      </c>
      <c r="AX39">
        <f>COUNTIFS(PersonalExceptions[Colonna],2,PersonalExceptions[Dal],"&lt;="&amp;INT(C39),PersonalExceptions[Al],"&gt;="&amp;INT(C39),PersonalExceptions[Active 0/1],1,PersonalExceptions[Effetto],"Activity")</f>
        <v>0</v>
      </c>
      <c r="AY39">
        <f>COUNTIFS(PersonalExceptions[Colonna],3,PersonalExceptions[Dal],"&lt;="&amp;INT(D39),PersonalExceptions[Al],"&gt;="&amp;INT(D39),PersonalExceptions[Active 0/1],1,PersonalExceptions[Effetto],"Activity")</f>
        <v>0</v>
      </c>
      <c r="AZ39">
        <f>COUNTIFS(PersonalExceptions[Colonna],4,PersonalExceptions[Dal],"&lt;="&amp;INT(E39),PersonalExceptions[Al],"&gt;="&amp;INT(E39),PersonalExceptions[Active 0/1],1,PersonalExceptions[Effetto],"Activity")</f>
        <v>0</v>
      </c>
      <c r="BA39">
        <f>COUNTIFS(PersonalExceptions[Colonna],5,PersonalExceptions[Dal],"&lt;="&amp;INT(F39),PersonalExceptions[Al],"&gt;="&amp;INT(F39),PersonalExceptions[Active 0/1],1,PersonalExceptions[Effetto],"Activity")</f>
        <v>0</v>
      </c>
      <c r="BB39">
        <f>COUNTIFS(PersonalExceptions[Colonna],6,PersonalExceptions[Dal],"&lt;="&amp;INT(G39),PersonalExceptions[Al],"&gt;="&amp;INT(G39),PersonalExceptions[Active 0/1],1,PersonalExceptions[Effetto],"Activity")</f>
        <v>0</v>
      </c>
      <c r="BC39">
        <f>COUNTIFS(PersonalExceptions[Colonna],7,PersonalExceptions[Dal],"&lt;="&amp;INT(H39),PersonalExceptions[Al],"&gt;="&amp;INT(H39),PersonalExceptions[Active 0/1],1,PersonalExceptions[Effetto],"Activity")</f>
        <v>0</v>
      </c>
      <c r="BE39">
        <f>IF(Planner!B$10="Nessuno",0,COUNTIFS(ImportedHolidays[Calendar],Planner!B$10,ImportedHolidays[Date],INT(B39),ImportedHolidays[Active],1,ImportedHolidays[Kind],"WORKDAY"))</f>
        <v>0</v>
      </c>
      <c r="BF39">
        <f>IF(Planner!C$10="Nessuno",0,COUNTIFS(ImportedHolidays[Calendar],Planner!C$10,ImportedHolidays[Date],INT(C39),ImportedHolidays[Active],1,ImportedHolidays[Kind],"WORKDAY"))</f>
        <v>0</v>
      </c>
      <c r="BG39">
        <f>IF(Planner!D$10="Nessuno",0,COUNTIFS(ImportedHolidays[Calendar],Planner!D$10,ImportedHolidays[Date],INT(D39),ImportedHolidays[Active],1,ImportedHolidays[Kind],"WORKDAY"))</f>
        <v>0</v>
      </c>
      <c r="BH39">
        <f>IF(Planner!E$10="Nessuno",0,COUNTIFS(ImportedHolidays[Calendar],Planner!E$10,ImportedHolidays[Date],INT(E39),ImportedHolidays[Active],1,ImportedHolidays[Kind],"WORKDAY"))</f>
        <v>0</v>
      </c>
      <c r="BI39">
        <f>IF(Planner!F$10="Nessuno",0,COUNTIFS(ImportedHolidays[Calendar],Planner!F$10,ImportedHolidays[Date],INT(F39),ImportedHolidays[Active],1,ImportedHolidays[Kind],"WORKDAY"))</f>
        <v>0</v>
      </c>
      <c r="BJ39">
        <f>IF(Planner!G$10="Nessuno",0,COUNTIFS(ImportedHolidays[Calendar],Planner!G$10,ImportedHolidays[Date],INT(G39),ImportedHolidays[Active],1,ImportedHolidays[Kind],"WORKDAY"))</f>
        <v>0</v>
      </c>
      <c r="BK39">
        <f>IF(Planner!H$10="Nessuno",0,COUNTIFS(ImportedHolidays[Calendar],Planner!H$10,ImportedHolidays[Date],INT(H39),ImportedHolidays[Active],1,ImportedHolidays[Kind],"WORKDAY"))</f>
        <v>0</v>
      </c>
      <c r="BM39">
        <f>IF(MOD(J39-B$11,1440)&lt;B$12,2,IF(OR(MOD(J39-B$11,1440)&lt;B$12+ROUND(Planner!$D$5*60,0),MOD(J39-B$11,1440)&gt;=1440-ROUND(Planner!$B$5*60,0)),1,0))</f>
        <v>2</v>
      </c>
      <c r="BN39">
        <f>IF(MOD(K39-C$11,1440)&lt;C$12,2,IF(OR(MOD(K39-C$11,1440)&lt;C$12+ROUND(Planner!$D$5*60,0),MOD(K39-C$11,1440)&gt;=1440-ROUND(Planner!$B$5*60,0)),1,0))</f>
        <v>0</v>
      </c>
      <c r="BO39">
        <f>IF(MOD(L39-D$11,1440)&lt;D$12,2,IF(OR(MOD(L39-D$11,1440)&lt;D$12+ROUND(Planner!$D$5*60,0),MOD(L39-D$11,1440)&gt;=1440-ROUND(Planner!$B$5*60,0)),1,0))</f>
        <v>1</v>
      </c>
      <c r="BP39">
        <f>IF(MOD(M39-E$11,1440)&lt;E$12,2,IF(OR(MOD(M39-E$11,1440)&lt;E$12+ROUND(Planner!$D$5*60,0),MOD(M39-E$11,1440)&gt;=1440-ROUND(Planner!$B$5*60,0)),1,0))</f>
        <v>2</v>
      </c>
      <c r="BQ39">
        <f>IF(MOD(N39-F$11,1440)&lt;F$12,2,IF(OR(MOD(N39-F$11,1440)&lt;F$12+ROUND(Planner!$D$5*60,0),MOD(N39-F$11,1440)&gt;=1440-ROUND(Planner!$B$5*60,0)),1,0))</f>
        <v>2</v>
      </c>
      <c r="BR39">
        <f>IF(MOD(O39-G$11,1440)&lt;G$12,2,IF(OR(MOD(O39-G$11,1440)&lt;G$12+ROUND(Planner!$D$5*60,0),MOD(O39-G$11,1440)&gt;=1440-ROUND(Planner!$B$5*60,0)),1,0))</f>
        <v>2</v>
      </c>
      <c r="BS39">
        <f>IF(MOD(P39-H$11,1440)&lt;H$12,2,IF(OR(MOD(P39-H$11,1440)&lt;H$12+ROUND(Planner!$D$5*60,0),MOD(P39-H$11,1440)&gt;=1440-ROUND(Planner!$B$5*60,0)),1,0))</f>
        <v>1</v>
      </c>
    </row>
    <row r="40" spans="1:71">
      <c r="A40" s="22">
        <f>ROUND(($B$6+23*60/1440)*1440,0)/1440</f>
        <v>46289.666666666664</v>
      </c>
      <c r="B40" s="22">
        <f>IF(COUNTIFS(ZonePeriods[Code],Planner!B$9,ZonePeriods[FromUtc],"&lt;="&amp;$A40,ZonePeriods[UntilUtc],"&gt;"&amp;$A40)=1,ROUND(($A40+SUMIFS(ZonePeriods[OffsetHours],ZonePeriods[Code],Planner!B$9,ZonePeriods[FromUtc],"&lt;="&amp;$A40,ZonePeriods[UntilUtc],"&gt;"&amp;$A40)/24)*1440,0)/1440,NA())</f>
        <v>46289.958333333336</v>
      </c>
      <c r="C40" s="22">
        <f>IF(COUNTIFS(ZonePeriods[Code],Planner!C$9,ZonePeriods[FromUtc],"&lt;="&amp;$A40,ZonePeriods[UntilUtc],"&gt;"&amp;$A40)=1,ROUND(($A40+SUMIFS(ZonePeriods[OffsetHours],ZonePeriods[Code],Planner!C$9,ZonePeriods[FromUtc],"&lt;="&amp;$A40,ZonePeriods[UntilUtc],"&gt;"&amp;$A40)/24)*1440,0)/1440,NA())</f>
        <v>46289.895833333336</v>
      </c>
      <c r="D40" s="22">
        <f>IF(COUNTIFS(ZonePeriods[Code],Planner!D$9,ZonePeriods[FromUtc],"&lt;="&amp;$A40,ZonePeriods[UntilUtc],"&gt;"&amp;$A40)=1,ROUND(($A40+SUMIFS(ZonePeriods[OffsetHours],ZonePeriods[Code],Planner!D$9,ZonePeriods[FromUtc],"&lt;="&amp;$A40,ZonePeriods[UntilUtc],"&gt;"&amp;$A40)/24)*1440,0)/1440,NA())</f>
        <v>46289.791666666664</v>
      </c>
      <c r="E40" s="22">
        <f>IF(COUNTIFS(ZonePeriods[Code],Planner!E$9,ZonePeriods[FromUtc],"&lt;="&amp;$A40,ZonePeriods[UntilUtc],"&gt;"&amp;$A40)=1,ROUND(($A40+SUMIFS(ZonePeriods[OffsetHours],ZonePeriods[Code],Planner!E$9,ZonePeriods[FromUtc],"&lt;="&amp;$A40,ZonePeriods[UntilUtc],"&gt;"&amp;$A40)/24)*1440,0)/1440,NA())</f>
        <v>46289.75</v>
      </c>
      <c r="F40" s="22">
        <f>IF(COUNTIFS(ZonePeriods[Code],Planner!F$9,ZonePeriods[FromUtc],"&lt;="&amp;$A40,ZonePeriods[UntilUtc],"&gt;"&amp;$A40)=1,ROUND(($A40+SUMIFS(ZonePeriods[OffsetHours],ZonePeriods[Code],Planner!F$9,ZonePeriods[FromUtc],"&lt;="&amp;$A40,ZonePeriods[UntilUtc],"&gt;"&amp;$A40)/24)*1440,0)/1440,NA())</f>
        <v>46289.708333333336</v>
      </c>
      <c r="G40" s="22">
        <f>IF(COUNTIFS(ZonePeriods[Code],Planner!G$9,ZonePeriods[FromUtc],"&lt;="&amp;$A40,ZonePeriods[UntilUtc],"&gt;"&amp;$A40)=1,ROUND(($A40+SUMIFS(ZonePeriods[OffsetHours],ZonePeriods[Code],Planner!G$9,ZonePeriods[FromUtc],"&lt;="&amp;$A40,ZonePeriods[UntilUtc],"&gt;"&amp;$A40)/24)*1440,0)/1440,NA())</f>
        <v>46289.5</v>
      </c>
      <c r="H40" s="22">
        <f>IF(COUNTIFS(ZonePeriods[Code],Planner!H$9,ZonePeriods[FromUtc],"&lt;="&amp;$A40,ZonePeriods[UntilUtc],"&gt;"&amp;$A40)=1,ROUND(($A40+SUMIFS(ZonePeriods[OffsetHours],ZonePeriods[Code],Planner!H$9,ZonePeriods[FromUtc],"&lt;="&amp;$A40,ZonePeriods[UntilUtc],"&gt;"&amp;$A40)/24)*1440,0)/1440,NA())</f>
        <v>46289.375</v>
      </c>
      <c r="I40" s="1"/>
      <c r="J40" s="1">
        <f t="shared" si="0"/>
        <v>1380</v>
      </c>
      <c r="K40" s="1">
        <f t="shared" si="1"/>
        <v>1290</v>
      </c>
      <c r="L40" s="1">
        <f t="shared" si="2"/>
        <v>1140</v>
      </c>
      <c r="M40" s="1">
        <f t="shared" si="3"/>
        <v>1080</v>
      </c>
      <c r="N40" s="1">
        <f t="shared" si="4"/>
        <v>1020</v>
      </c>
      <c r="O40" s="1">
        <f t="shared" si="5"/>
        <v>720</v>
      </c>
      <c r="P40" s="1">
        <f t="shared" si="6"/>
        <v>540</v>
      </c>
      <c r="Q40" s="1"/>
      <c r="R40" s="1">
        <f t="shared" si="7"/>
        <v>1</v>
      </c>
      <c r="S40" s="1">
        <f t="shared" si="8"/>
        <v>0</v>
      </c>
      <c r="T40" s="1">
        <f t="shared" si="9"/>
        <v>1</v>
      </c>
      <c r="U40" s="1">
        <f t="shared" si="10"/>
        <v>1</v>
      </c>
      <c r="V40" s="1">
        <f t="shared" si="11"/>
        <v>2</v>
      </c>
      <c r="W40" s="1">
        <f t="shared" si="12"/>
        <v>2</v>
      </c>
      <c r="X40" s="1">
        <f t="shared" si="13"/>
        <v>2</v>
      </c>
      <c r="Y40" s="1"/>
      <c r="Z40" s="1">
        <f>IF(Planner!B$10="Nessuno",0,COUNTIFS(HolidayDates[Calendar],Planner!B$10,HolidayDates[Local date],INT(B40),HolidayDates[Active 0/1],1)+COUNTIFS(ImportedHolidays[Calendar],Planner!B$10,ImportedHolidays[Date],INT(B40),ImportedHolidays[Active],1,ImportedHolidays[Kind],"HOLIDAY"))</f>
        <v>0</v>
      </c>
      <c r="AA40" s="1">
        <f>IF(Planner!C$10="Nessuno",0,COUNTIFS(HolidayDates[Calendar],Planner!C$10,HolidayDates[Local date],INT(C40),HolidayDates[Active 0/1],1)+COUNTIFS(ImportedHolidays[Calendar],Planner!C$10,ImportedHolidays[Date],INT(C40),ImportedHolidays[Active],1,ImportedHolidays[Kind],"HOLIDAY"))</f>
        <v>0</v>
      </c>
      <c r="AB40" s="1">
        <f>IF(Planner!D$10="Nessuno",0,COUNTIFS(HolidayDates[Calendar],Planner!D$10,HolidayDates[Local date],INT(D40),HolidayDates[Active 0/1],1)+COUNTIFS(ImportedHolidays[Calendar],Planner!D$10,ImportedHolidays[Date],INT(D40),ImportedHolidays[Active],1,ImportedHolidays[Kind],"HOLIDAY"))</f>
        <v>0</v>
      </c>
      <c r="AC40" s="1">
        <f>IF(Planner!E$10="Nessuno",0,COUNTIFS(HolidayDates[Calendar],Planner!E$10,HolidayDates[Local date],INT(E40),HolidayDates[Active 0/1],1)+COUNTIFS(ImportedHolidays[Calendar],Planner!E$10,ImportedHolidays[Date],INT(E40),ImportedHolidays[Active],1,ImportedHolidays[Kind],"HOLIDAY"))</f>
        <v>0</v>
      </c>
      <c r="AD40" s="1">
        <f>IF(Planner!F$10="Nessuno",0,COUNTIFS(HolidayDates[Calendar],Planner!F$10,HolidayDates[Local date],INT(F40),HolidayDates[Active 0/1],1)+COUNTIFS(ImportedHolidays[Calendar],Planner!F$10,ImportedHolidays[Date],INT(F40),ImportedHolidays[Active],1,ImportedHolidays[Kind],"HOLIDAY"))</f>
        <v>0</v>
      </c>
      <c r="AE40" s="1">
        <f>IF(Planner!G$10="Nessuno",0,COUNTIFS(HolidayDates[Calendar],Planner!G$10,HolidayDates[Local date],INT(G40),HolidayDates[Active 0/1],1)+COUNTIFS(ImportedHolidays[Calendar],Planner!G$10,ImportedHolidays[Date],INT(G40),ImportedHolidays[Active],1,ImportedHolidays[Kind],"HOLIDAY"))</f>
        <v>0</v>
      </c>
      <c r="AF40" s="1">
        <f>IF(Planner!H$10="Nessuno",0,COUNTIFS(HolidayDates[Calendar],Planner!H$10,HolidayDates[Local date],INT(H40),HolidayDates[Active 0/1],1)+COUNTIFS(ImportedHolidays[Calendar],Planner!H$10,ImportedHolidays[Date],INT(H40),ImportedHolidays[Active],1,ImportedHolidays[Kind],"HOLIDAY"))</f>
        <v>0</v>
      </c>
      <c r="AG40" s="1"/>
      <c r="AH40" s="1" t="b">
        <f>INDEX(Parametri!$G12:$M12,1,WEEKDAY(INT(B40),2))=1</f>
        <v>0</v>
      </c>
      <c r="AI40" s="1" t="b">
        <f>INDEX(Parametri!$G13:$M13,1,WEEKDAY(INT(C40),2))=1</f>
        <v>0</v>
      </c>
      <c r="AJ40" s="1" t="b">
        <f>INDEX(Parametri!$G14:$M14,1,WEEKDAY(INT(D40),2))=1</f>
        <v>0</v>
      </c>
      <c r="AK40" s="1" t="b">
        <f>INDEX(Parametri!$G15:$M15,1,WEEKDAY(INT(E40),2))=1</f>
        <v>0</v>
      </c>
      <c r="AL40" s="1" t="b">
        <f>INDEX(Parametri!$G16:$M16,1,WEEKDAY(INT(F40),2))=1</f>
        <v>0</v>
      </c>
      <c r="AM40" s="1" t="b">
        <f>INDEX(Parametri!$G17:$M17,1,WEEKDAY(INT(G40),2))=1</f>
        <v>0</v>
      </c>
      <c r="AN40" s="1" t="b">
        <f>INDEX(Parametri!$G18:$M18,1,WEEKDAY(INT(H40),2))=1</f>
        <v>0</v>
      </c>
      <c r="AO40">
        <f>COUNTIFS(PersonalExceptions[Colonna],1,PersonalExceptions[Dal],"&lt;="&amp;INT(B40),PersonalExceptions[Al],"&gt;="&amp;INT(B40),PersonalExceptions[Active 0/1],1,PersonalExceptions[Effetto],"Rest")</f>
        <v>0</v>
      </c>
      <c r="AP40">
        <f>COUNTIFS(PersonalExceptions[Colonna],2,PersonalExceptions[Dal],"&lt;="&amp;INT(C40),PersonalExceptions[Al],"&gt;="&amp;INT(C40),PersonalExceptions[Active 0/1],1,PersonalExceptions[Effetto],"Rest")</f>
        <v>0</v>
      </c>
      <c r="AQ40">
        <f>COUNTIFS(PersonalExceptions[Colonna],3,PersonalExceptions[Dal],"&lt;="&amp;INT(D40),PersonalExceptions[Al],"&gt;="&amp;INT(D40),PersonalExceptions[Active 0/1],1,PersonalExceptions[Effetto],"Rest")</f>
        <v>0</v>
      </c>
      <c r="AR40">
        <f>COUNTIFS(PersonalExceptions[Colonna],4,PersonalExceptions[Dal],"&lt;="&amp;INT(E40),PersonalExceptions[Al],"&gt;="&amp;INT(E40),PersonalExceptions[Active 0/1],1,PersonalExceptions[Effetto],"Rest")</f>
        <v>0</v>
      </c>
      <c r="AS40">
        <f>COUNTIFS(PersonalExceptions[Colonna],5,PersonalExceptions[Dal],"&lt;="&amp;INT(F40),PersonalExceptions[Al],"&gt;="&amp;INT(F40),PersonalExceptions[Active 0/1],1,PersonalExceptions[Effetto],"Rest")</f>
        <v>0</v>
      </c>
      <c r="AT40">
        <f>COUNTIFS(PersonalExceptions[Colonna],6,PersonalExceptions[Dal],"&lt;="&amp;INT(G40),PersonalExceptions[Al],"&gt;="&amp;INT(G40),PersonalExceptions[Active 0/1],1,PersonalExceptions[Effetto],"Rest")</f>
        <v>0</v>
      </c>
      <c r="AU40">
        <f>COUNTIFS(PersonalExceptions[Colonna],7,PersonalExceptions[Dal],"&lt;="&amp;INT(H40),PersonalExceptions[Al],"&gt;="&amp;INT(H40),PersonalExceptions[Active 0/1],1,PersonalExceptions[Effetto],"Rest")</f>
        <v>0</v>
      </c>
      <c r="AW40">
        <f>COUNTIFS(PersonalExceptions[Colonna],1,PersonalExceptions[Dal],"&lt;="&amp;INT(B40),PersonalExceptions[Al],"&gt;="&amp;INT(B40),PersonalExceptions[Active 0/1],1,PersonalExceptions[Effetto],"Activity")</f>
        <v>0</v>
      </c>
      <c r="AX40">
        <f>COUNTIFS(PersonalExceptions[Colonna],2,PersonalExceptions[Dal],"&lt;="&amp;INT(C40),PersonalExceptions[Al],"&gt;="&amp;INT(C40),PersonalExceptions[Active 0/1],1,PersonalExceptions[Effetto],"Activity")</f>
        <v>0</v>
      </c>
      <c r="AY40">
        <f>COUNTIFS(PersonalExceptions[Colonna],3,PersonalExceptions[Dal],"&lt;="&amp;INT(D40),PersonalExceptions[Al],"&gt;="&amp;INT(D40),PersonalExceptions[Active 0/1],1,PersonalExceptions[Effetto],"Activity")</f>
        <v>0</v>
      </c>
      <c r="AZ40">
        <f>COUNTIFS(PersonalExceptions[Colonna],4,PersonalExceptions[Dal],"&lt;="&amp;INT(E40),PersonalExceptions[Al],"&gt;="&amp;INT(E40),PersonalExceptions[Active 0/1],1,PersonalExceptions[Effetto],"Activity")</f>
        <v>0</v>
      </c>
      <c r="BA40">
        <f>COUNTIFS(PersonalExceptions[Colonna],5,PersonalExceptions[Dal],"&lt;="&amp;INT(F40),PersonalExceptions[Al],"&gt;="&amp;INT(F40),PersonalExceptions[Active 0/1],1,PersonalExceptions[Effetto],"Activity")</f>
        <v>0</v>
      </c>
      <c r="BB40">
        <f>COUNTIFS(PersonalExceptions[Colonna],6,PersonalExceptions[Dal],"&lt;="&amp;INT(G40),PersonalExceptions[Al],"&gt;="&amp;INT(G40),PersonalExceptions[Active 0/1],1,PersonalExceptions[Effetto],"Activity")</f>
        <v>0</v>
      </c>
      <c r="BC40">
        <f>COUNTIFS(PersonalExceptions[Colonna],7,PersonalExceptions[Dal],"&lt;="&amp;INT(H40),PersonalExceptions[Al],"&gt;="&amp;INT(H40),PersonalExceptions[Active 0/1],1,PersonalExceptions[Effetto],"Activity")</f>
        <v>0</v>
      </c>
      <c r="BE40">
        <f>IF(Planner!B$10="Nessuno",0,COUNTIFS(ImportedHolidays[Calendar],Planner!B$10,ImportedHolidays[Date],INT(B40),ImportedHolidays[Active],1,ImportedHolidays[Kind],"WORKDAY"))</f>
        <v>0</v>
      </c>
      <c r="BF40">
        <f>IF(Planner!C$10="Nessuno",0,COUNTIFS(ImportedHolidays[Calendar],Planner!C$10,ImportedHolidays[Date],INT(C40),ImportedHolidays[Active],1,ImportedHolidays[Kind],"WORKDAY"))</f>
        <v>0</v>
      </c>
      <c r="BG40">
        <f>IF(Planner!D$10="Nessuno",0,COUNTIFS(ImportedHolidays[Calendar],Planner!D$10,ImportedHolidays[Date],INT(D40),ImportedHolidays[Active],1,ImportedHolidays[Kind],"WORKDAY"))</f>
        <v>0</v>
      </c>
      <c r="BH40">
        <f>IF(Planner!E$10="Nessuno",0,COUNTIFS(ImportedHolidays[Calendar],Planner!E$10,ImportedHolidays[Date],INT(E40),ImportedHolidays[Active],1,ImportedHolidays[Kind],"WORKDAY"))</f>
        <v>0</v>
      </c>
      <c r="BI40">
        <f>IF(Planner!F$10="Nessuno",0,COUNTIFS(ImportedHolidays[Calendar],Planner!F$10,ImportedHolidays[Date],INT(F40),ImportedHolidays[Active],1,ImportedHolidays[Kind],"WORKDAY"))</f>
        <v>0</v>
      </c>
      <c r="BJ40">
        <f>IF(Planner!G$10="Nessuno",0,COUNTIFS(ImportedHolidays[Calendar],Planner!G$10,ImportedHolidays[Date],INT(G40),ImportedHolidays[Active],1,ImportedHolidays[Kind],"WORKDAY"))</f>
        <v>0</v>
      </c>
      <c r="BK40">
        <f>IF(Planner!H$10="Nessuno",0,COUNTIFS(ImportedHolidays[Calendar],Planner!H$10,ImportedHolidays[Date],INT(H40),ImportedHolidays[Active],1,ImportedHolidays[Kind],"WORKDAY"))</f>
        <v>0</v>
      </c>
      <c r="BM40">
        <f>IF(MOD(J40-B$11,1440)&lt;B$12,2,IF(OR(MOD(J40-B$11,1440)&lt;B$12+ROUND(Planner!$D$5*60,0),MOD(J40-B$11,1440)&gt;=1440-ROUND(Planner!$B$5*60,0)),1,0))</f>
        <v>1</v>
      </c>
      <c r="BN40">
        <f>IF(MOD(K40-C$11,1440)&lt;C$12,2,IF(OR(MOD(K40-C$11,1440)&lt;C$12+ROUND(Planner!$D$5*60,0),MOD(K40-C$11,1440)&gt;=1440-ROUND(Planner!$B$5*60,0)),1,0))</f>
        <v>0</v>
      </c>
      <c r="BO40">
        <f>IF(MOD(L40-D$11,1440)&lt;D$12,2,IF(OR(MOD(L40-D$11,1440)&lt;D$12+ROUND(Planner!$D$5*60,0),MOD(L40-D$11,1440)&gt;=1440-ROUND(Planner!$B$5*60,0)),1,0))</f>
        <v>1</v>
      </c>
      <c r="BP40">
        <f>IF(MOD(M40-E$11,1440)&lt;E$12,2,IF(OR(MOD(M40-E$11,1440)&lt;E$12+ROUND(Planner!$D$5*60,0),MOD(M40-E$11,1440)&gt;=1440-ROUND(Planner!$B$5*60,0)),1,0))</f>
        <v>1</v>
      </c>
      <c r="BQ40">
        <f>IF(MOD(N40-F$11,1440)&lt;F$12,2,IF(OR(MOD(N40-F$11,1440)&lt;F$12+ROUND(Planner!$D$5*60,0),MOD(N40-F$11,1440)&gt;=1440-ROUND(Planner!$B$5*60,0)),1,0))</f>
        <v>2</v>
      </c>
      <c r="BR40">
        <f>IF(MOD(O40-G$11,1440)&lt;G$12,2,IF(OR(MOD(O40-G$11,1440)&lt;G$12+ROUND(Planner!$D$5*60,0),MOD(O40-G$11,1440)&gt;=1440-ROUND(Planner!$B$5*60,0)),1,0))</f>
        <v>2</v>
      </c>
      <c r="BS40">
        <f>IF(MOD(P40-H$11,1440)&lt;H$12,2,IF(OR(MOD(P40-H$11,1440)&lt;H$12+ROUND(Planner!$D$5*60,0),MOD(P40-H$11,1440)&gt;=1440-ROUND(Planner!$B$5*60,0)),1,0))</f>
        <v>2</v>
      </c>
    </row>
    <row r="41" spans="1:71">
      <c r="A41" s="22">
        <f>ROUND(($B$6+0*Planner!$F$4/1440)*1440,0)/1440</f>
        <v>46288.708333333336</v>
      </c>
      <c r="B41" s="22">
        <f>IF(COUNTIFS(ZonePeriods[Code],Planner!B$9,ZonePeriods[FromUtc],"&lt;="&amp;$A41,ZonePeriods[UntilUtc],"&gt;"&amp;$A41)=1,ROUND(($A41+SUMIFS(ZonePeriods[OffsetHours],ZonePeriods[Code],Planner!B$9,ZonePeriods[FromUtc],"&lt;="&amp;$A41,ZonePeriods[UntilUtc],"&gt;"&amp;$A41)/24)*1440,0)/1440,NA())</f>
        <v>46289</v>
      </c>
      <c r="C41" s="22">
        <f>IF(COUNTIFS(ZonePeriods[Code],Planner!C$9,ZonePeriods[FromUtc],"&lt;="&amp;$A41,ZonePeriods[UntilUtc],"&gt;"&amp;$A41)=1,ROUND(($A41+SUMIFS(ZonePeriods[OffsetHours],ZonePeriods[Code],Planner!C$9,ZonePeriods[FromUtc],"&lt;="&amp;$A41,ZonePeriods[UntilUtc],"&gt;"&amp;$A41)/24)*1440,0)/1440,NA())</f>
        <v>46288.9375</v>
      </c>
      <c r="D41" s="22">
        <f>IF(COUNTIFS(ZonePeriods[Code],Planner!D$9,ZonePeriods[FromUtc],"&lt;="&amp;$A41,ZonePeriods[UntilUtc],"&gt;"&amp;$A41)=1,ROUND(($A41+SUMIFS(ZonePeriods[OffsetHours],ZonePeriods[Code],Planner!D$9,ZonePeriods[FromUtc],"&lt;="&amp;$A41,ZonePeriods[UntilUtc],"&gt;"&amp;$A41)/24)*1440,0)/1440,NA())</f>
        <v>46288.833333333336</v>
      </c>
      <c r="E41" s="22">
        <f>IF(COUNTIFS(ZonePeriods[Code],Planner!E$9,ZonePeriods[FromUtc],"&lt;="&amp;$A41,ZonePeriods[UntilUtc],"&gt;"&amp;$A41)=1,ROUND(($A41+SUMIFS(ZonePeriods[OffsetHours],ZonePeriods[Code],Planner!E$9,ZonePeriods[FromUtc],"&lt;="&amp;$A41,ZonePeriods[UntilUtc],"&gt;"&amp;$A41)/24)*1440,0)/1440,NA())</f>
        <v>46288.791666666664</v>
      </c>
      <c r="F41" s="22">
        <f>IF(COUNTIFS(ZonePeriods[Code],Planner!F$9,ZonePeriods[FromUtc],"&lt;="&amp;$A41,ZonePeriods[UntilUtc],"&gt;"&amp;$A41)=1,ROUND(($A41+SUMIFS(ZonePeriods[OffsetHours],ZonePeriods[Code],Planner!F$9,ZonePeriods[FromUtc],"&lt;="&amp;$A41,ZonePeriods[UntilUtc],"&gt;"&amp;$A41)/24)*1440,0)/1440,NA())</f>
        <v>46288.75</v>
      </c>
      <c r="G41" s="22">
        <f>IF(COUNTIFS(ZonePeriods[Code],Planner!G$9,ZonePeriods[FromUtc],"&lt;="&amp;$A41,ZonePeriods[UntilUtc],"&gt;"&amp;$A41)=1,ROUND(($A41+SUMIFS(ZonePeriods[OffsetHours],ZonePeriods[Code],Planner!G$9,ZonePeriods[FromUtc],"&lt;="&amp;$A41,ZonePeriods[UntilUtc],"&gt;"&amp;$A41)/24)*1440,0)/1440,NA())</f>
        <v>46288.541666666664</v>
      </c>
      <c r="H41" s="22">
        <f>IF(COUNTIFS(ZonePeriods[Code],Planner!H$9,ZonePeriods[FromUtc],"&lt;="&amp;$A41,ZonePeriods[UntilUtc],"&gt;"&amp;$A41)=1,ROUND(($A41+SUMIFS(ZonePeriods[OffsetHours],ZonePeriods[Code],Planner!H$9,ZonePeriods[FromUtc],"&lt;="&amp;$A41,ZonePeriods[UntilUtc],"&gt;"&amp;$A41)/24)*1440,0)/1440,NA())</f>
        <v>46288.416666666664</v>
      </c>
      <c r="I41" s="1"/>
      <c r="J41" s="1">
        <f t="shared" si="0"/>
        <v>0</v>
      </c>
      <c r="K41" s="1">
        <f t="shared" si="1"/>
        <v>1350</v>
      </c>
      <c r="L41" s="1">
        <f t="shared" si="2"/>
        <v>1200</v>
      </c>
      <c r="M41" s="1">
        <f t="shared" si="3"/>
        <v>1140</v>
      </c>
      <c r="N41" s="1">
        <f t="shared" si="4"/>
        <v>1080</v>
      </c>
      <c r="O41" s="1">
        <f t="shared" si="5"/>
        <v>780</v>
      </c>
      <c r="P41" s="1">
        <f t="shared" si="6"/>
        <v>600</v>
      </c>
      <c r="Q41" s="1"/>
      <c r="R41" s="1">
        <f t="shared" si="7"/>
        <v>1</v>
      </c>
      <c r="S41" s="1">
        <f t="shared" si="8"/>
        <v>0</v>
      </c>
      <c r="T41" s="1">
        <f t="shared" si="9"/>
        <v>0</v>
      </c>
      <c r="U41" s="1">
        <f t="shared" si="10"/>
        <v>1</v>
      </c>
      <c r="V41" s="1">
        <f t="shared" si="11"/>
        <v>1</v>
      </c>
      <c r="W41" s="1">
        <f t="shared" si="12"/>
        <v>2</v>
      </c>
      <c r="X41" s="1">
        <f t="shared" si="13"/>
        <v>2</v>
      </c>
      <c r="Y41" s="1"/>
      <c r="Z41" s="1">
        <f>IF(Planner!B$10="Nessuno",0,COUNTIFS(HolidayDates[Calendar],Planner!B$10,HolidayDates[Local date],INT(B41),HolidayDates[Active 0/1],1)+COUNTIFS(ImportedHolidays[Calendar],Planner!B$10,ImportedHolidays[Date],INT(B41),ImportedHolidays[Active],1,ImportedHolidays[Kind],"HOLIDAY"))</f>
        <v>0</v>
      </c>
      <c r="AA41" s="1">
        <f>IF(Planner!C$10="Nessuno",0,COUNTIFS(HolidayDates[Calendar],Planner!C$10,HolidayDates[Local date],INT(C41),HolidayDates[Active 0/1],1)+COUNTIFS(ImportedHolidays[Calendar],Planner!C$10,ImportedHolidays[Date],INT(C41),ImportedHolidays[Active],1,ImportedHolidays[Kind],"HOLIDAY"))</f>
        <v>0</v>
      </c>
      <c r="AB41" s="1">
        <f>IF(Planner!D$10="Nessuno",0,COUNTIFS(HolidayDates[Calendar],Planner!D$10,HolidayDates[Local date],INT(D41),HolidayDates[Active 0/1],1)+COUNTIFS(ImportedHolidays[Calendar],Planner!D$10,ImportedHolidays[Date],INT(D41),ImportedHolidays[Active],1,ImportedHolidays[Kind],"HOLIDAY"))</f>
        <v>0</v>
      </c>
      <c r="AC41" s="1">
        <f>IF(Planner!E$10="Nessuno",0,COUNTIFS(HolidayDates[Calendar],Planner!E$10,HolidayDates[Local date],INT(E41),HolidayDates[Active 0/1],1)+COUNTIFS(ImportedHolidays[Calendar],Planner!E$10,ImportedHolidays[Date],INT(E41),ImportedHolidays[Active],1,ImportedHolidays[Kind],"HOLIDAY"))</f>
        <v>0</v>
      </c>
      <c r="AD41" s="1">
        <f>IF(Planner!F$10="Nessuno",0,COUNTIFS(HolidayDates[Calendar],Planner!F$10,HolidayDates[Local date],INT(F41),HolidayDates[Active 0/1],1)+COUNTIFS(ImportedHolidays[Calendar],Planner!F$10,ImportedHolidays[Date],INT(F41),ImportedHolidays[Active],1,ImportedHolidays[Kind],"HOLIDAY"))</f>
        <v>0</v>
      </c>
      <c r="AE41" s="1">
        <f>IF(Planner!G$10="Nessuno",0,COUNTIFS(HolidayDates[Calendar],Planner!G$10,HolidayDates[Local date],INT(G41),HolidayDates[Active 0/1],1)+COUNTIFS(ImportedHolidays[Calendar],Planner!G$10,ImportedHolidays[Date],INT(G41),ImportedHolidays[Active],1,ImportedHolidays[Kind],"HOLIDAY"))</f>
        <v>0</v>
      </c>
      <c r="AF41" s="1">
        <f>IF(Planner!H$10="Nessuno",0,COUNTIFS(HolidayDates[Calendar],Planner!H$10,HolidayDates[Local date],INT(H41),HolidayDates[Active 0/1],1)+COUNTIFS(ImportedHolidays[Calendar],Planner!H$10,ImportedHolidays[Date],INT(H41),ImportedHolidays[Active],1,ImportedHolidays[Kind],"HOLIDAY"))</f>
        <v>0</v>
      </c>
      <c r="AG41" s="1"/>
      <c r="AH41" s="1" t="b">
        <f>INDEX(Parametri!$G12:$M12,1,WEEKDAY(INT(B41),2))=1</f>
        <v>0</v>
      </c>
      <c r="AI41" s="1" t="b">
        <f>INDEX(Parametri!$G13:$M13,1,WEEKDAY(INT(C41),2))=1</f>
        <v>0</v>
      </c>
      <c r="AJ41" s="1" t="b">
        <f>INDEX(Parametri!$G14:$M14,1,WEEKDAY(INT(D41),2))=1</f>
        <v>0</v>
      </c>
      <c r="AK41" s="1" t="b">
        <f>INDEX(Parametri!$G15:$M15,1,WEEKDAY(INT(E41),2))=1</f>
        <v>0</v>
      </c>
      <c r="AL41" s="1" t="b">
        <f>INDEX(Parametri!$G16:$M16,1,WEEKDAY(INT(F41),2))=1</f>
        <v>0</v>
      </c>
      <c r="AM41" s="1" t="b">
        <f>INDEX(Parametri!$G17:$M17,1,WEEKDAY(INT(G41),2))=1</f>
        <v>0</v>
      </c>
      <c r="AN41" s="1" t="b">
        <f>INDEX(Parametri!$G18:$M18,1,WEEKDAY(INT(H41),2))=1</f>
        <v>0</v>
      </c>
      <c r="AO41">
        <f>COUNTIFS(PersonalExceptions[Colonna],1,PersonalExceptions[Dal],"&lt;="&amp;INT(B41),PersonalExceptions[Al],"&gt;="&amp;INT(B41),PersonalExceptions[Active 0/1],1,PersonalExceptions[Effetto],"Rest")</f>
        <v>0</v>
      </c>
      <c r="AP41">
        <f>COUNTIFS(PersonalExceptions[Colonna],2,PersonalExceptions[Dal],"&lt;="&amp;INT(C41),PersonalExceptions[Al],"&gt;="&amp;INT(C41),PersonalExceptions[Active 0/1],1,PersonalExceptions[Effetto],"Rest")</f>
        <v>0</v>
      </c>
      <c r="AQ41">
        <f>COUNTIFS(PersonalExceptions[Colonna],3,PersonalExceptions[Dal],"&lt;="&amp;INT(D41),PersonalExceptions[Al],"&gt;="&amp;INT(D41),PersonalExceptions[Active 0/1],1,PersonalExceptions[Effetto],"Rest")</f>
        <v>0</v>
      </c>
      <c r="AR41">
        <f>COUNTIFS(PersonalExceptions[Colonna],4,PersonalExceptions[Dal],"&lt;="&amp;INT(E41),PersonalExceptions[Al],"&gt;="&amp;INT(E41),PersonalExceptions[Active 0/1],1,PersonalExceptions[Effetto],"Rest")</f>
        <v>0</v>
      </c>
      <c r="AS41">
        <f>COUNTIFS(PersonalExceptions[Colonna],5,PersonalExceptions[Dal],"&lt;="&amp;INT(F41),PersonalExceptions[Al],"&gt;="&amp;INT(F41),PersonalExceptions[Active 0/1],1,PersonalExceptions[Effetto],"Rest")</f>
        <v>0</v>
      </c>
      <c r="AT41">
        <f>COUNTIFS(PersonalExceptions[Colonna],6,PersonalExceptions[Dal],"&lt;="&amp;INT(G41),PersonalExceptions[Al],"&gt;="&amp;INT(G41),PersonalExceptions[Active 0/1],1,PersonalExceptions[Effetto],"Rest")</f>
        <v>0</v>
      </c>
      <c r="AU41">
        <f>COUNTIFS(PersonalExceptions[Colonna],7,PersonalExceptions[Dal],"&lt;="&amp;INT(H41),PersonalExceptions[Al],"&gt;="&amp;INT(H41),PersonalExceptions[Active 0/1],1,PersonalExceptions[Effetto],"Rest")</f>
        <v>0</v>
      </c>
      <c r="AW41">
        <f>COUNTIFS(PersonalExceptions[Colonna],1,PersonalExceptions[Dal],"&lt;="&amp;INT(B41),PersonalExceptions[Al],"&gt;="&amp;INT(B41),PersonalExceptions[Active 0/1],1,PersonalExceptions[Effetto],"Activity")</f>
        <v>0</v>
      </c>
      <c r="AX41">
        <f>COUNTIFS(PersonalExceptions[Colonna],2,PersonalExceptions[Dal],"&lt;="&amp;INT(C41),PersonalExceptions[Al],"&gt;="&amp;INT(C41),PersonalExceptions[Active 0/1],1,PersonalExceptions[Effetto],"Activity")</f>
        <v>0</v>
      </c>
      <c r="AY41">
        <f>COUNTIFS(PersonalExceptions[Colonna],3,PersonalExceptions[Dal],"&lt;="&amp;INT(D41),PersonalExceptions[Al],"&gt;="&amp;INT(D41),PersonalExceptions[Active 0/1],1,PersonalExceptions[Effetto],"Activity")</f>
        <v>0</v>
      </c>
      <c r="AZ41">
        <f>COUNTIFS(PersonalExceptions[Colonna],4,PersonalExceptions[Dal],"&lt;="&amp;INT(E41),PersonalExceptions[Al],"&gt;="&amp;INT(E41),PersonalExceptions[Active 0/1],1,PersonalExceptions[Effetto],"Activity")</f>
        <v>0</v>
      </c>
      <c r="BA41">
        <f>COUNTIFS(PersonalExceptions[Colonna],5,PersonalExceptions[Dal],"&lt;="&amp;INT(F41),PersonalExceptions[Al],"&gt;="&amp;INT(F41),PersonalExceptions[Active 0/1],1,PersonalExceptions[Effetto],"Activity")</f>
        <v>0</v>
      </c>
      <c r="BB41">
        <f>COUNTIFS(PersonalExceptions[Colonna],6,PersonalExceptions[Dal],"&lt;="&amp;INT(G41),PersonalExceptions[Al],"&gt;="&amp;INT(G41),PersonalExceptions[Active 0/1],1,PersonalExceptions[Effetto],"Activity")</f>
        <v>0</v>
      </c>
      <c r="BC41">
        <f>COUNTIFS(PersonalExceptions[Colonna],7,PersonalExceptions[Dal],"&lt;="&amp;INT(H41),PersonalExceptions[Al],"&gt;="&amp;INT(H41),PersonalExceptions[Active 0/1],1,PersonalExceptions[Effetto],"Activity")</f>
        <v>0</v>
      </c>
      <c r="BE41">
        <f>IF(Planner!B$10="Nessuno",0,COUNTIFS(ImportedHolidays[Calendar],Planner!B$10,ImportedHolidays[Date],INT(B41),ImportedHolidays[Active],1,ImportedHolidays[Kind],"WORKDAY"))</f>
        <v>0</v>
      </c>
      <c r="BF41">
        <f>IF(Planner!C$10="Nessuno",0,COUNTIFS(ImportedHolidays[Calendar],Planner!C$10,ImportedHolidays[Date],INT(C41),ImportedHolidays[Active],1,ImportedHolidays[Kind],"WORKDAY"))</f>
        <v>0</v>
      </c>
      <c r="BG41">
        <f>IF(Planner!D$10="Nessuno",0,COUNTIFS(ImportedHolidays[Calendar],Planner!D$10,ImportedHolidays[Date],INT(D41),ImportedHolidays[Active],1,ImportedHolidays[Kind],"WORKDAY"))</f>
        <v>0</v>
      </c>
      <c r="BH41">
        <f>IF(Planner!E$10="Nessuno",0,COUNTIFS(ImportedHolidays[Calendar],Planner!E$10,ImportedHolidays[Date],INT(E41),ImportedHolidays[Active],1,ImportedHolidays[Kind],"WORKDAY"))</f>
        <v>0</v>
      </c>
      <c r="BI41">
        <f>IF(Planner!F$10="Nessuno",0,COUNTIFS(ImportedHolidays[Calendar],Planner!F$10,ImportedHolidays[Date],INT(F41),ImportedHolidays[Active],1,ImportedHolidays[Kind],"WORKDAY"))</f>
        <v>0</v>
      </c>
      <c r="BJ41">
        <f>IF(Planner!G$10="Nessuno",0,COUNTIFS(ImportedHolidays[Calendar],Planner!G$10,ImportedHolidays[Date],INT(G41),ImportedHolidays[Active],1,ImportedHolidays[Kind],"WORKDAY"))</f>
        <v>0</v>
      </c>
      <c r="BK41">
        <f>IF(Planner!H$10="Nessuno",0,COUNTIFS(ImportedHolidays[Calendar],Planner!H$10,ImportedHolidays[Date],INT(H41),ImportedHolidays[Active],1,ImportedHolidays[Kind],"WORKDAY"))</f>
        <v>0</v>
      </c>
      <c r="BM41">
        <f>IF(MOD(J41-B$11,1440)&lt;B$12,2,IF(OR(MOD(J41-B$11,1440)&lt;B$12+ROUND(Planner!$D$5*60,0),MOD(J41-B$11,1440)&gt;=1440-ROUND(Planner!$B$5*60,0)),1,0))</f>
        <v>1</v>
      </c>
      <c r="BN41">
        <f>IF(MOD(K41-C$11,1440)&lt;C$12,2,IF(OR(MOD(K41-C$11,1440)&lt;C$12+ROUND(Planner!$D$5*60,0),MOD(K41-C$11,1440)&gt;=1440-ROUND(Planner!$B$5*60,0)),1,0))</f>
        <v>0</v>
      </c>
      <c r="BO41">
        <f>IF(MOD(L41-D$11,1440)&lt;D$12,2,IF(OR(MOD(L41-D$11,1440)&lt;D$12+ROUND(Planner!$D$5*60,0),MOD(L41-D$11,1440)&gt;=1440-ROUND(Planner!$B$5*60,0)),1,0))</f>
        <v>0</v>
      </c>
      <c r="BP41">
        <f>IF(MOD(M41-E$11,1440)&lt;E$12,2,IF(OR(MOD(M41-E$11,1440)&lt;E$12+ROUND(Planner!$D$5*60,0),MOD(M41-E$11,1440)&gt;=1440-ROUND(Planner!$B$5*60,0)),1,0))</f>
        <v>1</v>
      </c>
      <c r="BQ41">
        <f>IF(MOD(N41-F$11,1440)&lt;F$12,2,IF(OR(MOD(N41-F$11,1440)&lt;F$12+ROUND(Planner!$D$5*60,0),MOD(N41-F$11,1440)&gt;=1440-ROUND(Planner!$B$5*60,0)),1,0))</f>
        <v>1</v>
      </c>
      <c r="BR41">
        <f>IF(MOD(O41-G$11,1440)&lt;G$12,2,IF(OR(MOD(O41-G$11,1440)&lt;G$12+ROUND(Planner!$D$5*60,0),MOD(O41-G$11,1440)&gt;=1440-ROUND(Planner!$B$5*60,0)),1,0))</f>
        <v>2</v>
      </c>
      <c r="BS41">
        <f>IF(MOD(P41-H$11,1440)&lt;H$12,2,IF(OR(MOD(P41-H$11,1440)&lt;H$12+ROUND(Planner!$D$5*60,0),MOD(P41-H$11,1440)&gt;=1440-ROUND(Planner!$B$5*60,0)),1,0))</f>
        <v>2</v>
      </c>
    </row>
    <row r="42" spans="1:71">
      <c r="A42" s="22">
        <f>ROUND(($B$6+1*Planner!$F$4/1440)*1440,0)/1440</f>
        <v>46288.729166666664</v>
      </c>
      <c r="B42" s="22">
        <f>IF(COUNTIFS(ZonePeriods[Code],Planner!B$9,ZonePeriods[FromUtc],"&lt;="&amp;$A42,ZonePeriods[UntilUtc],"&gt;"&amp;$A42)=1,ROUND(($A42+SUMIFS(ZonePeriods[OffsetHours],ZonePeriods[Code],Planner!B$9,ZonePeriods[FromUtc],"&lt;="&amp;$A42,ZonePeriods[UntilUtc],"&gt;"&amp;$A42)/24)*1440,0)/1440,NA())</f>
        <v>46289.020833333336</v>
      </c>
      <c r="C42" s="22">
        <f>IF(COUNTIFS(ZonePeriods[Code],Planner!C$9,ZonePeriods[FromUtc],"&lt;="&amp;$A42,ZonePeriods[UntilUtc],"&gt;"&amp;$A42)=1,ROUND(($A42+SUMIFS(ZonePeriods[OffsetHours],ZonePeriods[Code],Planner!C$9,ZonePeriods[FromUtc],"&lt;="&amp;$A42,ZonePeriods[UntilUtc],"&gt;"&amp;$A42)/24)*1440,0)/1440,NA())</f>
        <v>46288.958333333336</v>
      </c>
      <c r="D42" s="22">
        <f>IF(COUNTIFS(ZonePeriods[Code],Planner!D$9,ZonePeriods[FromUtc],"&lt;="&amp;$A42,ZonePeriods[UntilUtc],"&gt;"&amp;$A42)=1,ROUND(($A42+SUMIFS(ZonePeriods[OffsetHours],ZonePeriods[Code],Planner!D$9,ZonePeriods[FromUtc],"&lt;="&amp;$A42,ZonePeriods[UntilUtc],"&gt;"&amp;$A42)/24)*1440,0)/1440,NA())</f>
        <v>46288.854166666664</v>
      </c>
      <c r="E42" s="22">
        <f>IF(COUNTIFS(ZonePeriods[Code],Planner!E$9,ZonePeriods[FromUtc],"&lt;="&amp;$A42,ZonePeriods[UntilUtc],"&gt;"&amp;$A42)=1,ROUND(($A42+SUMIFS(ZonePeriods[OffsetHours],ZonePeriods[Code],Planner!E$9,ZonePeriods[FromUtc],"&lt;="&amp;$A42,ZonePeriods[UntilUtc],"&gt;"&amp;$A42)/24)*1440,0)/1440,NA())</f>
        <v>46288.8125</v>
      </c>
      <c r="F42" s="22">
        <f>IF(COUNTIFS(ZonePeriods[Code],Planner!F$9,ZonePeriods[FromUtc],"&lt;="&amp;$A42,ZonePeriods[UntilUtc],"&gt;"&amp;$A42)=1,ROUND(($A42+SUMIFS(ZonePeriods[OffsetHours],ZonePeriods[Code],Planner!F$9,ZonePeriods[FromUtc],"&lt;="&amp;$A42,ZonePeriods[UntilUtc],"&gt;"&amp;$A42)/24)*1440,0)/1440,NA())</f>
        <v>46288.770833333336</v>
      </c>
      <c r="G42" s="22">
        <f>IF(COUNTIFS(ZonePeriods[Code],Planner!G$9,ZonePeriods[FromUtc],"&lt;="&amp;$A42,ZonePeriods[UntilUtc],"&gt;"&amp;$A42)=1,ROUND(($A42+SUMIFS(ZonePeriods[OffsetHours],ZonePeriods[Code],Planner!G$9,ZonePeriods[FromUtc],"&lt;="&amp;$A42,ZonePeriods[UntilUtc],"&gt;"&amp;$A42)/24)*1440,0)/1440,NA())</f>
        <v>46288.5625</v>
      </c>
      <c r="H42" s="22">
        <f>IF(COUNTIFS(ZonePeriods[Code],Planner!H$9,ZonePeriods[FromUtc],"&lt;="&amp;$A42,ZonePeriods[UntilUtc],"&gt;"&amp;$A42)=1,ROUND(($A42+SUMIFS(ZonePeriods[OffsetHours],ZonePeriods[Code],Planner!H$9,ZonePeriods[FromUtc],"&lt;="&amp;$A42,ZonePeriods[UntilUtc],"&gt;"&amp;$A42)/24)*1440,0)/1440,NA())</f>
        <v>46288.4375</v>
      </c>
      <c r="I42" s="1"/>
      <c r="J42" s="1">
        <f t="shared" si="0"/>
        <v>30</v>
      </c>
      <c r="K42" s="1">
        <f t="shared" si="1"/>
        <v>1380</v>
      </c>
      <c r="L42" s="1">
        <f t="shared" si="2"/>
        <v>1230</v>
      </c>
      <c r="M42" s="1">
        <f t="shared" si="3"/>
        <v>1170</v>
      </c>
      <c r="N42" s="1">
        <f t="shared" si="4"/>
        <v>1110</v>
      </c>
      <c r="O42" s="1">
        <f t="shared" si="5"/>
        <v>810</v>
      </c>
      <c r="P42" s="1">
        <f t="shared" si="6"/>
        <v>630</v>
      </c>
      <c r="Q42" s="1"/>
      <c r="R42" s="1">
        <f t="shared" si="7"/>
        <v>1</v>
      </c>
      <c r="S42" s="1">
        <f t="shared" si="8"/>
        <v>0</v>
      </c>
      <c r="T42" s="1">
        <f t="shared" si="9"/>
        <v>0</v>
      </c>
      <c r="U42" s="1">
        <f t="shared" si="10"/>
        <v>1</v>
      </c>
      <c r="V42" s="1">
        <f t="shared" si="11"/>
        <v>1</v>
      </c>
      <c r="W42" s="1">
        <f t="shared" si="12"/>
        <v>2</v>
      </c>
      <c r="X42" s="1">
        <f t="shared" si="13"/>
        <v>2</v>
      </c>
      <c r="Y42" s="1"/>
      <c r="Z42" s="1">
        <f>IF(Planner!B$10="Nessuno",0,COUNTIFS(HolidayDates[Calendar],Planner!B$10,HolidayDates[Local date],INT(B42),HolidayDates[Active 0/1],1)+COUNTIFS(ImportedHolidays[Calendar],Planner!B$10,ImportedHolidays[Date],INT(B42),ImportedHolidays[Active],1,ImportedHolidays[Kind],"HOLIDAY"))</f>
        <v>0</v>
      </c>
      <c r="AA42" s="1">
        <f>IF(Planner!C$10="Nessuno",0,COUNTIFS(HolidayDates[Calendar],Planner!C$10,HolidayDates[Local date],INT(C42),HolidayDates[Active 0/1],1)+COUNTIFS(ImportedHolidays[Calendar],Planner!C$10,ImportedHolidays[Date],INT(C42),ImportedHolidays[Active],1,ImportedHolidays[Kind],"HOLIDAY"))</f>
        <v>0</v>
      </c>
      <c r="AB42" s="1">
        <f>IF(Planner!D$10="Nessuno",0,COUNTIFS(HolidayDates[Calendar],Planner!D$10,HolidayDates[Local date],INT(D42),HolidayDates[Active 0/1],1)+COUNTIFS(ImportedHolidays[Calendar],Planner!D$10,ImportedHolidays[Date],INT(D42),ImportedHolidays[Active],1,ImportedHolidays[Kind],"HOLIDAY"))</f>
        <v>0</v>
      </c>
      <c r="AC42" s="1">
        <f>IF(Planner!E$10="Nessuno",0,COUNTIFS(HolidayDates[Calendar],Planner!E$10,HolidayDates[Local date],INT(E42),HolidayDates[Active 0/1],1)+COUNTIFS(ImportedHolidays[Calendar],Planner!E$10,ImportedHolidays[Date],INT(E42),ImportedHolidays[Active],1,ImportedHolidays[Kind],"HOLIDAY"))</f>
        <v>0</v>
      </c>
      <c r="AD42" s="1">
        <f>IF(Planner!F$10="Nessuno",0,COUNTIFS(HolidayDates[Calendar],Planner!F$10,HolidayDates[Local date],INT(F42),HolidayDates[Active 0/1],1)+COUNTIFS(ImportedHolidays[Calendar],Planner!F$10,ImportedHolidays[Date],INT(F42),ImportedHolidays[Active],1,ImportedHolidays[Kind],"HOLIDAY"))</f>
        <v>0</v>
      </c>
      <c r="AE42" s="1">
        <f>IF(Planner!G$10="Nessuno",0,COUNTIFS(HolidayDates[Calendar],Planner!G$10,HolidayDates[Local date],INT(G42),HolidayDates[Active 0/1],1)+COUNTIFS(ImportedHolidays[Calendar],Planner!G$10,ImportedHolidays[Date],INT(G42),ImportedHolidays[Active],1,ImportedHolidays[Kind],"HOLIDAY"))</f>
        <v>0</v>
      </c>
      <c r="AF42" s="1">
        <f>IF(Planner!H$10="Nessuno",0,COUNTIFS(HolidayDates[Calendar],Planner!H$10,HolidayDates[Local date],INT(H42),HolidayDates[Active 0/1],1)+COUNTIFS(ImportedHolidays[Calendar],Planner!H$10,ImportedHolidays[Date],INT(H42),ImportedHolidays[Active],1,ImportedHolidays[Kind],"HOLIDAY"))</f>
        <v>0</v>
      </c>
      <c r="AG42" s="1"/>
      <c r="AH42" s="1" t="b">
        <f>INDEX(Parametri!$G12:$M12,1,WEEKDAY(INT(B42),2))=1</f>
        <v>0</v>
      </c>
      <c r="AI42" s="1" t="b">
        <f>INDEX(Parametri!$G13:$M13,1,WEEKDAY(INT(C42),2))=1</f>
        <v>0</v>
      </c>
      <c r="AJ42" s="1" t="b">
        <f>INDEX(Parametri!$G14:$M14,1,WEEKDAY(INT(D42),2))=1</f>
        <v>0</v>
      </c>
      <c r="AK42" s="1" t="b">
        <f>INDEX(Parametri!$G15:$M15,1,WEEKDAY(INT(E42),2))=1</f>
        <v>0</v>
      </c>
      <c r="AL42" s="1" t="b">
        <f>INDEX(Parametri!$G16:$M16,1,WEEKDAY(INT(F42),2))=1</f>
        <v>0</v>
      </c>
      <c r="AM42" s="1" t="b">
        <f>INDEX(Parametri!$G17:$M17,1,WEEKDAY(INT(G42),2))=1</f>
        <v>0</v>
      </c>
      <c r="AN42" s="1" t="b">
        <f>INDEX(Parametri!$G18:$M18,1,WEEKDAY(INT(H42),2))=1</f>
        <v>0</v>
      </c>
      <c r="AO42">
        <f>COUNTIFS(PersonalExceptions[Colonna],1,PersonalExceptions[Dal],"&lt;="&amp;INT(B42),PersonalExceptions[Al],"&gt;="&amp;INT(B42),PersonalExceptions[Active 0/1],1,PersonalExceptions[Effetto],"Rest")</f>
        <v>0</v>
      </c>
      <c r="AP42">
        <f>COUNTIFS(PersonalExceptions[Colonna],2,PersonalExceptions[Dal],"&lt;="&amp;INT(C42),PersonalExceptions[Al],"&gt;="&amp;INT(C42),PersonalExceptions[Active 0/1],1,PersonalExceptions[Effetto],"Rest")</f>
        <v>0</v>
      </c>
      <c r="AQ42">
        <f>COUNTIFS(PersonalExceptions[Colonna],3,PersonalExceptions[Dal],"&lt;="&amp;INT(D42),PersonalExceptions[Al],"&gt;="&amp;INT(D42),PersonalExceptions[Active 0/1],1,PersonalExceptions[Effetto],"Rest")</f>
        <v>0</v>
      </c>
      <c r="AR42">
        <f>COUNTIFS(PersonalExceptions[Colonna],4,PersonalExceptions[Dal],"&lt;="&amp;INT(E42),PersonalExceptions[Al],"&gt;="&amp;INT(E42),PersonalExceptions[Active 0/1],1,PersonalExceptions[Effetto],"Rest")</f>
        <v>0</v>
      </c>
      <c r="AS42">
        <f>COUNTIFS(PersonalExceptions[Colonna],5,PersonalExceptions[Dal],"&lt;="&amp;INT(F42),PersonalExceptions[Al],"&gt;="&amp;INT(F42),PersonalExceptions[Active 0/1],1,PersonalExceptions[Effetto],"Rest")</f>
        <v>0</v>
      </c>
      <c r="AT42">
        <f>COUNTIFS(PersonalExceptions[Colonna],6,PersonalExceptions[Dal],"&lt;="&amp;INT(G42),PersonalExceptions[Al],"&gt;="&amp;INT(G42),PersonalExceptions[Active 0/1],1,PersonalExceptions[Effetto],"Rest")</f>
        <v>0</v>
      </c>
      <c r="AU42">
        <f>COUNTIFS(PersonalExceptions[Colonna],7,PersonalExceptions[Dal],"&lt;="&amp;INT(H42),PersonalExceptions[Al],"&gt;="&amp;INT(H42),PersonalExceptions[Active 0/1],1,PersonalExceptions[Effetto],"Rest")</f>
        <v>0</v>
      </c>
      <c r="AW42">
        <f>COUNTIFS(PersonalExceptions[Colonna],1,PersonalExceptions[Dal],"&lt;="&amp;INT(B42),PersonalExceptions[Al],"&gt;="&amp;INT(B42),PersonalExceptions[Active 0/1],1,PersonalExceptions[Effetto],"Activity")</f>
        <v>0</v>
      </c>
      <c r="AX42">
        <f>COUNTIFS(PersonalExceptions[Colonna],2,PersonalExceptions[Dal],"&lt;="&amp;INT(C42),PersonalExceptions[Al],"&gt;="&amp;INT(C42),PersonalExceptions[Active 0/1],1,PersonalExceptions[Effetto],"Activity")</f>
        <v>0</v>
      </c>
      <c r="AY42">
        <f>COUNTIFS(PersonalExceptions[Colonna],3,PersonalExceptions[Dal],"&lt;="&amp;INT(D42),PersonalExceptions[Al],"&gt;="&amp;INT(D42),PersonalExceptions[Active 0/1],1,PersonalExceptions[Effetto],"Activity")</f>
        <v>0</v>
      </c>
      <c r="AZ42">
        <f>COUNTIFS(PersonalExceptions[Colonna],4,PersonalExceptions[Dal],"&lt;="&amp;INT(E42),PersonalExceptions[Al],"&gt;="&amp;INT(E42),PersonalExceptions[Active 0/1],1,PersonalExceptions[Effetto],"Activity")</f>
        <v>0</v>
      </c>
      <c r="BA42">
        <f>COUNTIFS(PersonalExceptions[Colonna],5,PersonalExceptions[Dal],"&lt;="&amp;INT(F42),PersonalExceptions[Al],"&gt;="&amp;INT(F42),PersonalExceptions[Active 0/1],1,PersonalExceptions[Effetto],"Activity")</f>
        <v>0</v>
      </c>
      <c r="BB42">
        <f>COUNTIFS(PersonalExceptions[Colonna],6,PersonalExceptions[Dal],"&lt;="&amp;INT(G42),PersonalExceptions[Al],"&gt;="&amp;INT(G42),PersonalExceptions[Active 0/1],1,PersonalExceptions[Effetto],"Activity")</f>
        <v>0</v>
      </c>
      <c r="BC42">
        <f>COUNTIFS(PersonalExceptions[Colonna],7,PersonalExceptions[Dal],"&lt;="&amp;INT(H42),PersonalExceptions[Al],"&gt;="&amp;INT(H42),PersonalExceptions[Active 0/1],1,PersonalExceptions[Effetto],"Activity")</f>
        <v>0</v>
      </c>
      <c r="BE42">
        <f>IF(Planner!B$10="Nessuno",0,COUNTIFS(ImportedHolidays[Calendar],Planner!B$10,ImportedHolidays[Date],INT(B42),ImportedHolidays[Active],1,ImportedHolidays[Kind],"WORKDAY"))</f>
        <v>0</v>
      </c>
      <c r="BF42">
        <f>IF(Planner!C$10="Nessuno",0,COUNTIFS(ImportedHolidays[Calendar],Planner!C$10,ImportedHolidays[Date],INT(C42),ImportedHolidays[Active],1,ImportedHolidays[Kind],"WORKDAY"))</f>
        <v>0</v>
      </c>
      <c r="BG42">
        <f>IF(Planner!D$10="Nessuno",0,COUNTIFS(ImportedHolidays[Calendar],Planner!D$10,ImportedHolidays[Date],INT(D42),ImportedHolidays[Active],1,ImportedHolidays[Kind],"WORKDAY"))</f>
        <v>0</v>
      </c>
      <c r="BH42">
        <f>IF(Planner!E$10="Nessuno",0,COUNTIFS(ImportedHolidays[Calendar],Planner!E$10,ImportedHolidays[Date],INT(E42),ImportedHolidays[Active],1,ImportedHolidays[Kind],"WORKDAY"))</f>
        <v>0</v>
      </c>
      <c r="BI42">
        <f>IF(Planner!F$10="Nessuno",0,COUNTIFS(ImportedHolidays[Calendar],Planner!F$10,ImportedHolidays[Date],INT(F42),ImportedHolidays[Active],1,ImportedHolidays[Kind],"WORKDAY"))</f>
        <v>0</v>
      </c>
      <c r="BJ42">
        <f>IF(Planner!G$10="Nessuno",0,COUNTIFS(ImportedHolidays[Calendar],Planner!G$10,ImportedHolidays[Date],INT(G42),ImportedHolidays[Active],1,ImportedHolidays[Kind],"WORKDAY"))</f>
        <v>0</v>
      </c>
      <c r="BK42">
        <f>IF(Planner!H$10="Nessuno",0,COUNTIFS(ImportedHolidays[Calendar],Planner!H$10,ImportedHolidays[Date],INT(H42),ImportedHolidays[Active],1,ImportedHolidays[Kind],"WORKDAY"))</f>
        <v>0</v>
      </c>
      <c r="BM42">
        <f>IF(MOD(J42-B$11,1440)&lt;B$12,2,IF(OR(MOD(J42-B$11,1440)&lt;B$12+ROUND(Planner!$D$5*60,0),MOD(J42-B$11,1440)&gt;=1440-ROUND(Planner!$B$5*60,0)),1,0))</f>
        <v>1</v>
      </c>
      <c r="BN42">
        <f>IF(MOD(K42-C$11,1440)&lt;C$12,2,IF(OR(MOD(K42-C$11,1440)&lt;C$12+ROUND(Planner!$D$5*60,0),MOD(K42-C$11,1440)&gt;=1440-ROUND(Planner!$B$5*60,0)),1,0))</f>
        <v>0</v>
      </c>
      <c r="BO42">
        <f>IF(MOD(L42-D$11,1440)&lt;D$12,2,IF(OR(MOD(L42-D$11,1440)&lt;D$12+ROUND(Planner!$D$5*60,0),MOD(L42-D$11,1440)&gt;=1440-ROUND(Planner!$B$5*60,0)),1,0))</f>
        <v>0</v>
      </c>
      <c r="BP42">
        <f>IF(MOD(M42-E$11,1440)&lt;E$12,2,IF(OR(MOD(M42-E$11,1440)&lt;E$12+ROUND(Planner!$D$5*60,0),MOD(M42-E$11,1440)&gt;=1440-ROUND(Planner!$B$5*60,0)),1,0))</f>
        <v>1</v>
      </c>
      <c r="BQ42">
        <f>IF(MOD(N42-F$11,1440)&lt;F$12,2,IF(OR(MOD(N42-F$11,1440)&lt;F$12+ROUND(Planner!$D$5*60,0),MOD(N42-F$11,1440)&gt;=1440-ROUND(Planner!$B$5*60,0)),1,0))</f>
        <v>1</v>
      </c>
      <c r="BR42">
        <f>IF(MOD(O42-G$11,1440)&lt;G$12,2,IF(OR(MOD(O42-G$11,1440)&lt;G$12+ROUND(Planner!$D$5*60,0),MOD(O42-G$11,1440)&gt;=1440-ROUND(Planner!$B$5*60,0)),1,0))</f>
        <v>2</v>
      </c>
      <c r="BS42">
        <f>IF(MOD(P42-H$11,1440)&lt;H$12,2,IF(OR(MOD(P42-H$11,1440)&lt;H$12+ROUND(Planner!$D$5*60,0),MOD(P42-H$11,1440)&gt;=1440-ROUND(Planner!$B$5*60,0)),1,0))</f>
        <v>2</v>
      </c>
    </row>
    <row r="43" spans="1:71">
      <c r="A43" s="22">
        <f>ROUND(($B$6+2*Planner!$F$4/1440)*1440,0)/1440</f>
        <v>46288.75</v>
      </c>
      <c r="B43" s="22">
        <f>IF(COUNTIFS(ZonePeriods[Code],Planner!B$9,ZonePeriods[FromUtc],"&lt;="&amp;$A43,ZonePeriods[UntilUtc],"&gt;"&amp;$A43)=1,ROUND(($A43+SUMIFS(ZonePeriods[OffsetHours],ZonePeriods[Code],Planner!B$9,ZonePeriods[FromUtc],"&lt;="&amp;$A43,ZonePeriods[UntilUtc],"&gt;"&amp;$A43)/24)*1440,0)/1440,NA())</f>
        <v>46289.041666666664</v>
      </c>
      <c r="C43" s="22">
        <f>IF(COUNTIFS(ZonePeriods[Code],Planner!C$9,ZonePeriods[FromUtc],"&lt;="&amp;$A43,ZonePeriods[UntilUtc],"&gt;"&amp;$A43)=1,ROUND(($A43+SUMIFS(ZonePeriods[OffsetHours],ZonePeriods[Code],Planner!C$9,ZonePeriods[FromUtc],"&lt;="&amp;$A43,ZonePeriods[UntilUtc],"&gt;"&amp;$A43)/24)*1440,0)/1440,NA())</f>
        <v>46288.979166666664</v>
      </c>
      <c r="D43" s="22">
        <f>IF(COUNTIFS(ZonePeriods[Code],Planner!D$9,ZonePeriods[FromUtc],"&lt;="&amp;$A43,ZonePeriods[UntilUtc],"&gt;"&amp;$A43)=1,ROUND(($A43+SUMIFS(ZonePeriods[OffsetHours],ZonePeriods[Code],Planner!D$9,ZonePeriods[FromUtc],"&lt;="&amp;$A43,ZonePeriods[UntilUtc],"&gt;"&amp;$A43)/24)*1440,0)/1440,NA())</f>
        <v>46288.875</v>
      </c>
      <c r="E43" s="22">
        <f>IF(COUNTIFS(ZonePeriods[Code],Planner!E$9,ZonePeriods[FromUtc],"&lt;="&amp;$A43,ZonePeriods[UntilUtc],"&gt;"&amp;$A43)=1,ROUND(($A43+SUMIFS(ZonePeriods[OffsetHours],ZonePeriods[Code],Planner!E$9,ZonePeriods[FromUtc],"&lt;="&amp;$A43,ZonePeriods[UntilUtc],"&gt;"&amp;$A43)/24)*1440,0)/1440,NA())</f>
        <v>46288.833333333336</v>
      </c>
      <c r="F43" s="22">
        <f>IF(COUNTIFS(ZonePeriods[Code],Planner!F$9,ZonePeriods[FromUtc],"&lt;="&amp;$A43,ZonePeriods[UntilUtc],"&gt;"&amp;$A43)=1,ROUND(($A43+SUMIFS(ZonePeriods[OffsetHours],ZonePeriods[Code],Planner!F$9,ZonePeriods[FromUtc],"&lt;="&amp;$A43,ZonePeriods[UntilUtc],"&gt;"&amp;$A43)/24)*1440,0)/1440,NA())</f>
        <v>46288.791666666664</v>
      </c>
      <c r="G43" s="22">
        <f>IF(COUNTIFS(ZonePeriods[Code],Planner!G$9,ZonePeriods[FromUtc],"&lt;="&amp;$A43,ZonePeriods[UntilUtc],"&gt;"&amp;$A43)=1,ROUND(($A43+SUMIFS(ZonePeriods[OffsetHours],ZonePeriods[Code],Planner!G$9,ZonePeriods[FromUtc],"&lt;="&amp;$A43,ZonePeriods[UntilUtc],"&gt;"&amp;$A43)/24)*1440,0)/1440,NA())</f>
        <v>46288.583333333336</v>
      </c>
      <c r="H43" s="22">
        <f>IF(COUNTIFS(ZonePeriods[Code],Planner!H$9,ZonePeriods[FromUtc],"&lt;="&amp;$A43,ZonePeriods[UntilUtc],"&gt;"&amp;$A43)=1,ROUND(($A43+SUMIFS(ZonePeriods[OffsetHours],ZonePeriods[Code],Planner!H$9,ZonePeriods[FromUtc],"&lt;="&amp;$A43,ZonePeriods[UntilUtc],"&gt;"&amp;$A43)/24)*1440,0)/1440,NA())</f>
        <v>46288.458333333336</v>
      </c>
      <c r="I43" s="1"/>
      <c r="J43" s="1">
        <f t="shared" si="0"/>
        <v>60</v>
      </c>
      <c r="K43" s="1">
        <f t="shared" si="1"/>
        <v>1410</v>
      </c>
      <c r="L43" s="1">
        <f t="shared" si="2"/>
        <v>1260</v>
      </c>
      <c r="M43" s="1">
        <f t="shared" si="3"/>
        <v>1200</v>
      </c>
      <c r="N43" s="1">
        <f t="shared" si="4"/>
        <v>1140</v>
      </c>
      <c r="O43" s="1">
        <f t="shared" si="5"/>
        <v>840</v>
      </c>
      <c r="P43" s="1">
        <f t="shared" si="6"/>
        <v>660</v>
      </c>
      <c r="Q43" s="1"/>
      <c r="R43" s="1">
        <f t="shared" si="7"/>
        <v>0</v>
      </c>
      <c r="S43" s="1">
        <f t="shared" si="8"/>
        <v>0</v>
      </c>
      <c r="T43" s="1">
        <f t="shared" si="9"/>
        <v>0</v>
      </c>
      <c r="U43" s="1">
        <f t="shared" si="10"/>
        <v>0</v>
      </c>
      <c r="V43" s="1">
        <f t="shared" si="11"/>
        <v>1</v>
      </c>
      <c r="W43" s="1">
        <f t="shared" si="12"/>
        <v>2</v>
      </c>
      <c r="X43" s="1">
        <f t="shared" si="13"/>
        <v>2</v>
      </c>
      <c r="Y43" s="1"/>
      <c r="Z43" s="1">
        <f>IF(Planner!B$10="Nessuno",0,COUNTIFS(HolidayDates[Calendar],Planner!B$10,HolidayDates[Local date],INT(B43),HolidayDates[Active 0/1],1)+COUNTIFS(ImportedHolidays[Calendar],Planner!B$10,ImportedHolidays[Date],INT(B43),ImportedHolidays[Active],1,ImportedHolidays[Kind],"HOLIDAY"))</f>
        <v>0</v>
      </c>
      <c r="AA43" s="1">
        <f>IF(Planner!C$10="Nessuno",0,COUNTIFS(HolidayDates[Calendar],Planner!C$10,HolidayDates[Local date],INT(C43),HolidayDates[Active 0/1],1)+COUNTIFS(ImportedHolidays[Calendar],Planner!C$10,ImportedHolidays[Date],INT(C43),ImportedHolidays[Active],1,ImportedHolidays[Kind],"HOLIDAY"))</f>
        <v>0</v>
      </c>
      <c r="AB43" s="1">
        <f>IF(Planner!D$10="Nessuno",0,COUNTIFS(HolidayDates[Calendar],Planner!D$10,HolidayDates[Local date],INT(D43),HolidayDates[Active 0/1],1)+COUNTIFS(ImportedHolidays[Calendar],Planner!D$10,ImportedHolidays[Date],INT(D43),ImportedHolidays[Active],1,ImportedHolidays[Kind],"HOLIDAY"))</f>
        <v>0</v>
      </c>
      <c r="AC43" s="1">
        <f>IF(Planner!E$10="Nessuno",0,COUNTIFS(HolidayDates[Calendar],Planner!E$10,HolidayDates[Local date],INT(E43),HolidayDates[Active 0/1],1)+COUNTIFS(ImportedHolidays[Calendar],Planner!E$10,ImportedHolidays[Date],INT(E43),ImportedHolidays[Active],1,ImportedHolidays[Kind],"HOLIDAY"))</f>
        <v>0</v>
      </c>
      <c r="AD43" s="1">
        <f>IF(Planner!F$10="Nessuno",0,COUNTIFS(HolidayDates[Calendar],Planner!F$10,HolidayDates[Local date],INT(F43),HolidayDates[Active 0/1],1)+COUNTIFS(ImportedHolidays[Calendar],Planner!F$10,ImportedHolidays[Date],INT(F43),ImportedHolidays[Active],1,ImportedHolidays[Kind],"HOLIDAY"))</f>
        <v>0</v>
      </c>
      <c r="AE43" s="1">
        <f>IF(Planner!G$10="Nessuno",0,COUNTIFS(HolidayDates[Calendar],Planner!G$10,HolidayDates[Local date],INT(G43),HolidayDates[Active 0/1],1)+COUNTIFS(ImportedHolidays[Calendar],Planner!G$10,ImportedHolidays[Date],INT(G43),ImportedHolidays[Active],1,ImportedHolidays[Kind],"HOLIDAY"))</f>
        <v>0</v>
      </c>
      <c r="AF43" s="1">
        <f>IF(Planner!H$10="Nessuno",0,COUNTIFS(HolidayDates[Calendar],Planner!H$10,HolidayDates[Local date],INT(H43),HolidayDates[Active 0/1],1)+COUNTIFS(ImportedHolidays[Calendar],Planner!H$10,ImportedHolidays[Date],INT(H43),ImportedHolidays[Active],1,ImportedHolidays[Kind],"HOLIDAY"))</f>
        <v>0</v>
      </c>
      <c r="AG43" s="1"/>
      <c r="AH43" s="1" t="b">
        <f>INDEX(Parametri!$G12:$M12,1,WEEKDAY(INT(B43),2))=1</f>
        <v>0</v>
      </c>
      <c r="AI43" s="1" t="b">
        <f>INDEX(Parametri!$G13:$M13,1,WEEKDAY(INT(C43),2))=1</f>
        <v>0</v>
      </c>
      <c r="AJ43" s="1" t="b">
        <f>INDEX(Parametri!$G14:$M14,1,WEEKDAY(INT(D43),2))=1</f>
        <v>0</v>
      </c>
      <c r="AK43" s="1" t="b">
        <f>INDEX(Parametri!$G15:$M15,1,WEEKDAY(INT(E43),2))=1</f>
        <v>0</v>
      </c>
      <c r="AL43" s="1" t="b">
        <f>INDEX(Parametri!$G16:$M16,1,WEEKDAY(INT(F43),2))=1</f>
        <v>0</v>
      </c>
      <c r="AM43" s="1" t="b">
        <f>INDEX(Parametri!$G17:$M17,1,WEEKDAY(INT(G43),2))=1</f>
        <v>0</v>
      </c>
      <c r="AN43" s="1" t="b">
        <f>INDEX(Parametri!$G18:$M18,1,WEEKDAY(INT(H43),2))=1</f>
        <v>0</v>
      </c>
      <c r="AO43">
        <f>COUNTIFS(PersonalExceptions[Colonna],1,PersonalExceptions[Dal],"&lt;="&amp;INT(B43),PersonalExceptions[Al],"&gt;="&amp;INT(B43),PersonalExceptions[Active 0/1],1,PersonalExceptions[Effetto],"Rest")</f>
        <v>0</v>
      </c>
      <c r="AP43">
        <f>COUNTIFS(PersonalExceptions[Colonna],2,PersonalExceptions[Dal],"&lt;="&amp;INT(C43),PersonalExceptions[Al],"&gt;="&amp;INT(C43),PersonalExceptions[Active 0/1],1,PersonalExceptions[Effetto],"Rest")</f>
        <v>0</v>
      </c>
      <c r="AQ43">
        <f>COUNTIFS(PersonalExceptions[Colonna],3,PersonalExceptions[Dal],"&lt;="&amp;INT(D43),PersonalExceptions[Al],"&gt;="&amp;INT(D43),PersonalExceptions[Active 0/1],1,PersonalExceptions[Effetto],"Rest")</f>
        <v>0</v>
      </c>
      <c r="AR43">
        <f>COUNTIFS(PersonalExceptions[Colonna],4,PersonalExceptions[Dal],"&lt;="&amp;INT(E43),PersonalExceptions[Al],"&gt;="&amp;INT(E43),PersonalExceptions[Active 0/1],1,PersonalExceptions[Effetto],"Rest")</f>
        <v>0</v>
      </c>
      <c r="AS43">
        <f>COUNTIFS(PersonalExceptions[Colonna],5,PersonalExceptions[Dal],"&lt;="&amp;INT(F43),PersonalExceptions[Al],"&gt;="&amp;INT(F43),PersonalExceptions[Active 0/1],1,PersonalExceptions[Effetto],"Rest")</f>
        <v>0</v>
      </c>
      <c r="AT43">
        <f>COUNTIFS(PersonalExceptions[Colonna],6,PersonalExceptions[Dal],"&lt;="&amp;INT(G43),PersonalExceptions[Al],"&gt;="&amp;INT(G43),PersonalExceptions[Active 0/1],1,PersonalExceptions[Effetto],"Rest")</f>
        <v>0</v>
      </c>
      <c r="AU43">
        <f>COUNTIFS(PersonalExceptions[Colonna],7,PersonalExceptions[Dal],"&lt;="&amp;INT(H43),PersonalExceptions[Al],"&gt;="&amp;INT(H43),PersonalExceptions[Active 0/1],1,PersonalExceptions[Effetto],"Rest")</f>
        <v>0</v>
      </c>
      <c r="AW43">
        <f>COUNTIFS(PersonalExceptions[Colonna],1,PersonalExceptions[Dal],"&lt;="&amp;INT(B43),PersonalExceptions[Al],"&gt;="&amp;INT(B43),PersonalExceptions[Active 0/1],1,PersonalExceptions[Effetto],"Activity")</f>
        <v>0</v>
      </c>
      <c r="AX43">
        <f>COUNTIFS(PersonalExceptions[Colonna],2,PersonalExceptions[Dal],"&lt;="&amp;INT(C43),PersonalExceptions[Al],"&gt;="&amp;INT(C43),PersonalExceptions[Active 0/1],1,PersonalExceptions[Effetto],"Activity")</f>
        <v>0</v>
      </c>
      <c r="AY43">
        <f>COUNTIFS(PersonalExceptions[Colonna],3,PersonalExceptions[Dal],"&lt;="&amp;INT(D43),PersonalExceptions[Al],"&gt;="&amp;INT(D43),PersonalExceptions[Active 0/1],1,PersonalExceptions[Effetto],"Activity")</f>
        <v>0</v>
      </c>
      <c r="AZ43">
        <f>COUNTIFS(PersonalExceptions[Colonna],4,PersonalExceptions[Dal],"&lt;="&amp;INT(E43),PersonalExceptions[Al],"&gt;="&amp;INT(E43),PersonalExceptions[Active 0/1],1,PersonalExceptions[Effetto],"Activity")</f>
        <v>0</v>
      </c>
      <c r="BA43">
        <f>COUNTIFS(PersonalExceptions[Colonna],5,PersonalExceptions[Dal],"&lt;="&amp;INT(F43),PersonalExceptions[Al],"&gt;="&amp;INT(F43),PersonalExceptions[Active 0/1],1,PersonalExceptions[Effetto],"Activity")</f>
        <v>0</v>
      </c>
      <c r="BB43">
        <f>COUNTIFS(PersonalExceptions[Colonna],6,PersonalExceptions[Dal],"&lt;="&amp;INT(G43),PersonalExceptions[Al],"&gt;="&amp;INT(G43),PersonalExceptions[Active 0/1],1,PersonalExceptions[Effetto],"Activity")</f>
        <v>0</v>
      </c>
      <c r="BC43">
        <f>COUNTIFS(PersonalExceptions[Colonna],7,PersonalExceptions[Dal],"&lt;="&amp;INT(H43),PersonalExceptions[Al],"&gt;="&amp;INT(H43),PersonalExceptions[Active 0/1],1,PersonalExceptions[Effetto],"Activity")</f>
        <v>0</v>
      </c>
      <c r="BE43">
        <f>IF(Planner!B$10="Nessuno",0,COUNTIFS(ImportedHolidays[Calendar],Planner!B$10,ImportedHolidays[Date],INT(B43),ImportedHolidays[Active],1,ImportedHolidays[Kind],"WORKDAY"))</f>
        <v>0</v>
      </c>
      <c r="BF43">
        <f>IF(Planner!C$10="Nessuno",0,COUNTIFS(ImportedHolidays[Calendar],Planner!C$10,ImportedHolidays[Date],INT(C43),ImportedHolidays[Active],1,ImportedHolidays[Kind],"WORKDAY"))</f>
        <v>0</v>
      </c>
      <c r="BG43">
        <f>IF(Planner!D$10="Nessuno",0,COUNTIFS(ImportedHolidays[Calendar],Planner!D$10,ImportedHolidays[Date],INT(D43),ImportedHolidays[Active],1,ImportedHolidays[Kind],"WORKDAY"))</f>
        <v>0</v>
      </c>
      <c r="BH43">
        <f>IF(Planner!E$10="Nessuno",0,COUNTIFS(ImportedHolidays[Calendar],Planner!E$10,ImportedHolidays[Date],INT(E43),ImportedHolidays[Active],1,ImportedHolidays[Kind],"WORKDAY"))</f>
        <v>0</v>
      </c>
      <c r="BI43">
        <f>IF(Planner!F$10="Nessuno",0,COUNTIFS(ImportedHolidays[Calendar],Planner!F$10,ImportedHolidays[Date],INT(F43),ImportedHolidays[Active],1,ImportedHolidays[Kind],"WORKDAY"))</f>
        <v>0</v>
      </c>
      <c r="BJ43">
        <f>IF(Planner!G$10="Nessuno",0,COUNTIFS(ImportedHolidays[Calendar],Planner!G$10,ImportedHolidays[Date],INT(G43),ImportedHolidays[Active],1,ImportedHolidays[Kind],"WORKDAY"))</f>
        <v>0</v>
      </c>
      <c r="BK43">
        <f>IF(Planner!H$10="Nessuno",0,COUNTIFS(ImportedHolidays[Calendar],Planner!H$10,ImportedHolidays[Date],INT(H43),ImportedHolidays[Active],1,ImportedHolidays[Kind],"WORKDAY"))</f>
        <v>0</v>
      </c>
      <c r="BM43">
        <f>IF(MOD(J43-B$11,1440)&lt;B$12,2,IF(OR(MOD(J43-B$11,1440)&lt;B$12+ROUND(Planner!$D$5*60,0),MOD(J43-B$11,1440)&gt;=1440-ROUND(Planner!$B$5*60,0)),1,0))</f>
        <v>0</v>
      </c>
      <c r="BN43">
        <f>IF(MOD(K43-C$11,1440)&lt;C$12,2,IF(OR(MOD(K43-C$11,1440)&lt;C$12+ROUND(Planner!$D$5*60,0),MOD(K43-C$11,1440)&gt;=1440-ROUND(Planner!$B$5*60,0)),1,0))</f>
        <v>0</v>
      </c>
      <c r="BO43">
        <f>IF(MOD(L43-D$11,1440)&lt;D$12,2,IF(OR(MOD(L43-D$11,1440)&lt;D$12+ROUND(Planner!$D$5*60,0),MOD(L43-D$11,1440)&gt;=1440-ROUND(Planner!$B$5*60,0)),1,0))</f>
        <v>0</v>
      </c>
      <c r="BP43">
        <f>IF(MOD(M43-E$11,1440)&lt;E$12,2,IF(OR(MOD(M43-E$11,1440)&lt;E$12+ROUND(Planner!$D$5*60,0),MOD(M43-E$11,1440)&gt;=1440-ROUND(Planner!$B$5*60,0)),1,0))</f>
        <v>0</v>
      </c>
      <c r="BQ43">
        <f>IF(MOD(N43-F$11,1440)&lt;F$12,2,IF(OR(MOD(N43-F$11,1440)&lt;F$12+ROUND(Planner!$D$5*60,0),MOD(N43-F$11,1440)&gt;=1440-ROUND(Planner!$B$5*60,0)),1,0))</f>
        <v>1</v>
      </c>
      <c r="BR43">
        <f>IF(MOD(O43-G$11,1440)&lt;G$12,2,IF(OR(MOD(O43-G$11,1440)&lt;G$12+ROUND(Planner!$D$5*60,0),MOD(O43-G$11,1440)&gt;=1440-ROUND(Planner!$B$5*60,0)),1,0))</f>
        <v>2</v>
      </c>
      <c r="BS43">
        <f>IF(MOD(P43-H$11,1440)&lt;H$12,2,IF(OR(MOD(P43-H$11,1440)&lt;H$12+ROUND(Planner!$D$5*60,0),MOD(P43-H$11,1440)&gt;=1440-ROUND(Planner!$B$5*60,0)),1,0))</f>
        <v>2</v>
      </c>
    </row>
    <row r="44" spans="1:71">
      <c r="A44" s="22">
        <f>ROUND(($B$6+3*Planner!$F$4/1440)*1440,0)/1440</f>
        <v>46288.770833333336</v>
      </c>
      <c r="B44" s="22">
        <f>IF(COUNTIFS(ZonePeriods[Code],Planner!B$9,ZonePeriods[FromUtc],"&lt;="&amp;$A44,ZonePeriods[UntilUtc],"&gt;"&amp;$A44)=1,ROUND(($A44+SUMIFS(ZonePeriods[OffsetHours],ZonePeriods[Code],Planner!B$9,ZonePeriods[FromUtc],"&lt;="&amp;$A44,ZonePeriods[UntilUtc],"&gt;"&amp;$A44)/24)*1440,0)/1440,NA())</f>
        <v>46289.0625</v>
      </c>
      <c r="C44" s="22">
        <f>IF(COUNTIFS(ZonePeriods[Code],Planner!C$9,ZonePeriods[FromUtc],"&lt;="&amp;$A44,ZonePeriods[UntilUtc],"&gt;"&amp;$A44)=1,ROUND(($A44+SUMIFS(ZonePeriods[OffsetHours],ZonePeriods[Code],Planner!C$9,ZonePeriods[FromUtc],"&lt;="&amp;$A44,ZonePeriods[UntilUtc],"&gt;"&amp;$A44)/24)*1440,0)/1440,NA())</f>
        <v>46289</v>
      </c>
      <c r="D44" s="22">
        <f>IF(COUNTIFS(ZonePeriods[Code],Planner!D$9,ZonePeriods[FromUtc],"&lt;="&amp;$A44,ZonePeriods[UntilUtc],"&gt;"&amp;$A44)=1,ROUND(($A44+SUMIFS(ZonePeriods[OffsetHours],ZonePeriods[Code],Planner!D$9,ZonePeriods[FromUtc],"&lt;="&amp;$A44,ZonePeriods[UntilUtc],"&gt;"&amp;$A44)/24)*1440,0)/1440,NA())</f>
        <v>46288.895833333336</v>
      </c>
      <c r="E44" s="22">
        <f>IF(COUNTIFS(ZonePeriods[Code],Planner!E$9,ZonePeriods[FromUtc],"&lt;="&amp;$A44,ZonePeriods[UntilUtc],"&gt;"&amp;$A44)=1,ROUND(($A44+SUMIFS(ZonePeriods[OffsetHours],ZonePeriods[Code],Planner!E$9,ZonePeriods[FromUtc],"&lt;="&amp;$A44,ZonePeriods[UntilUtc],"&gt;"&amp;$A44)/24)*1440,0)/1440,NA())</f>
        <v>46288.854166666664</v>
      </c>
      <c r="F44" s="22">
        <f>IF(COUNTIFS(ZonePeriods[Code],Planner!F$9,ZonePeriods[FromUtc],"&lt;="&amp;$A44,ZonePeriods[UntilUtc],"&gt;"&amp;$A44)=1,ROUND(($A44+SUMIFS(ZonePeriods[OffsetHours],ZonePeriods[Code],Planner!F$9,ZonePeriods[FromUtc],"&lt;="&amp;$A44,ZonePeriods[UntilUtc],"&gt;"&amp;$A44)/24)*1440,0)/1440,NA())</f>
        <v>46288.8125</v>
      </c>
      <c r="G44" s="22">
        <f>IF(COUNTIFS(ZonePeriods[Code],Planner!G$9,ZonePeriods[FromUtc],"&lt;="&amp;$A44,ZonePeriods[UntilUtc],"&gt;"&amp;$A44)=1,ROUND(($A44+SUMIFS(ZonePeriods[OffsetHours],ZonePeriods[Code],Planner!G$9,ZonePeriods[FromUtc],"&lt;="&amp;$A44,ZonePeriods[UntilUtc],"&gt;"&amp;$A44)/24)*1440,0)/1440,NA())</f>
        <v>46288.604166666664</v>
      </c>
      <c r="H44" s="22">
        <f>IF(COUNTIFS(ZonePeriods[Code],Planner!H$9,ZonePeriods[FromUtc],"&lt;="&amp;$A44,ZonePeriods[UntilUtc],"&gt;"&amp;$A44)=1,ROUND(($A44+SUMIFS(ZonePeriods[OffsetHours],ZonePeriods[Code],Planner!H$9,ZonePeriods[FromUtc],"&lt;="&amp;$A44,ZonePeriods[UntilUtc],"&gt;"&amp;$A44)/24)*1440,0)/1440,NA())</f>
        <v>46288.479166666664</v>
      </c>
      <c r="I44" s="1"/>
      <c r="J44" s="1">
        <f t="shared" si="0"/>
        <v>90</v>
      </c>
      <c r="K44" s="1">
        <f t="shared" si="1"/>
        <v>0</v>
      </c>
      <c r="L44" s="1">
        <f t="shared" si="2"/>
        <v>1290</v>
      </c>
      <c r="M44" s="1">
        <f t="shared" si="3"/>
        <v>1230</v>
      </c>
      <c r="N44" s="1">
        <f t="shared" si="4"/>
        <v>1170</v>
      </c>
      <c r="O44" s="1">
        <f t="shared" si="5"/>
        <v>870</v>
      </c>
      <c r="P44" s="1">
        <f t="shared" si="6"/>
        <v>690</v>
      </c>
      <c r="Q44" s="1"/>
      <c r="R44" s="1">
        <f t="shared" si="7"/>
        <v>0</v>
      </c>
      <c r="S44" s="1">
        <f t="shared" si="8"/>
        <v>0</v>
      </c>
      <c r="T44" s="1">
        <f t="shared" si="9"/>
        <v>0</v>
      </c>
      <c r="U44" s="1">
        <f t="shared" si="10"/>
        <v>0</v>
      </c>
      <c r="V44" s="1">
        <f t="shared" si="11"/>
        <v>1</v>
      </c>
      <c r="W44" s="1">
        <f t="shared" si="12"/>
        <v>2</v>
      </c>
      <c r="X44" s="1">
        <f t="shared" si="13"/>
        <v>2</v>
      </c>
      <c r="Y44" s="1"/>
      <c r="Z44" s="1">
        <f>IF(Planner!B$10="Nessuno",0,COUNTIFS(HolidayDates[Calendar],Planner!B$10,HolidayDates[Local date],INT(B44),HolidayDates[Active 0/1],1)+COUNTIFS(ImportedHolidays[Calendar],Planner!B$10,ImportedHolidays[Date],INT(B44),ImportedHolidays[Active],1,ImportedHolidays[Kind],"HOLIDAY"))</f>
        <v>0</v>
      </c>
      <c r="AA44" s="1">
        <f>IF(Planner!C$10="Nessuno",0,COUNTIFS(HolidayDates[Calendar],Planner!C$10,HolidayDates[Local date],INT(C44),HolidayDates[Active 0/1],1)+COUNTIFS(ImportedHolidays[Calendar],Planner!C$10,ImportedHolidays[Date],INT(C44),ImportedHolidays[Active],1,ImportedHolidays[Kind],"HOLIDAY"))</f>
        <v>0</v>
      </c>
      <c r="AB44" s="1">
        <f>IF(Planner!D$10="Nessuno",0,COUNTIFS(HolidayDates[Calendar],Planner!D$10,HolidayDates[Local date],INT(D44),HolidayDates[Active 0/1],1)+COUNTIFS(ImportedHolidays[Calendar],Planner!D$10,ImportedHolidays[Date],INT(D44),ImportedHolidays[Active],1,ImportedHolidays[Kind],"HOLIDAY"))</f>
        <v>0</v>
      </c>
      <c r="AC44" s="1">
        <f>IF(Planner!E$10="Nessuno",0,COUNTIFS(HolidayDates[Calendar],Planner!E$10,HolidayDates[Local date],INT(E44),HolidayDates[Active 0/1],1)+COUNTIFS(ImportedHolidays[Calendar],Planner!E$10,ImportedHolidays[Date],INT(E44),ImportedHolidays[Active],1,ImportedHolidays[Kind],"HOLIDAY"))</f>
        <v>0</v>
      </c>
      <c r="AD44" s="1">
        <f>IF(Planner!F$10="Nessuno",0,COUNTIFS(HolidayDates[Calendar],Planner!F$10,HolidayDates[Local date],INT(F44),HolidayDates[Active 0/1],1)+COUNTIFS(ImportedHolidays[Calendar],Planner!F$10,ImportedHolidays[Date],INT(F44),ImportedHolidays[Active],1,ImportedHolidays[Kind],"HOLIDAY"))</f>
        <v>0</v>
      </c>
      <c r="AE44" s="1">
        <f>IF(Planner!G$10="Nessuno",0,COUNTIFS(HolidayDates[Calendar],Planner!G$10,HolidayDates[Local date],INT(G44),HolidayDates[Active 0/1],1)+COUNTIFS(ImportedHolidays[Calendar],Planner!G$10,ImportedHolidays[Date],INT(G44),ImportedHolidays[Active],1,ImportedHolidays[Kind],"HOLIDAY"))</f>
        <v>0</v>
      </c>
      <c r="AF44" s="1">
        <f>IF(Planner!H$10="Nessuno",0,COUNTIFS(HolidayDates[Calendar],Planner!H$10,HolidayDates[Local date],INT(H44),HolidayDates[Active 0/1],1)+COUNTIFS(ImportedHolidays[Calendar],Planner!H$10,ImportedHolidays[Date],INT(H44),ImportedHolidays[Active],1,ImportedHolidays[Kind],"HOLIDAY"))</f>
        <v>0</v>
      </c>
      <c r="AG44" s="1"/>
      <c r="AH44" s="1" t="b">
        <f>INDEX(Parametri!$G12:$M12,1,WEEKDAY(INT(B44),2))=1</f>
        <v>0</v>
      </c>
      <c r="AI44" s="1" t="b">
        <f>INDEX(Parametri!$G13:$M13,1,WEEKDAY(INT(C44),2))=1</f>
        <v>0</v>
      </c>
      <c r="AJ44" s="1" t="b">
        <f>INDEX(Parametri!$G14:$M14,1,WEEKDAY(INT(D44),2))=1</f>
        <v>0</v>
      </c>
      <c r="AK44" s="1" t="b">
        <f>INDEX(Parametri!$G15:$M15,1,WEEKDAY(INT(E44),2))=1</f>
        <v>0</v>
      </c>
      <c r="AL44" s="1" t="b">
        <f>INDEX(Parametri!$G16:$M16,1,WEEKDAY(INT(F44),2))=1</f>
        <v>0</v>
      </c>
      <c r="AM44" s="1" t="b">
        <f>INDEX(Parametri!$G17:$M17,1,WEEKDAY(INT(G44),2))=1</f>
        <v>0</v>
      </c>
      <c r="AN44" s="1" t="b">
        <f>INDEX(Parametri!$G18:$M18,1,WEEKDAY(INT(H44),2))=1</f>
        <v>0</v>
      </c>
      <c r="AO44">
        <f>COUNTIFS(PersonalExceptions[Colonna],1,PersonalExceptions[Dal],"&lt;="&amp;INT(B44),PersonalExceptions[Al],"&gt;="&amp;INT(B44),PersonalExceptions[Active 0/1],1,PersonalExceptions[Effetto],"Rest")</f>
        <v>0</v>
      </c>
      <c r="AP44">
        <f>COUNTIFS(PersonalExceptions[Colonna],2,PersonalExceptions[Dal],"&lt;="&amp;INT(C44),PersonalExceptions[Al],"&gt;="&amp;INT(C44),PersonalExceptions[Active 0/1],1,PersonalExceptions[Effetto],"Rest")</f>
        <v>0</v>
      </c>
      <c r="AQ44">
        <f>COUNTIFS(PersonalExceptions[Colonna],3,PersonalExceptions[Dal],"&lt;="&amp;INT(D44),PersonalExceptions[Al],"&gt;="&amp;INT(D44),PersonalExceptions[Active 0/1],1,PersonalExceptions[Effetto],"Rest")</f>
        <v>0</v>
      </c>
      <c r="AR44">
        <f>COUNTIFS(PersonalExceptions[Colonna],4,PersonalExceptions[Dal],"&lt;="&amp;INT(E44),PersonalExceptions[Al],"&gt;="&amp;INT(E44),PersonalExceptions[Active 0/1],1,PersonalExceptions[Effetto],"Rest")</f>
        <v>0</v>
      </c>
      <c r="AS44">
        <f>COUNTIFS(PersonalExceptions[Colonna],5,PersonalExceptions[Dal],"&lt;="&amp;INT(F44),PersonalExceptions[Al],"&gt;="&amp;INT(F44),PersonalExceptions[Active 0/1],1,PersonalExceptions[Effetto],"Rest")</f>
        <v>0</v>
      </c>
      <c r="AT44">
        <f>COUNTIFS(PersonalExceptions[Colonna],6,PersonalExceptions[Dal],"&lt;="&amp;INT(G44),PersonalExceptions[Al],"&gt;="&amp;INT(G44),PersonalExceptions[Active 0/1],1,PersonalExceptions[Effetto],"Rest")</f>
        <v>0</v>
      </c>
      <c r="AU44">
        <f>COUNTIFS(PersonalExceptions[Colonna],7,PersonalExceptions[Dal],"&lt;="&amp;INT(H44),PersonalExceptions[Al],"&gt;="&amp;INT(H44),PersonalExceptions[Active 0/1],1,PersonalExceptions[Effetto],"Rest")</f>
        <v>0</v>
      </c>
      <c r="AW44">
        <f>COUNTIFS(PersonalExceptions[Colonna],1,PersonalExceptions[Dal],"&lt;="&amp;INT(B44),PersonalExceptions[Al],"&gt;="&amp;INT(B44),PersonalExceptions[Active 0/1],1,PersonalExceptions[Effetto],"Activity")</f>
        <v>0</v>
      </c>
      <c r="AX44">
        <f>COUNTIFS(PersonalExceptions[Colonna],2,PersonalExceptions[Dal],"&lt;="&amp;INT(C44),PersonalExceptions[Al],"&gt;="&amp;INT(C44),PersonalExceptions[Active 0/1],1,PersonalExceptions[Effetto],"Activity")</f>
        <v>0</v>
      </c>
      <c r="AY44">
        <f>COUNTIFS(PersonalExceptions[Colonna],3,PersonalExceptions[Dal],"&lt;="&amp;INT(D44),PersonalExceptions[Al],"&gt;="&amp;INT(D44),PersonalExceptions[Active 0/1],1,PersonalExceptions[Effetto],"Activity")</f>
        <v>0</v>
      </c>
      <c r="AZ44">
        <f>COUNTIFS(PersonalExceptions[Colonna],4,PersonalExceptions[Dal],"&lt;="&amp;INT(E44),PersonalExceptions[Al],"&gt;="&amp;INT(E44),PersonalExceptions[Active 0/1],1,PersonalExceptions[Effetto],"Activity")</f>
        <v>0</v>
      </c>
      <c r="BA44">
        <f>COUNTIFS(PersonalExceptions[Colonna],5,PersonalExceptions[Dal],"&lt;="&amp;INT(F44),PersonalExceptions[Al],"&gt;="&amp;INT(F44),PersonalExceptions[Active 0/1],1,PersonalExceptions[Effetto],"Activity")</f>
        <v>0</v>
      </c>
      <c r="BB44">
        <f>COUNTIFS(PersonalExceptions[Colonna],6,PersonalExceptions[Dal],"&lt;="&amp;INT(G44),PersonalExceptions[Al],"&gt;="&amp;INT(G44),PersonalExceptions[Active 0/1],1,PersonalExceptions[Effetto],"Activity")</f>
        <v>0</v>
      </c>
      <c r="BC44">
        <f>COUNTIFS(PersonalExceptions[Colonna],7,PersonalExceptions[Dal],"&lt;="&amp;INT(H44),PersonalExceptions[Al],"&gt;="&amp;INT(H44),PersonalExceptions[Active 0/1],1,PersonalExceptions[Effetto],"Activity")</f>
        <v>0</v>
      </c>
      <c r="BE44">
        <f>IF(Planner!B$10="Nessuno",0,COUNTIFS(ImportedHolidays[Calendar],Planner!B$10,ImportedHolidays[Date],INT(B44),ImportedHolidays[Active],1,ImportedHolidays[Kind],"WORKDAY"))</f>
        <v>0</v>
      </c>
      <c r="BF44">
        <f>IF(Planner!C$10="Nessuno",0,COUNTIFS(ImportedHolidays[Calendar],Planner!C$10,ImportedHolidays[Date],INT(C44),ImportedHolidays[Active],1,ImportedHolidays[Kind],"WORKDAY"))</f>
        <v>0</v>
      </c>
      <c r="BG44">
        <f>IF(Planner!D$10="Nessuno",0,COUNTIFS(ImportedHolidays[Calendar],Planner!D$10,ImportedHolidays[Date],INT(D44),ImportedHolidays[Active],1,ImportedHolidays[Kind],"WORKDAY"))</f>
        <v>0</v>
      </c>
      <c r="BH44">
        <f>IF(Planner!E$10="Nessuno",0,COUNTIFS(ImportedHolidays[Calendar],Planner!E$10,ImportedHolidays[Date],INT(E44),ImportedHolidays[Active],1,ImportedHolidays[Kind],"WORKDAY"))</f>
        <v>0</v>
      </c>
      <c r="BI44">
        <f>IF(Planner!F$10="Nessuno",0,COUNTIFS(ImportedHolidays[Calendar],Planner!F$10,ImportedHolidays[Date],INT(F44),ImportedHolidays[Active],1,ImportedHolidays[Kind],"WORKDAY"))</f>
        <v>0</v>
      </c>
      <c r="BJ44">
        <f>IF(Planner!G$10="Nessuno",0,COUNTIFS(ImportedHolidays[Calendar],Planner!G$10,ImportedHolidays[Date],INT(G44),ImportedHolidays[Active],1,ImportedHolidays[Kind],"WORKDAY"))</f>
        <v>0</v>
      </c>
      <c r="BK44">
        <f>IF(Planner!H$10="Nessuno",0,COUNTIFS(ImportedHolidays[Calendar],Planner!H$10,ImportedHolidays[Date],INT(H44),ImportedHolidays[Active],1,ImportedHolidays[Kind],"WORKDAY"))</f>
        <v>0</v>
      </c>
      <c r="BM44">
        <f>IF(MOD(J44-B$11,1440)&lt;B$12,2,IF(OR(MOD(J44-B$11,1440)&lt;B$12+ROUND(Planner!$D$5*60,0),MOD(J44-B$11,1440)&gt;=1440-ROUND(Planner!$B$5*60,0)),1,0))</f>
        <v>0</v>
      </c>
      <c r="BN44">
        <f>IF(MOD(K44-C$11,1440)&lt;C$12,2,IF(OR(MOD(K44-C$11,1440)&lt;C$12+ROUND(Planner!$D$5*60,0),MOD(K44-C$11,1440)&gt;=1440-ROUND(Planner!$B$5*60,0)),1,0))</f>
        <v>0</v>
      </c>
      <c r="BO44">
        <f>IF(MOD(L44-D$11,1440)&lt;D$12,2,IF(OR(MOD(L44-D$11,1440)&lt;D$12+ROUND(Planner!$D$5*60,0),MOD(L44-D$11,1440)&gt;=1440-ROUND(Planner!$B$5*60,0)),1,0))</f>
        <v>0</v>
      </c>
      <c r="BP44">
        <f>IF(MOD(M44-E$11,1440)&lt;E$12,2,IF(OR(MOD(M44-E$11,1440)&lt;E$12+ROUND(Planner!$D$5*60,0),MOD(M44-E$11,1440)&gt;=1440-ROUND(Planner!$B$5*60,0)),1,0))</f>
        <v>0</v>
      </c>
      <c r="BQ44">
        <f>IF(MOD(N44-F$11,1440)&lt;F$12,2,IF(OR(MOD(N44-F$11,1440)&lt;F$12+ROUND(Planner!$D$5*60,0),MOD(N44-F$11,1440)&gt;=1440-ROUND(Planner!$B$5*60,0)),1,0))</f>
        <v>1</v>
      </c>
      <c r="BR44">
        <f>IF(MOD(O44-G$11,1440)&lt;G$12,2,IF(OR(MOD(O44-G$11,1440)&lt;G$12+ROUND(Planner!$D$5*60,0),MOD(O44-G$11,1440)&gt;=1440-ROUND(Planner!$B$5*60,0)),1,0))</f>
        <v>2</v>
      </c>
      <c r="BS44">
        <f>IF(MOD(P44-H$11,1440)&lt;H$12,2,IF(OR(MOD(P44-H$11,1440)&lt;H$12+ROUND(Planner!$D$5*60,0),MOD(P44-H$11,1440)&gt;=1440-ROUND(Planner!$B$5*60,0)),1,0))</f>
        <v>2</v>
      </c>
    </row>
    <row r="45" spans="1:71">
      <c r="A45" s="22">
        <f>ROUND(($B$6+4*Planner!$F$4/1440)*1440,0)/1440</f>
        <v>46288.791666666664</v>
      </c>
      <c r="B45" s="22">
        <f>IF(COUNTIFS(ZonePeriods[Code],Planner!B$9,ZonePeriods[FromUtc],"&lt;="&amp;$A45,ZonePeriods[UntilUtc],"&gt;"&amp;$A45)=1,ROUND(($A45+SUMIFS(ZonePeriods[OffsetHours],ZonePeriods[Code],Planner!B$9,ZonePeriods[FromUtc],"&lt;="&amp;$A45,ZonePeriods[UntilUtc],"&gt;"&amp;$A45)/24)*1440,0)/1440,NA())</f>
        <v>46289.083333333336</v>
      </c>
      <c r="C45" s="22">
        <f>IF(COUNTIFS(ZonePeriods[Code],Planner!C$9,ZonePeriods[FromUtc],"&lt;="&amp;$A45,ZonePeriods[UntilUtc],"&gt;"&amp;$A45)=1,ROUND(($A45+SUMIFS(ZonePeriods[OffsetHours],ZonePeriods[Code],Planner!C$9,ZonePeriods[FromUtc],"&lt;="&amp;$A45,ZonePeriods[UntilUtc],"&gt;"&amp;$A45)/24)*1440,0)/1440,NA())</f>
        <v>46289.020833333336</v>
      </c>
      <c r="D45" s="22">
        <f>IF(COUNTIFS(ZonePeriods[Code],Planner!D$9,ZonePeriods[FromUtc],"&lt;="&amp;$A45,ZonePeriods[UntilUtc],"&gt;"&amp;$A45)=1,ROUND(($A45+SUMIFS(ZonePeriods[OffsetHours],ZonePeriods[Code],Planner!D$9,ZonePeriods[FromUtc],"&lt;="&amp;$A45,ZonePeriods[UntilUtc],"&gt;"&amp;$A45)/24)*1440,0)/1440,NA())</f>
        <v>46288.916666666664</v>
      </c>
      <c r="E45" s="22">
        <f>IF(COUNTIFS(ZonePeriods[Code],Planner!E$9,ZonePeriods[FromUtc],"&lt;="&amp;$A45,ZonePeriods[UntilUtc],"&gt;"&amp;$A45)=1,ROUND(($A45+SUMIFS(ZonePeriods[OffsetHours],ZonePeriods[Code],Planner!E$9,ZonePeriods[FromUtc],"&lt;="&amp;$A45,ZonePeriods[UntilUtc],"&gt;"&amp;$A45)/24)*1440,0)/1440,NA())</f>
        <v>46288.875</v>
      </c>
      <c r="F45" s="22">
        <f>IF(COUNTIFS(ZonePeriods[Code],Planner!F$9,ZonePeriods[FromUtc],"&lt;="&amp;$A45,ZonePeriods[UntilUtc],"&gt;"&amp;$A45)=1,ROUND(($A45+SUMIFS(ZonePeriods[OffsetHours],ZonePeriods[Code],Planner!F$9,ZonePeriods[FromUtc],"&lt;="&amp;$A45,ZonePeriods[UntilUtc],"&gt;"&amp;$A45)/24)*1440,0)/1440,NA())</f>
        <v>46288.833333333336</v>
      </c>
      <c r="G45" s="22">
        <f>IF(COUNTIFS(ZonePeriods[Code],Planner!G$9,ZonePeriods[FromUtc],"&lt;="&amp;$A45,ZonePeriods[UntilUtc],"&gt;"&amp;$A45)=1,ROUND(($A45+SUMIFS(ZonePeriods[OffsetHours],ZonePeriods[Code],Planner!G$9,ZonePeriods[FromUtc],"&lt;="&amp;$A45,ZonePeriods[UntilUtc],"&gt;"&amp;$A45)/24)*1440,0)/1440,NA())</f>
        <v>46288.625</v>
      </c>
      <c r="H45" s="22">
        <f>IF(COUNTIFS(ZonePeriods[Code],Planner!H$9,ZonePeriods[FromUtc],"&lt;="&amp;$A45,ZonePeriods[UntilUtc],"&gt;"&amp;$A45)=1,ROUND(($A45+SUMIFS(ZonePeriods[OffsetHours],ZonePeriods[Code],Planner!H$9,ZonePeriods[FromUtc],"&lt;="&amp;$A45,ZonePeriods[UntilUtc],"&gt;"&amp;$A45)/24)*1440,0)/1440,NA())</f>
        <v>46288.5</v>
      </c>
      <c r="I45" s="1"/>
      <c r="J45" s="1">
        <f t="shared" si="0"/>
        <v>120</v>
      </c>
      <c r="K45" s="1">
        <f t="shared" si="1"/>
        <v>30</v>
      </c>
      <c r="L45" s="1">
        <f t="shared" si="2"/>
        <v>1320</v>
      </c>
      <c r="M45" s="1">
        <f t="shared" si="3"/>
        <v>1260</v>
      </c>
      <c r="N45" s="1">
        <f t="shared" si="4"/>
        <v>1200</v>
      </c>
      <c r="O45" s="1">
        <f t="shared" si="5"/>
        <v>900</v>
      </c>
      <c r="P45" s="1">
        <f t="shared" si="6"/>
        <v>720</v>
      </c>
      <c r="Q45" s="1"/>
      <c r="R45" s="1">
        <f t="shared" si="7"/>
        <v>0</v>
      </c>
      <c r="S45" s="1">
        <f t="shared" si="8"/>
        <v>0</v>
      </c>
      <c r="T45" s="1">
        <f t="shared" si="9"/>
        <v>0</v>
      </c>
      <c r="U45" s="1">
        <f t="shared" si="10"/>
        <v>0</v>
      </c>
      <c r="V45" s="1">
        <f t="shared" si="11"/>
        <v>0</v>
      </c>
      <c r="W45" s="1">
        <f t="shared" si="12"/>
        <v>2</v>
      </c>
      <c r="X45" s="1">
        <f t="shared" si="13"/>
        <v>2</v>
      </c>
      <c r="Y45" s="1"/>
      <c r="Z45" s="1">
        <f>IF(Planner!B$10="Nessuno",0,COUNTIFS(HolidayDates[Calendar],Planner!B$10,HolidayDates[Local date],INT(B45),HolidayDates[Active 0/1],1)+COUNTIFS(ImportedHolidays[Calendar],Planner!B$10,ImportedHolidays[Date],INT(B45),ImportedHolidays[Active],1,ImportedHolidays[Kind],"HOLIDAY"))</f>
        <v>0</v>
      </c>
      <c r="AA45" s="1">
        <f>IF(Planner!C$10="Nessuno",0,COUNTIFS(HolidayDates[Calendar],Planner!C$10,HolidayDates[Local date],INT(C45),HolidayDates[Active 0/1],1)+COUNTIFS(ImportedHolidays[Calendar],Planner!C$10,ImportedHolidays[Date],INT(C45),ImportedHolidays[Active],1,ImportedHolidays[Kind],"HOLIDAY"))</f>
        <v>0</v>
      </c>
      <c r="AB45" s="1">
        <f>IF(Planner!D$10="Nessuno",0,COUNTIFS(HolidayDates[Calendar],Planner!D$10,HolidayDates[Local date],INT(D45),HolidayDates[Active 0/1],1)+COUNTIFS(ImportedHolidays[Calendar],Planner!D$10,ImportedHolidays[Date],INT(D45),ImportedHolidays[Active],1,ImportedHolidays[Kind],"HOLIDAY"))</f>
        <v>0</v>
      </c>
      <c r="AC45" s="1">
        <f>IF(Planner!E$10="Nessuno",0,COUNTIFS(HolidayDates[Calendar],Planner!E$10,HolidayDates[Local date],INT(E45),HolidayDates[Active 0/1],1)+COUNTIFS(ImportedHolidays[Calendar],Planner!E$10,ImportedHolidays[Date],INT(E45),ImportedHolidays[Active],1,ImportedHolidays[Kind],"HOLIDAY"))</f>
        <v>0</v>
      </c>
      <c r="AD45" s="1">
        <f>IF(Planner!F$10="Nessuno",0,COUNTIFS(HolidayDates[Calendar],Planner!F$10,HolidayDates[Local date],INT(F45),HolidayDates[Active 0/1],1)+COUNTIFS(ImportedHolidays[Calendar],Planner!F$10,ImportedHolidays[Date],INT(F45),ImportedHolidays[Active],1,ImportedHolidays[Kind],"HOLIDAY"))</f>
        <v>0</v>
      </c>
      <c r="AE45" s="1">
        <f>IF(Planner!G$10="Nessuno",0,COUNTIFS(HolidayDates[Calendar],Planner!G$10,HolidayDates[Local date],INT(G45),HolidayDates[Active 0/1],1)+COUNTIFS(ImportedHolidays[Calendar],Planner!G$10,ImportedHolidays[Date],INT(G45),ImportedHolidays[Active],1,ImportedHolidays[Kind],"HOLIDAY"))</f>
        <v>0</v>
      </c>
      <c r="AF45" s="1">
        <f>IF(Planner!H$10="Nessuno",0,COUNTIFS(HolidayDates[Calendar],Planner!H$10,HolidayDates[Local date],INT(H45),HolidayDates[Active 0/1],1)+COUNTIFS(ImportedHolidays[Calendar],Planner!H$10,ImportedHolidays[Date],INT(H45),ImportedHolidays[Active],1,ImportedHolidays[Kind],"HOLIDAY"))</f>
        <v>0</v>
      </c>
      <c r="AG45" s="1"/>
      <c r="AH45" s="1" t="b">
        <f>INDEX(Parametri!$G12:$M12,1,WEEKDAY(INT(B45),2))=1</f>
        <v>0</v>
      </c>
      <c r="AI45" s="1" t="b">
        <f>INDEX(Parametri!$G13:$M13,1,WEEKDAY(INT(C45),2))=1</f>
        <v>0</v>
      </c>
      <c r="AJ45" s="1" t="b">
        <f>INDEX(Parametri!$G14:$M14,1,WEEKDAY(INT(D45),2))=1</f>
        <v>0</v>
      </c>
      <c r="AK45" s="1" t="b">
        <f>INDEX(Parametri!$G15:$M15,1,WEEKDAY(INT(E45),2))=1</f>
        <v>0</v>
      </c>
      <c r="AL45" s="1" t="b">
        <f>INDEX(Parametri!$G16:$M16,1,WEEKDAY(INT(F45),2))=1</f>
        <v>0</v>
      </c>
      <c r="AM45" s="1" t="b">
        <f>INDEX(Parametri!$G17:$M17,1,WEEKDAY(INT(G45),2))=1</f>
        <v>0</v>
      </c>
      <c r="AN45" s="1" t="b">
        <f>INDEX(Parametri!$G18:$M18,1,WEEKDAY(INT(H45),2))=1</f>
        <v>0</v>
      </c>
      <c r="AO45">
        <f>COUNTIFS(PersonalExceptions[Colonna],1,PersonalExceptions[Dal],"&lt;="&amp;INT(B45),PersonalExceptions[Al],"&gt;="&amp;INT(B45),PersonalExceptions[Active 0/1],1,PersonalExceptions[Effetto],"Rest")</f>
        <v>0</v>
      </c>
      <c r="AP45">
        <f>COUNTIFS(PersonalExceptions[Colonna],2,PersonalExceptions[Dal],"&lt;="&amp;INT(C45),PersonalExceptions[Al],"&gt;="&amp;INT(C45),PersonalExceptions[Active 0/1],1,PersonalExceptions[Effetto],"Rest")</f>
        <v>0</v>
      </c>
      <c r="AQ45">
        <f>COUNTIFS(PersonalExceptions[Colonna],3,PersonalExceptions[Dal],"&lt;="&amp;INT(D45),PersonalExceptions[Al],"&gt;="&amp;INT(D45),PersonalExceptions[Active 0/1],1,PersonalExceptions[Effetto],"Rest")</f>
        <v>0</v>
      </c>
      <c r="AR45">
        <f>COUNTIFS(PersonalExceptions[Colonna],4,PersonalExceptions[Dal],"&lt;="&amp;INT(E45),PersonalExceptions[Al],"&gt;="&amp;INT(E45),PersonalExceptions[Active 0/1],1,PersonalExceptions[Effetto],"Rest")</f>
        <v>0</v>
      </c>
      <c r="AS45">
        <f>COUNTIFS(PersonalExceptions[Colonna],5,PersonalExceptions[Dal],"&lt;="&amp;INT(F45),PersonalExceptions[Al],"&gt;="&amp;INT(F45),PersonalExceptions[Active 0/1],1,PersonalExceptions[Effetto],"Rest")</f>
        <v>0</v>
      </c>
      <c r="AT45">
        <f>COUNTIFS(PersonalExceptions[Colonna],6,PersonalExceptions[Dal],"&lt;="&amp;INT(G45),PersonalExceptions[Al],"&gt;="&amp;INT(G45),PersonalExceptions[Active 0/1],1,PersonalExceptions[Effetto],"Rest")</f>
        <v>0</v>
      </c>
      <c r="AU45">
        <f>COUNTIFS(PersonalExceptions[Colonna],7,PersonalExceptions[Dal],"&lt;="&amp;INT(H45),PersonalExceptions[Al],"&gt;="&amp;INT(H45),PersonalExceptions[Active 0/1],1,PersonalExceptions[Effetto],"Rest")</f>
        <v>0</v>
      </c>
      <c r="AW45">
        <f>COUNTIFS(PersonalExceptions[Colonna],1,PersonalExceptions[Dal],"&lt;="&amp;INT(B45),PersonalExceptions[Al],"&gt;="&amp;INT(B45),PersonalExceptions[Active 0/1],1,PersonalExceptions[Effetto],"Activity")</f>
        <v>0</v>
      </c>
      <c r="AX45">
        <f>COUNTIFS(PersonalExceptions[Colonna],2,PersonalExceptions[Dal],"&lt;="&amp;INT(C45),PersonalExceptions[Al],"&gt;="&amp;INT(C45),PersonalExceptions[Active 0/1],1,PersonalExceptions[Effetto],"Activity")</f>
        <v>0</v>
      </c>
      <c r="AY45">
        <f>COUNTIFS(PersonalExceptions[Colonna],3,PersonalExceptions[Dal],"&lt;="&amp;INT(D45),PersonalExceptions[Al],"&gt;="&amp;INT(D45),PersonalExceptions[Active 0/1],1,PersonalExceptions[Effetto],"Activity")</f>
        <v>0</v>
      </c>
      <c r="AZ45">
        <f>COUNTIFS(PersonalExceptions[Colonna],4,PersonalExceptions[Dal],"&lt;="&amp;INT(E45),PersonalExceptions[Al],"&gt;="&amp;INT(E45),PersonalExceptions[Active 0/1],1,PersonalExceptions[Effetto],"Activity")</f>
        <v>0</v>
      </c>
      <c r="BA45">
        <f>COUNTIFS(PersonalExceptions[Colonna],5,PersonalExceptions[Dal],"&lt;="&amp;INT(F45),PersonalExceptions[Al],"&gt;="&amp;INT(F45),PersonalExceptions[Active 0/1],1,PersonalExceptions[Effetto],"Activity")</f>
        <v>0</v>
      </c>
      <c r="BB45">
        <f>COUNTIFS(PersonalExceptions[Colonna],6,PersonalExceptions[Dal],"&lt;="&amp;INT(G45),PersonalExceptions[Al],"&gt;="&amp;INT(G45),PersonalExceptions[Active 0/1],1,PersonalExceptions[Effetto],"Activity")</f>
        <v>0</v>
      </c>
      <c r="BC45">
        <f>COUNTIFS(PersonalExceptions[Colonna],7,PersonalExceptions[Dal],"&lt;="&amp;INT(H45),PersonalExceptions[Al],"&gt;="&amp;INT(H45),PersonalExceptions[Active 0/1],1,PersonalExceptions[Effetto],"Activity")</f>
        <v>0</v>
      </c>
      <c r="BE45">
        <f>IF(Planner!B$10="Nessuno",0,COUNTIFS(ImportedHolidays[Calendar],Planner!B$10,ImportedHolidays[Date],INT(B45),ImportedHolidays[Active],1,ImportedHolidays[Kind],"WORKDAY"))</f>
        <v>0</v>
      </c>
      <c r="BF45">
        <f>IF(Planner!C$10="Nessuno",0,COUNTIFS(ImportedHolidays[Calendar],Planner!C$10,ImportedHolidays[Date],INT(C45),ImportedHolidays[Active],1,ImportedHolidays[Kind],"WORKDAY"))</f>
        <v>0</v>
      </c>
      <c r="BG45">
        <f>IF(Planner!D$10="Nessuno",0,COUNTIFS(ImportedHolidays[Calendar],Planner!D$10,ImportedHolidays[Date],INT(D45),ImportedHolidays[Active],1,ImportedHolidays[Kind],"WORKDAY"))</f>
        <v>0</v>
      </c>
      <c r="BH45">
        <f>IF(Planner!E$10="Nessuno",0,COUNTIFS(ImportedHolidays[Calendar],Planner!E$10,ImportedHolidays[Date],INT(E45),ImportedHolidays[Active],1,ImportedHolidays[Kind],"WORKDAY"))</f>
        <v>0</v>
      </c>
      <c r="BI45">
        <f>IF(Planner!F$10="Nessuno",0,COUNTIFS(ImportedHolidays[Calendar],Planner!F$10,ImportedHolidays[Date],INT(F45),ImportedHolidays[Active],1,ImportedHolidays[Kind],"WORKDAY"))</f>
        <v>0</v>
      </c>
      <c r="BJ45">
        <f>IF(Planner!G$10="Nessuno",0,COUNTIFS(ImportedHolidays[Calendar],Planner!G$10,ImportedHolidays[Date],INT(G45),ImportedHolidays[Active],1,ImportedHolidays[Kind],"WORKDAY"))</f>
        <v>0</v>
      </c>
      <c r="BK45">
        <f>IF(Planner!H$10="Nessuno",0,COUNTIFS(ImportedHolidays[Calendar],Planner!H$10,ImportedHolidays[Date],INT(H45),ImportedHolidays[Active],1,ImportedHolidays[Kind],"WORKDAY"))</f>
        <v>0</v>
      </c>
      <c r="BM45">
        <f>IF(MOD(J45-B$11,1440)&lt;B$12,2,IF(OR(MOD(J45-B$11,1440)&lt;B$12+ROUND(Planner!$D$5*60,0),MOD(J45-B$11,1440)&gt;=1440-ROUND(Planner!$B$5*60,0)),1,0))</f>
        <v>0</v>
      </c>
      <c r="BN45">
        <f>IF(MOD(K45-C$11,1440)&lt;C$12,2,IF(OR(MOD(K45-C$11,1440)&lt;C$12+ROUND(Planner!$D$5*60,0),MOD(K45-C$11,1440)&gt;=1440-ROUND(Planner!$B$5*60,0)),1,0))</f>
        <v>0</v>
      </c>
      <c r="BO45">
        <f>IF(MOD(L45-D$11,1440)&lt;D$12,2,IF(OR(MOD(L45-D$11,1440)&lt;D$12+ROUND(Planner!$D$5*60,0),MOD(L45-D$11,1440)&gt;=1440-ROUND(Planner!$B$5*60,0)),1,0))</f>
        <v>0</v>
      </c>
      <c r="BP45">
        <f>IF(MOD(M45-E$11,1440)&lt;E$12,2,IF(OR(MOD(M45-E$11,1440)&lt;E$12+ROUND(Planner!$D$5*60,0),MOD(M45-E$11,1440)&gt;=1440-ROUND(Planner!$B$5*60,0)),1,0))</f>
        <v>0</v>
      </c>
      <c r="BQ45">
        <f>IF(MOD(N45-F$11,1440)&lt;F$12,2,IF(OR(MOD(N45-F$11,1440)&lt;F$12+ROUND(Planner!$D$5*60,0),MOD(N45-F$11,1440)&gt;=1440-ROUND(Planner!$B$5*60,0)),1,0))</f>
        <v>0</v>
      </c>
      <c r="BR45">
        <f>IF(MOD(O45-G$11,1440)&lt;G$12,2,IF(OR(MOD(O45-G$11,1440)&lt;G$12+ROUND(Planner!$D$5*60,0),MOD(O45-G$11,1440)&gt;=1440-ROUND(Planner!$B$5*60,0)),1,0))</f>
        <v>2</v>
      </c>
      <c r="BS45">
        <f>IF(MOD(P45-H$11,1440)&lt;H$12,2,IF(OR(MOD(P45-H$11,1440)&lt;H$12+ROUND(Planner!$D$5*60,0),MOD(P45-H$11,1440)&gt;=1440-ROUND(Planner!$B$5*60,0)),1,0))</f>
        <v>2</v>
      </c>
    </row>
    <row r="46" spans="1:71">
      <c r="A46" s="22">
        <f>ROUND(($B$6+5*Planner!$F$4/1440)*1440,0)/1440</f>
        <v>46288.8125</v>
      </c>
      <c r="B46" s="22">
        <f>IF(COUNTIFS(ZonePeriods[Code],Planner!B$9,ZonePeriods[FromUtc],"&lt;="&amp;$A46,ZonePeriods[UntilUtc],"&gt;"&amp;$A46)=1,ROUND(($A46+SUMIFS(ZonePeriods[OffsetHours],ZonePeriods[Code],Planner!B$9,ZonePeriods[FromUtc],"&lt;="&amp;$A46,ZonePeriods[UntilUtc],"&gt;"&amp;$A46)/24)*1440,0)/1440,NA())</f>
        <v>46289.104166666664</v>
      </c>
      <c r="C46" s="22">
        <f>IF(COUNTIFS(ZonePeriods[Code],Planner!C$9,ZonePeriods[FromUtc],"&lt;="&amp;$A46,ZonePeriods[UntilUtc],"&gt;"&amp;$A46)=1,ROUND(($A46+SUMIFS(ZonePeriods[OffsetHours],ZonePeriods[Code],Planner!C$9,ZonePeriods[FromUtc],"&lt;="&amp;$A46,ZonePeriods[UntilUtc],"&gt;"&amp;$A46)/24)*1440,0)/1440,NA())</f>
        <v>46289.041666666664</v>
      </c>
      <c r="D46" s="22">
        <f>IF(COUNTIFS(ZonePeriods[Code],Planner!D$9,ZonePeriods[FromUtc],"&lt;="&amp;$A46,ZonePeriods[UntilUtc],"&gt;"&amp;$A46)=1,ROUND(($A46+SUMIFS(ZonePeriods[OffsetHours],ZonePeriods[Code],Planner!D$9,ZonePeriods[FromUtc],"&lt;="&amp;$A46,ZonePeriods[UntilUtc],"&gt;"&amp;$A46)/24)*1440,0)/1440,NA())</f>
        <v>46288.9375</v>
      </c>
      <c r="E46" s="22">
        <f>IF(COUNTIFS(ZonePeriods[Code],Planner!E$9,ZonePeriods[FromUtc],"&lt;="&amp;$A46,ZonePeriods[UntilUtc],"&gt;"&amp;$A46)=1,ROUND(($A46+SUMIFS(ZonePeriods[OffsetHours],ZonePeriods[Code],Planner!E$9,ZonePeriods[FromUtc],"&lt;="&amp;$A46,ZonePeriods[UntilUtc],"&gt;"&amp;$A46)/24)*1440,0)/1440,NA())</f>
        <v>46288.895833333336</v>
      </c>
      <c r="F46" s="22">
        <f>IF(COUNTIFS(ZonePeriods[Code],Planner!F$9,ZonePeriods[FromUtc],"&lt;="&amp;$A46,ZonePeriods[UntilUtc],"&gt;"&amp;$A46)=1,ROUND(($A46+SUMIFS(ZonePeriods[OffsetHours],ZonePeriods[Code],Planner!F$9,ZonePeriods[FromUtc],"&lt;="&amp;$A46,ZonePeriods[UntilUtc],"&gt;"&amp;$A46)/24)*1440,0)/1440,NA())</f>
        <v>46288.854166666664</v>
      </c>
      <c r="G46" s="22">
        <f>IF(COUNTIFS(ZonePeriods[Code],Planner!G$9,ZonePeriods[FromUtc],"&lt;="&amp;$A46,ZonePeriods[UntilUtc],"&gt;"&amp;$A46)=1,ROUND(($A46+SUMIFS(ZonePeriods[OffsetHours],ZonePeriods[Code],Planner!G$9,ZonePeriods[FromUtc],"&lt;="&amp;$A46,ZonePeriods[UntilUtc],"&gt;"&amp;$A46)/24)*1440,0)/1440,NA())</f>
        <v>46288.645833333336</v>
      </c>
      <c r="H46" s="22">
        <f>IF(COUNTIFS(ZonePeriods[Code],Planner!H$9,ZonePeriods[FromUtc],"&lt;="&amp;$A46,ZonePeriods[UntilUtc],"&gt;"&amp;$A46)=1,ROUND(($A46+SUMIFS(ZonePeriods[OffsetHours],ZonePeriods[Code],Planner!H$9,ZonePeriods[FromUtc],"&lt;="&amp;$A46,ZonePeriods[UntilUtc],"&gt;"&amp;$A46)/24)*1440,0)/1440,NA())</f>
        <v>46288.520833333336</v>
      </c>
      <c r="I46" s="1"/>
      <c r="J46" s="1">
        <f t="shared" si="0"/>
        <v>150</v>
      </c>
      <c r="K46" s="1">
        <f t="shared" si="1"/>
        <v>60</v>
      </c>
      <c r="L46" s="1">
        <f t="shared" si="2"/>
        <v>1350</v>
      </c>
      <c r="M46" s="1">
        <f t="shared" si="3"/>
        <v>1290</v>
      </c>
      <c r="N46" s="1">
        <f t="shared" si="4"/>
        <v>1230</v>
      </c>
      <c r="O46" s="1">
        <f t="shared" si="5"/>
        <v>930</v>
      </c>
      <c r="P46" s="1">
        <f t="shared" si="6"/>
        <v>750</v>
      </c>
      <c r="Q46" s="1"/>
      <c r="R46" s="1">
        <f t="shared" si="7"/>
        <v>0</v>
      </c>
      <c r="S46" s="1">
        <f t="shared" si="8"/>
        <v>0</v>
      </c>
      <c r="T46" s="1">
        <f t="shared" si="9"/>
        <v>0</v>
      </c>
      <c r="U46" s="1">
        <f t="shared" si="10"/>
        <v>0</v>
      </c>
      <c r="V46" s="1">
        <f t="shared" si="11"/>
        <v>0</v>
      </c>
      <c r="W46" s="1">
        <f t="shared" si="12"/>
        <v>2</v>
      </c>
      <c r="X46" s="1">
        <f t="shared" si="13"/>
        <v>2</v>
      </c>
      <c r="Y46" s="1"/>
      <c r="Z46" s="1">
        <f>IF(Planner!B$10="Nessuno",0,COUNTIFS(HolidayDates[Calendar],Planner!B$10,HolidayDates[Local date],INT(B46),HolidayDates[Active 0/1],1)+COUNTIFS(ImportedHolidays[Calendar],Planner!B$10,ImportedHolidays[Date],INT(B46),ImportedHolidays[Active],1,ImportedHolidays[Kind],"HOLIDAY"))</f>
        <v>0</v>
      </c>
      <c r="AA46" s="1">
        <f>IF(Planner!C$10="Nessuno",0,COUNTIFS(HolidayDates[Calendar],Planner!C$10,HolidayDates[Local date],INT(C46),HolidayDates[Active 0/1],1)+COUNTIFS(ImportedHolidays[Calendar],Planner!C$10,ImportedHolidays[Date],INT(C46),ImportedHolidays[Active],1,ImportedHolidays[Kind],"HOLIDAY"))</f>
        <v>0</v>
      </c>
      <c r="AB46" s="1">
        <f>IF(Planner!D$10="Nessuno",0,COUNTIFS(HolidayDates[Calendar],Planner!D$10,HolidayDates[Local date],INT(D46),HolidayDates[Active 0/1],1)+COUNTIFS(ImportedHolidays[Calendar],Planner!D$10,ImportedHolidays[Date],INT(D46),ImportedHolidays[Active],1,ImportedHolidays[Kind],"HOLIDAY"))</f>
        <v>0</v>
      </c>
      <c r="AC46" s="1">
        <f>IF(Planner!E$10="Nessuno",0,COUNTIFS(HolidayDates[Calendar],Planner!E$10,HolidayDates[Local date],INT(E46),HolidayDates[Active 0/1],1)+COUNTIFS(ImportedHolidays[Calendar],Planner!E$10,ImportedHolidays[Date],INT(E46),ImportedHolidays[Active],1,ImportedHolidays[Kind],"HOLIDAY"))</f>
        <v>0</v>
      </c>
      <c r="AD46" s="1">
        <f>IF(Planner!F$10="Nessuno",0,COUNTIFS(HolidayDates[Calendar],Planner!F$10,HolidayDates[Local date],INT(F46),HolidayDates[Active 0/1],1)+COUNTIFS(ImportedHolidays[Calendar],Planner!F$10,ImportedHolidays[Date],INT(F46),ImportedHolidays[Active],1,ImportedHolidays[Kind],"HOLIDAY"))</f>
        <v>0</v>
      </c>
      <c r="AE46" s="1">
        <f>IF(Planner!G$10="Nessuno",0,COUNTIFS(HolidayDates[Calendar],Planner!G$10,HolidayDates[Local date],INT(G46),HolidayDates[Active 0/1],1)+COUNTIFS(ImportedHolidays[Calendar],Planner!G$10,ImportedHolidays[Date],INT(G46),ImportedHolidays[Active],1,ImportedHolidays[Kind],"HOLIDAY"))</f>
        <v>0</v>
      </c>
      <c r="AF46" s="1">
        <f>IF(Planner!H$10="Nessuno",0,COUNTIFS(HolidayDates[Calendar],Planner!H$10,HolidayDates[Local date],INT(H46),HolidayDates[Active 0/1],1)+COUNTIFS(ImportedHolidays[Calendar],Planner!H$10,ImportedHolidays[Date],INT(H46),ImportedHolidays[Active],1,ImportedHolidays[Kind],"HOLIDAY"))</f>
        <v>0</v>
      </c>
      <c r="AG46" s="1"/>
      <c r="AH46" s="1" t="b">
        <f>INDEX(Parametri!$G12:$M12,1,WEEKDAY(INT(B46),2))=1</f>
        <v>0</v>
      </c>
      <c r="AI46" s="1" t="b">
        <f>INDEX(Parametri!$G13:$M13,1,WEEKDAY(INT(C46),2))=1</f>
        <v>0</v>
      </c>
      <c r="AJ46" s="1" t="b">
        <f>INDEX(Parametri!$G14:$M14,1,WEEKDAY(INT(D46),2))=1</f>
        <v>0</v>
      </c>
      <c r="AK46" s="1" t="b">
        <f>INDEX(Parametri!$G15:$M15,1,WEEKDAY(INT(E46),2))=1</f>
        <v>0</v>
      </c>
      <c r="AL46" s="1" t="b">
        <f>INDEX(Parametri!$G16:$M16,1,WEEKDAY(INT(F46),2))=1</f>
        <v>0</v>
      </c>
      <c r="AM46" s="1" t="b">
        <f>INDEX(Parametri!$G17:$M17,1,WEEKDAY(INT(G46),2))=1</f>
        <v>0</v>
      </c>
      <c r="AN46" s="1" t="b">
        <f>INDEX(Parametri!$G18:$M18,1,WEEKDAY(INT(H46),2))=1</f>
        <v>0</v>
      </c>
      <c r="AO46">
        <f>COUNTIFS(PersonalExceptions[Colonna],1,PersonalExceptions[Dal],"&lt;="&amp;INT(B46),PersonalExceptions[Al],"&gt;="&amp;INT(B46),PersonalExceptions[Active 0/1],1,PersonalExceptions[Effetto],"Rest")</f>
        <v>0</v>
      </c>
      <c r="AP46">
        <f>COUNTIFS(PersonalExceptions[Colonna],2,PersonalExceptions[Dal],"&lt;="&amp;INT(C46),PersonalExceptions[Al],"&gt;="&amp;INT(C46),PersonalExceptions[Active 0/1],1,PersonalExceptions[Effetto],"Rest")</f>
        <v>0</v>
      </c>
      <c r="AQ46">
        <f>COUNTIFS(PersonalExceptions[Colonna],3,PersonalExceptions[Dal],"&lt;="&amp;INT(D46),PersonalExceptions[Al],"&gt;="&amp;INT(D46),PersonalExceptions[Active 0/1],1,PersonalExceptions[Effetto],"Rest")</f>
        <v>0</v>
      </c>
      <c r="AR46">
        <f>COUNTIFS(PersonalExceptions[Colonna],4,PersonalExceptions[Dal],"&lt;="&amp;INT(E46),PersonalExceptions[Al],"&gt;="&amp;INT(E46),PersonalExceptions[Active 0/1],1,PersonalExceptions[Effetto],"Rest")</f>
        <v>0</v>
      </c>
      <c r="AS46">
        <f>COUNTIFS(PersonalExceptions[Colonna],5,PersonalExceptions[Dal],"&lt;="&amp;INT(F46),PersonalExceptions[Al],"&gt;="&amp;INT(F46),PersonalExceptions[Active 0/1],1,PersonalExceptions[Effetto],"Rest")</f>
        <v>0</v>
      </c>
      <c r="AT46">
        <f>COUNTIFS(PersonalExceptions[Colonna],6,PersonalExceptions[Dal],"&lt;="&amp;INT(G46),PersonalExceptions[Al],"&gt;="&amp;INT(G46),PersonalExceptions[Active 0/1],1,PersonalExceptions[Effetto],"Rest")</f>
        <v>0</v>
      </c>
      <c r="AU46">
        <f>COUNTIFS(PersonalExceptions[Colonna],7,PersonalExceptions[Dal],"&lt;="&amp;INT(H46),PersonalExceptions[Al],"&gt;="&amp;INT(H46),PersonalExceptions[Active 0/1],1,PersonalExceptions[Effetto],"Rest")</f>
        <v>0</v>
      </c>
      <c r="AW46">
        <f>COUNTIFS(PersonalExceptions[Colonna],1,PersonalExceptions[Dal],"&lt;="&amp;INT(B46),PersonalExceptions[Al],"&gt;="&amp;INT(B46),PersonalExceptions[Active 0/1],1,PersonalExceptions[Effetto],"Activity")</f>
        <v>0</v>
      </c>
      <c r="AX46">
        <f>COUNTIFS(PersonalExceptions[Colonna],2,PersonalExceptions[Dal],"&lt;="&amp;INT(C46),PersonalExceptions[Al],"&gt;="&amp;INT(C46),PersonalExceptions[Active 0/1],1,PersonalExceptions[Effetto],"Activity")</f>
        <v>0</v>
      </c>
      <c r="AY46">
        <f>COUNTIFS(PersonalExceptions[Colonna],3,PersonalExceptions[Dal],"&lt;="&amp;INT(D46),PersonalExceptions[Al],"&gt;="&amp;INT(D46),PersonalExceptions[Active 0/1],1,PersonalExceptions[Effetto],"Activity")</f>
        <v>0</v>
      </c>
      <c r="AZ46">
        <f>COUNTIFS(PersonalExceptions[Colonna],4,PersonalExceptions[Dal],"&lt;="&amp;INT(E46),PersonalExceptions[Al],"&gt;="&amp;INT(E46),PersonalExceptions[Active 0/1],1,PersonalExceptions[Effetto],"Activity")</f>
        <v>0</v>
      </c>
      <c r="BA46">
        <f>COUNTIFS(PersonalExceptions[Colonna],5,PersonalExceptions[Dal],"&lt;="&amp;INT(F46),PersonalExceptions[Al],"&gt;="&amp;INT(F46),PersonalExceptions[Active 0/1],1,PersonalExceptions[Effetto],"Activity")</f>
        <v>0</v>
      </c>
      <c r="BB46">
        <f>COUNTIFS(PersonalExceptions[Colonna],6,PersonalExceptions[Dal],"&lt;="&amp;INT(G46),PersonalExceptions[Al],"&gt;="&amp;INT(G46),PersonalExceptions[Active 0/1],1,PersonalExceptions[Effetto],"Activity")</f>
        <v>0</v>
      </c>
      <c r="BC46">
        <f>COUNTIFS(PersonalExceptions[Colonna],7,PersonalExceptions[Dal],"&lt;="&amp;INT(H46),PersonalExceptions[Al],"&gt;="&amp;INT(H46),PersonalExceptions[Active 0/1],1,PersonalExceptions[Effetto],"Activity")</f>
        <v>0</v>
      </c>
      <c r="BE46">
        <f>IF(Planner!B$10="Nessuno",0,COUNTIFS(ImportedHolidays[Calendar],Planner!B$10,ImportedHolidays[Date],INT(B46),ImportedHolidays[Active],1,ImportedHolidays[Kind],"WORKDAY"))</f>
        <v>0</v>
      </c>
      <c r="BF46">
        <f>IF(Planner!C$10="Nessuno",0,COUNTIFS(ImportedHolidays[Calendar],Planner!C$10,ImportedHolidays[Date],INT(C46),ImportedHolidays[Active],1,ImportedHolidays[Kind],"WORKDAY"))</f>
        <v>0</v>
      </c>
      <c r="BG46">
        <f>IF(Planner!D$10="Nessuno",0,COUNTIFS(ImportedHolidays[Calendar],Planner!D$10,ImportedHolidays[Date],INT(D46),ImportedHolidays[Active],1,ImportedHolidays[Kind],"WORKDAY"))</f>
        <v>0</v>
      </c>
      <c r="BH46">
        <f>IF(Planner!E$10="Nessuno",0,COUNTIFS(ImportedHolidays[Calendar],Planner!E$10,ImportedHolidays[Date],INT(E46),ImportedHolidays[Active],1,ImportedHolidays[Kind],"WORKDAY"))</f>
        <v>0</v>
      </c>
      <c r="BI46">
        <f>IF(Planner!F$10="Nessuno",0,COUNTIFS(ImportedHolidays[Calendar],Planner!F$10,ImportedHolidays[Date],INT(F46),ImportedHolidays[Active],1,ImportedHolidays[Kind],"WORKDAY"))</f>
        <v>0</v>
      </c>
      <c r="BJ46">
        <f>IF(Planner!G$10="Nessuno",0,COUNTIFS(ImportedHolidays[Calendar],Planner!G$10,ImportedHolidays[Date],INT(G46),ImportedHolidays[Active],1,ImportedHolidays[Kind],"WORKDAY"))</f>
        <v>0</v>
      </c>
      <c r="BK46">
        <f>IF(Planner!H$10="Nessuno",0,COUNTIFS(ImportedHolidays[Calendar],Planner!H$10,ImportedHolidays[Date],INT(H46),ImportedHolidays[Active],1,ImportedHolidays[Kind],"WORKDAY"))</f>
        <v>0</v>
      </c>
      <c r="BM46">
        <f>IF(MOD(J46-B$11,1440)&lt;B$12,2,IF(OR(MOD(J46-B$11,1440)&lt;B$12+ROUND(Planner!$D$5*60,0),MOD(J46-B$11,1440)&gt;=1440-ROUND(Planner!$B$5*60,0)),1,0))</f>
        <v>0</v>
      </c>
      <c r="BN46">
        <f>IF(MOD(K46-C$11,1440)&lt;C$12,2,IF(OR(MOD(K46-C$11,1440)&lt;C$12+ROUND(Planner!$D$5*60,0),MOD(K46-C$11,1440)&gt;=1440-ROUND(Planner!$B$5*60,0)),1,0))</f>
        <v>0</v>
      </c>
      <c r="BO46">
        <f>IF(MOD(L46-D$11,1440)&lt;D$12,2,IF(OR(MOD(L46-D$11,1440)&lt;D$12+ROUND(Planner!$D$5*60,0),MOD(L46-D$11,1440)&gt;=1440-ROUND(Planner!$B$5*60,0)),1,0))</f>
        <v>0</v>
      </c>
      <c r="BP46">
        <f>IF(MOD(M46-E$11,1440)&lt;E$12,2,IF(OR(MOD(M46-E$11,1440)&lt;E$12+ROUND(Planner!$D$5*60,0),MOD(M46-E$11,1440)&gt;=1440-ROUND(Planner!$B$5*60,0)),1,0))</f>
        <v>0</v>
      </c>
      <c r="BQ46">
        <f>IF(MOD(N46-F$11,1440)&lt;F$12,2,IF(OR(MOD(N46-F$11,1440)&lt;F$12+ROUND(Planner!$D$5*60,0),MOD(N46-F$11,1440)&gt;=1440-ROUND(Planner!$B$5*60,0)),1,0))</f>
        <v>0</v>
      </c>
      <c r="BR46">
        <f>IF(MOD(O46-G$11,1440)&lt;G$12,2,IF(OR(MOD(O46-G$11,1440)&lt;G$12+ROUND(Planner!$D$5*60,0),MOD(O46-G$11,1440)&gt;=1440-ROUND(Planner!$B$5*60,0)),1,0))</f>
        <v>2</v>
      </c>
      <c r="BS46">
        <f>IF(MOD(P46-H$11,1440)&lt;H$12,2,IF(OR(MOD(P46-H$11,1440)&lt;H$12+ROUND(Planner!$D$5*60,0),MOD(P46-H$11,1440)&gt;=1440-ROUND(Planner!$B$5*60,0)),1,0))</f>
        <v>2</v>
      </c>
    </row>
    <row r="47" spans="1:71">
      <c r="A47" s="22">
        <f>ROUND(($B$6+6*Planner!$F$4/1440)*1440,0)/1440</f>
        <v>46288.833333333336</v>
      </c>
      <c r="B47" s="22">
        <f>IF(COUNTIFS(ZonePeriods[Code],Planner!B$9,ZonePeriods[FromUtc],"&lt;="&amp;$A47,ZonePeriods[UntilUtc],"&gt;"&amp;$A47)=1,ROUND(($A47+SUMIFS(ZonePeriods[OffsetHours],ZonePeriods[Code],Planner!B$9,ZonePeriods[FromUtc],"&lt;="&amp;$A47,ZonePeriods[UntilUtc],"&gt;"&amp;$A47)/24)*1440,0)/1440,NA())</f>
        <v>46289.125</v>
      </c>
      <c r="C47" s="22">
        <f>IF(COUNTIFS(ZonePeriods[Code],Planner!C$9,ZonePeriods[FromUtc],"&lt;="&amp;$A47,ZonePeriods[UntilUtc],"&gt;"&amp;$A47)=1,ROUND(($A47+SUMIFS(ZonePeriods[OffsetHours],ZonePeriods[Code],Planner!C$9,ZonePeriods[FromUtc],"&lt;="&amp;$A47,ZonePeriods[UntilUtc],"&gt;"&amp;$A47)/24)*1440,0)/1440,NA())</f>
        <v>46289.0625</v>
      </c>
      <c r="D47" s="22">
        <f>IF(COUNTIFS(ZonePeriods[Code],Planner!D$9,ZonePeriods[FromUtc],"&lt;="&amp;$A47,ZonePeriods[UntilUtc],"&gt;"&amp;$A47)=1,ROUND(($A47+SUMIFS(ZonePeriods[OffsetHours],ZonePeriods[Code],Planner!D$9,ZonePeriods[FromUtc],"&lt;="&amp;$A47,ZonePeriods[UntilUtc],"&gt;"&amp;$A47)/24)*1440,0)/1440,NA())</f>
        <v>46288.958333333336</v>
      </c>
      <c r="E47" s="22">
        <f>IF(COUNTIFS(ZonePeriods[Code],Planner!E$9,ZonePeriods[FromUtc],"&lt;="&amp;$A47,ZonePeriods[UntilUtc],"&gt;"&amp;$A47)=1,ROUND(($A47+SUMIFS(ZonePeriods[OffsetHours],ZonePeriods[Code],Planner!E$9,ZonePeriods[FromUtc],"&lt;="&amp;$A47,ZonePeriods[UntilUtc],"&gt;"&amp;$A47)/24)*1440,0)/1440,NA())</f>
        <v>46288.916666666664</v>
      </c>
      <c r="F47" s="22">
        <f>IF(COUNTIFS(ZonePeriods[Code],Planner!F$9,ZonePeriods[FromUtc],"&lt;="&amp;$A47,ZonePeriods[UntilUtc],"&gt;"&amp;$A47)=1,ROUND(($A47+SUMIFS(ZonePeriods[OffsetHours],ZonePeriods[Code],Planner!F$9,ZonePeriods[FromUtc],"&lt;="&amp;$A47,ZonePeriods[UntilUtc],"&gt;"&amp;$A47)/24)*1440,0)/1440,NA())</f>
        <v>46288.875</v>
      </c>
      <c r="G47" s="22">
        <f>IF(COUNTIFS(ZonePeriods[Code],Planner!G$9,ZonePeriods[FromUtc],"&lt;="&amp;$A47,ZonePeriods[UntilUtc],"&gt;"&amp;$A47)=1,ROUND(($A47+SUMIFS(ZonePeriods[OffsetHours],ZonePeriods[Code],Planner!G$9,ZonePeriods[FromUtc],"&lt;="&amp;$A47,ZonePeriods[UntilUtc],"&gt;"&amp;$A47)/24)*1440,0)/1440,NA())</f>
        <v>46288.666666666664</v>
      </c>
      <c r="H47" s="22">
        <f>IF(COUNTIFS(ZonePeriods[Code],Planner!H$9,ZonePeriods[FromUtc],"&lt;="&amp;$A47,ZonePeriods[UntilUtc],"&gt;"&amp;$A47)=1,ROUND(($A47+SUMIFS(ZonePeriods[OffsetHours],ZonePeriods[Code],Planner!H$9,ZonePeriods[FromUtc],"&lt;="&amp;$A47,ZonePeriods[UntilUtc],"&gt;"&amp;$A47)/24)*1440,0)/1440,NA())</f>
        <v>46288.541666666664</v>
      </c>
      <c r="I47" s="1"/>
      <c r="J47" s="1">
        <f t="shared" si="0"/>
        <v>180</v>
      </c>
      <c r="K47" s="1">
        <f t="shared" si="1"/>
        <v>90</v>
      </c>
      <c r="L47" s="1">
        <f t="shared" si="2"/>
        <v>1380</v>
      </c>
      <c r="M47" s="1">
        <f t="shared" si="3"/>
        <v>1320</v>
      </c>
      <c r="N47" s="1">
        <f t="shared" si="4"/>
        <v>1260</v>
      </c>
      <c r="O47" s="1">
        <f t="shared" si="5"/>
        <v>960</v>
      </c>
      <c r="P47" s="1">
        <f t="shared" si="6"/>
        <v>780</v>
      </c>
      <c r="Q47" s="1"/>
      <c r="R47" s="1">
        <f t="shared" si="7"/>
        <v>1</v>
      </c>
      <c r="S47" s="1">
        <f t="shared" si="8"/>
        <v>0</v>
      </c>
      <c r="T47" s="1">
        <f t="shared" si="9"/>
        <v>0</v>
      </c>
      <c r="U47" s="1">
        <f t="shared" si="10"/>
        <v>0</v>
      </c>
      <c r="V47" s="1">
        <f t="shared" si="11"/>
        <v>0</v>
      </c>
      <c r="W47" s="1">
        <f t="shared" si="12"/>
        <v>2</v>
      </c>
      <c r="X47" s="1">
        <f t="shared" si="13"/>
        <v>2</v>
      </c>
      <c r="Y47" s="1"/>
      <c r="Z47" s="1">
        <f>IF(Planner!B$10="Nessuno",0,COUNTIFS(HolidayDates[Calendar],Planner!B$10,HolidayDates[Local date],INT(B47),HolidayDates[Active 0/1],1)+COUNTIFS(ImportedHolidays[Calendar],Planner!B$10,ImportedHolidays[Date],INT(B47),ImportedHolidays[Active],1,ImportedHolidays[Kind],"HOLIDAY"))</f>
        <v>0</v>
      </c>
      <c r="AA47" s="1">
        <f>IF(Planner!C$10="Nessuno",0,COUNTIFS(HolidayDates[Calendar],Planner!C$10,HolidayDates[Local date],INT(C47),HolidayDates[Active 0/1],1)+COUNTIFS(ImportedHolidays[Calendar],Planner!C$10,ImportedHolidays[Date],INT(C47),ImportedHolidays[Active],1,ImportedHolidays[Kind],"HOLIDAY"))</f>
        <v>0</v>
      </c>
      <c r="AB47" s="1">
        <f>IF(Planner!D$10="Nessuno",0,COUNTIFS(HolidayDates[Calendar],Planner!D$10,HolidayDates[Local date],INT(D47),HolidayDates[Active 0/1],1)+COUNTIFS(ImportedHolidays[Calendar],Planner!D$10,ImportedHolidays[Date],INT(D47),ImportedHolidays[Active],1,ImportedHolidays[Kind],"HOLIDAY"))</f>
        <v>0</v>
      </c>
      <c r="AC47" s="1">
        <f>IF(Planner!E$10="Nessuno",0,COUNTIFS(HolidayDates[Calendar],Planner!E$10,HolidayDates[Local date],INT(E47),HolidayDates[Active 0/1],1)+COUNTIFS(ImportedHolidays[Calendar],Planner!E$10,ImportedHolidays[Date],INT(E47),ImportedHolidays[Active],1,ImportedHolidays[Kind],"HOLIDAY"))</f>
        <v>0</v>
      </c>
      <c r="AD47" s="1">
        <f>IF(Planner!F$10="Nessuno",0,COUNTIFS(HolidayDates[Calendar],Planner!F$10,HolidayDates[Local date],INT(F47),HolidayDates[Active 0/1],1)+COUNTIFS(ImportedHolidays[Calendar],Planner!F$10,ImportedHolidays[Date],INT(F47),ImportedHolidays[Active],1,ImportedHolidays[Kind],"HOLIDAY"))</f>
        <v>0</v>
      </c>
      <c r="AE47" s="1">
        <f>IF(Planner!G$10="Nessuno",0,COUNTIFS(HolidayDates[Calendar],Planner!G$10,HolidayDates[Local date],INT(G47),HolidayDates[Active 0/1],1)+COUNTIFS(ImportedHolidays[Calendar],Planner!G$10,ImportedHolidays[Date],INT(G47),ImportedHolidays[Active],1,ImportedHolidays[Kind],"HOLIDAY"))</f>
        <v>0</v>
      </c>
      <c r="AF47" s="1">
        <f>IF(Planner!H$10="Nessuno",0,COUNTIFS(HolidayDates[Calendar],Planner!H$10,HolidayDates[Local date],INT(H47),HolidayDates[Active 0/1],1)+COUNTIFS(ImportedHolidays[Calendar],Planner!H$10,ImportedHolidays[Date],INT(H47),ImportedHolidays[Active],1,ImportedHolidays[Kind],"HOLIDAY"))</f>
        <v>0</v>
      </c>
      <c r="AG47" s="1"/>
      <c r="AH47" s="1" t="b">
        <f>INDEX(Parametri!$G12:$M12,1,WEEKDAY(INT(B47),2))=1</f>
        <v>0</v>
      </c>
      <c r="AI47" s="1" t="b">
        <f>INDEX(Parametri!$G13:$M13,1,WEEKDAY(INT(C47),2))=1</f>
        <v>0</v>
      </c>
      <c r="AJ47" s="1" t="b">
        <f>INDEX(Parametri!$G14:$M14,1,WEEKDAY(INT(D47),2))=1</f>
        <v>0</v>
      </c>
      <c r="AK47" s="1" t="b">
        <f>INDEX(Parametri!$G15:$M15,1,WEEKDAY(INT(E47),2))=1</f>
        <v>0</v>
      </c>
      <c r="AL47" s="1" t="b">
        <f>INDEX(Parametri!$G16:$M16,1,WEEKDAY(INT(F47),2))=1</f>
        <v>0</v>
      </c>
      <c r="AM47" s="1" t="b">
        <f>INDEX(Parametri!$G17:$M17,1,WEEKDAY(INT(G47),2))=1</f>
        <v>0</v>
      </c>
      <c r="AN47" s="1" t="b">
        <f>INDEX(Parametri!$G18:$M18,1,WEEKDAY(INT(H47),2))=1</f>
        <v>0</v>
      </c>
      <c r="AO47">
        <f>COUNTIFS(PersonalExceptions[Colonna],1,PersonalExceptions[Dal],"&lt;="&amp;INT(B47),PersonalExceptions[Al],"&gt;="&amp;INT(B47),PersonalExceptions[Active 0/1],1,PersonalExceptions[Effetto],"Rest")</f>
        <v>0</v>
      </c>
      <c r="AP47">
        <f>COUNTIFS(PersonalExceptions[Colonna],2,PersonalExceptions[Dal],"&lt;="&amp;INT(C47),PersonalExceptions[Al],"&gt;="&amp;INT(C47),PersonalExceptions[Active 0/1],1,PersonalExceptions[Effetto],"Rest")</f>
        <v>0</v>
      </c>
      <c r="AQ47">
        <f>COUNTIFS(PersonalExceptions[Colonna],3,PersonalExceptions[Dal],"&lt;="&amp;INT(D47),PersonalExceptions[Al],"&gt;="&amp;INT(D47),PersonalExceptions[Active 0/1],1,PersonalExceptions[Effetto],"Rest")</f>
        <v>0</v>
      </c>
      <c r="AR47">
        <f>COUNTIFS(PersonalExceptions[Colonna],4,PersonalExceptions[Dal],"&lt;="&amp;INT(E47),PersonalExceptions[Al],"&gt;="&amp;INT(E47),PersonalExceptions[Active 0/1],1,PersonalExceptions[Effetto],"Rest")</f>
        <v>0</v>
      </c>
      <c r="AS47">
        <f>COUNTIFS(PersonalExceptions[Colonna],5,PersonalExceptions[Dal],"&lt;="&amp;INT(F47),PersonalExceptions[Al],"&gt;="&amp;INT(F47),PersonalExceptions[Active 0/1],1,PersonalExceptions[Effetto],"Rest")</f>
        <v>0</v>
      </c>
      <c r="AT47">
        <f>COUNTIFS(PersonalExceptions[Colonna],6,PersonalExceptions[Dal],"&lt;="&amp;INT(G47),PersonalExceptions[Al],"&gt;="&amp;INT(G47),PersonalExceptions[Active 0/1],1,PersonalExceptions[Effetto],"Rest")</f>
        <v>0</v>
      </c>
      <c r="AU47">
        <f>COUNTIFS(PersonalExceptions[Colonna],7,PersonalExceptions[Dal],"&lt;="&amp;INT(H47),PersonalExceptions[Al],"&gt;="&amp;INT(H47),PersonalExceptions[Active 0/1],1,PersonalExceptions[Effetto],"Rest")</f>
        <v>0</v>
      </c>
      <c r="AW47">
        <f>COUNTIFS(PersonalExceptions[Colonna],1,PersonalExceptions[Dal],"&lt;="&amp;INT(B47),PersonalExceptions[Al],"&gt;="&amp;INT(B47),PersonalExceptions[Active 0/1],1,PersonalExceptions[Effetto],"Activity")</f>
        <v>0</v>
      </c>
      <c r="AX47">
        <f>COUNTIFS(PersonalExceptions[Colonna],2,PersonalExceptions[Dal],"&lt;="&amp;INT(C47),PersonalExceptions[Al],"&gt;="&amp;INT(C47),PersonalExceptions[Active 0/1],1,PersonalExceptions[Effetto],"Activity")</f>
        <v>0</v>
      </c>
      <c r="AY47">
        <f>COUNTIFS(PersonalExceptions[Colonna],3,PersonalExceptions[Dal],"&lt;="&amp;INT(D47),PersonalExceptions[Al],"&gt;="&amp;INT(D47),PersonalExceptions[Active 0/1],1,PersonalExceptions[Effetto],"Activity")</f>
        <v>0</v>
      </c>
      <c r="AZ47">
        <f>COUNTIFS(PersonalExceptions[Colonna],4,PersonalExceptions[Dal],"&lt;="&amp;INT(E47),PersonalExceptions[Al],"&gt;="&amp;INT(E47),PersonalExceptions[Active 0/1],1,PersonalExceptions[Effetto],"Activity")</f>
        <v>0</v>
      </c>
      <c r="BA47">
        <f>COUNTIFS(PersonalExceptions[Colonna],5,PersonalExceptions[Dal],"&lt;="&amp;INT(F47),PersonalExceptions[Al],"&gt;="&amp;INT(F47),PersonalExceptions[Active 0/1],1,PersonalExceptions[Effetto],"Activity")</f>
        <v>0</v>
      </c>
      <c r="BB47">
        <f>COUNTIFS(PersonalExceptions[Colonna],6,PersonalExceptions[Dal],"&lt;="&amp;INT(G47),PersonalExceptions[Al],"&gt;="&amp;INT(G47),PersonalExceptions[Active 0/1],1,PersonalExceptions[Effetto],"Activity")</f>
        <v>0</v>
      </c>
      <c r="BC47">
        <f>COUNTIFS(PersonalExceptions[Colonna],7,PersonalExceptions[Dal],"&lt;="&amp;INT(H47),PersonalExceptions[Al],"&gt;="&amp;INT(H47),PersonalExceptions[Active 0/1],1,PersonalExceptions[Effetto],"Activity")</f>
        <v>0</v>
      </c>
      <c r="BE47">
        <f>IF(Planner!B$10="Nessuno",0,COUNTIFS(ImportedHolidays[Calendar],Planner!B$10,ImportedHolidays[Date],INT(B47),ImportedHolidays[Active],1,ImportedHolidays[Kind],"WORKDAY"))</f>
        <v>0</v>
      </c>
      <c r="BF47">
        <f>IF(Planner!C$10="Nessuno",0,COUNTIFS(ImportedHolidays[Calendar],Planner!C$10,ImportedHolidays[Date],INT(C47),ImportedHolidays[Active],1,ImportedHolidays[Kind],"WORKDAY"))</f>
        <v>0</v>
      </c>
      <c r="BG47">
        <f>IF(Planner!D$10="Nessuno",0,COUNTIFS(ImportedHolidays[Calendar],Planner!D$10,ImportedHolidays[Date],INT(D47),ImportedHolidays[Active],1,ImportedHolidays[Kind],"WORKDAY"))</f>
        <v>0</v>
      </c>
      <c r="BH47">
        <f>IF(Planner!E$10="Nessuno",0,COUNTIFS(ImportedHolidays[Calendar],Planner!E$10,ImportedHolidays[Date],INT(E47),ImportedHolidays[Active],1,ImportedHolidays[Kind],"WORKDAY"))</f>
        <v>0</v>
      </c>
      <c r="BI47">
        <f>IF(Planner!F$10="Nessuno",0,COUNTIFS(ImportedHolidays[Calendar],Planner!F$10,ImportedHolidays[Date],INT(F47),ImportedHolidays[Active],1,ImportedHolidays[Kind],"WORKDAY"))</f>
        <v>0</v>
      </c>
      <c r="BJ47">
        <f>IF(Planner!G$10="Nessuno",0,COUNTIFS(ImportedHolidays[Calendar],Planner!G$10,ImportedHolidays[Date],INT(G47),ImportedHolidays[Active],1,ImportedHolidays[Kind],"WORKDAY"))</f>
        <v>0</v>
      </c>
      <c r="BK47">
        <f>IF(Planner!H$10="Nessuno",0,COUNTIFS(ImportedHolidays[Calendar],Planner!H$10,ImportedHolidays[Date],INT(H47),ImportedHolidays[Active],1,ImportedHolidays[Kind],"WORKDAY"))</f>
        <v>0</v>
      </c>
      <c r="BM47">
        <f>IF(MOD(J47-B$11,1440)&lt;B$12,2,IF(OR(MOD(J47-B$11,1440)&lt;B$12+ROUND(Planner!$D$5*60,0),MOD(J47-B$11,1440)&gt;=1440-ROUND(Planner!$B$5*60,0)),1,0))</f>
        <v>1</v>
      </c>
      <c r="BN47">
        <f>IF(MOD(K47-C$11,1440)&lt;C$12,2,IF(OR(MOD(K47-C$11,1440)&lt;C$12+ROUND(Planner!$D$5*60,0),MOD(K47-C$11,1440)&gt;=1440-ROUND(Planner!$B$5*60,0)),1,0))</f>
        <v>0</v>
      </c>
      <c r="BO47">
        <f>IF(MOD(L47-D$11,1440)&lt;D$12,2,IF(OR(MOD(L47-D$11,1440)&lt;D$12+ROUND(Planner!$D$5*60,0),MOD(L47-D$11,1440)&gt;=1440-ROUND(Planner!$B$5*60,0)),1,0))</f>
        <v>0</v>
      </c>
      <c r="BP47">
        <f>IF(MOD(M47-E$11,1440)&lt;E$12,2,IF(OR(MOD(M47-E$11,1440)&lt;E$12+ROUND(Planner!$D$5*60,0),MOD(M47-E$11,1440)&gt;=1440-ROUND(Planner!$B$5*60,0)),1,0))</f>
        <v>0</v>
      </c>
      <c r="BQ47">
        <f>IF(MOD(N47-F$11,1440)&lt;F$12,2,IF(OR(MOD(N47-F$11,1440)&lt;F$12+ROUND(Planner!$D$5*60,0),MOD(N47-F$11,1440)&gt;=1440-ROUND(Planner!$B$5*60,0)),1,0))</f>
        <v>0</v>
      </c>
      <c r="BR47">
        <f>IF(MOD(O47-G$11,1440)&lt;G$12,2,IF(OR(MOD(O47-G$11,1440)&lt;G$12+ROUND(Planner!$D$5*60,0),MOD(O47-G$11,1440)&gt;=1440-ROUND(Planner!$B$5*60,0)),1,0))</f>
        <v>2</v>
      </c>
      <c r="BS47">
        <f>IF(MOD(P47-H$11,1440)&lt;H$12,2,IF(OR(MOD(P47-H$11,1440)&lt;H$12+ROUND(Planner!$D$5*60,0),MOD(P47-H$11,1440)&gt;=1440-ROUND(Planner!$B$5*60,0)),1,0))</f>
        <v>2</v>
      </c>
    </row>
    <row r="48" spans="1:71">
      <c r="A48" s="22">
        <f>ROUND(($B$6+7*Planner!$F$4/1440)*1440,0)/1440</f>
        <v>46288.854166666664</v>
      </c>
      <c r="B48" s="22">
        <f>IF(COUNTIFS(ZonePeriods[Code],Planner!B$9,ZonePeriods[FromUtc],"&lt;="&amp;$A48,ZonePeriods[UntilUtc],"&gt;"&amp;$A48)=1,ROUND(($A48+SUMIFS(ZonePeriods[OffsetHours],ZonePeriods[Code],Planner!B$9,ZonePeriods[FromUtc],"&lt;="&amp;$A48,ZonePeriods[UntilUtc],"&gt;"&amp;$A48)/24)*1440,0)/1440,NA())</f>
        <v>46289.145833333336</v>
      </c>
      <c r="C48" s="22">
        <f>IF(COUNTIFS(ZonePeriods[Code],Planner!C$9,ZonePeriods[FromUtc],"&lt;="&amp;$A48,ZonePeriods[UntilUtc],"&gt;"&amp;$A48)=1,ROUND(($A48+SUMIFS(ZonePeriods[OffsetHours],ZonePeriods[Code],Planner!C$9,ZonePeriods[FromUtc],"&lt;="&amp;$A48,ZonePeriods[UntilUtc],"&gt;"&amp;$A48)/24)*1440,0)/1440,NA())</f>
        <v>46289.083333333336</v>
      </c>
      <c r="D48" s="22">
        <f>IF(COUNTIFS(ZonePeriods[Code],Planner!D$9,ZonePeriods[FromUtc],"&lt;="&amp;$A48,ZonePeriods[UntilUtc],"&gt;"&amp;$A48)=1,ROUND(($A48+SUMIFS(ZonePeriods[OffsetHours],ZonePeriods[Code],Planner!D$9,ZonePeriods[FromUtc],"&lt;="&amp;$A48,ZonePeriods[UntilUtc],"&gt;"&amp;$A48)/24)*1440,0)/1440,NA())</f>
        <v>46288.979166666664</v>
      </c>
      <c r="E48" s="22">
        <f>IF(COUNTIFS(ZonePeriods[Code],Planner!E$9,ZonePeriods[FromUtc],"&lt;="&amp;$A48,ZonePeriods[UntilUtc],"&gt;"&amp;$A48)=1,ROUND(($A48+SUMIFS(ZonePeriods[OffsetHours],ZonePeriods[Code],Planner!E$9,ZonePeriods[FromUtc],"&lt;="&amp;$A48,ZonePeriods[UntilUtc],"&gt;"&amp;$A48)/24)*1440,0)/1440,NA())</f>
        <v>46288.9375</v>
      </c>
      <c r="F48" s="22">
        <f>IF(COUNTIFS(ZonePeriods[Code],Planner!F$9,ZonePeriods[FromUtc],"&lt;="&amp;$A48,ZonePeriods[UntilUtc],"&gt;"&amp;$A48)=1,ROUND(($A48+SUMIFS(ZonePeriods[OffsetHours],ZonePeriods[Code],Planner!F$9,ZonePeriods[FromUtc],"&lt;="&amp;$A48,ZonePeriods[UntilUtc],"&gt;"&amp;$A48)/24)*1440,0)/1440,NA())</f>
        <v>46288.895833333336</v>
      </c>
      <c r="G48" s="22">
        <f>IF(COUNTIFS(ZonePeriods[Code],Planner!G$9,ZonePeriods[FromUtc],"&lt;="&amp;$A48,ZonePeriods[UntilUtc],"&gt;"&amp;$A48)=1,ROUND(($A48+SUMIFS(ZonePeriods[OffsetHours],ZonePeriods[Code],Planner!G$9,ZonePeriods[FromUtc],"&lt;="&amp;$A48,ZonePeriods[UntilUtc],"&gt;"&amp;$A48)/24)*1440,0)/1440,NA())</f>
        <v>46288.6875</v>
      </c>
      <c r="H48" s="22">
        <f>IF(COUNTIFS(ZonePeriods[Code],Planner!H$9,ZonePeriods[FromUtc],"&lt;="&amp;$A48,ZonePeriods[UntilUtc],"&gt;"&amp;$A48)=1,ROUND(($A48+SUMIFS(ZonePeriods[OffsetHours],ZonePeriods[Code],Planner!H$9,ZonePeriods[FromUtc],"&lt;="&amp;$A48,ZonePeriods[UntilUtc],"&gt;"&amp;$A48)/24)*1440,0)/1440,NA())</f>
        <v>46288.5625</v>
      </c>
      <c r="I48" s="1"/>
      <c r="J48" s="1">
        <f t="shared" si="0"/>
        <v>210</v>
      </c>
      <c r="K48" s="1">
        <f t="shared" si="1"/>
        <v>120</v>
      </c>
      <c r="L48" s="1">
        <f t="shared" si="2"/>
        <v>1410</v>
      </c>
      <c r="M48" s="1">
        <f t="shared" si="3"/>
        <v>1350</v>
      </c>
      <c r="N48" s="1">
        <f t="shared" si="4"/>
        <v>1290</v>
      </c>
      <c r="O48" s="1">
        <f t="shared" si="5"/>
        <v>990</v>
      </c>
      <c r="P48" s="1">
        <f t="shared" si="6"/>
        <v>810</v>
      </c>
      <c r="Q48" s="1"/>
      <c r="R48" s="1">
        <f t="shared" si="7"/>
        <v>1</v>
      </c>
      <c r="S48" s="1">
        <f t="shared" si="8"/>
        <v>0</v>
      </c>
      <c r="T48" s="1">
        <f t="shared" si="9"/>
        <v>0</v>
      </c>
      <c r="U48" s="1">
        <f t="shared" si="10"/>
        <v>0</v>
      </c>
      <c r="V48" s="1">
        <f t="shared" si="11"/>
        <v>0</v>
      </c>
      <c r="W48" s="1">
        <f t="shared" si="12"/>
        <v>2</v>
      </c>
      <c r="X48" s="1">
        <f t="shared" si="13"/>
        <v>2</v>
      </c>
      <c r="Y48" s="1"/>
      <c r="Z48" s="1">
        <f>IF(Planner!B$10="Nessuno",0,COUNTIFS(HolidayDates[Calendar],Planner!B$10,HolidayDates[Local date],INT(B48),HolidayDates[Active 0/1],1)+COUNTIFS(ImportedHolidays[Calendar],Planner!B$10,ImportedHolidays[Date],INT(B48),ImportedHolidays[Active],1,ImportedHolidays[Kind],"HOLIDAY"))</f>
        <v>0</v>
      </c>
      <c r="AA48" s="1">
        <f>IF(Planner!C$10="Nessuno",0,COUNTIFS(HolidayDates[Calendar],Planner!C$10,HolidayDates[Local date],INT(C48),HolidayDates[Active 0/1],1)+COUNTIFS(ImportedHolidays[Calendar],Planner!C$10,ImportedHolidays[Date],INT(C48),ImportedHolidays[Active],1,ImportedHolidays[Kind],"HOLIDAY"))</f>
        <v>0</v>
      </c>
      <c r="AB48" s="1">
        <f>IF(Planner!D$10="Nessuno",0,COUNTIFS(HolidayDates[Calendar],Planner!D$10,HolidayDates[Local date],INT(D48),HolidayDates[Active 0/1],1)+COUNTIFS(ImportedHolidays[Calendar],Planner!D$10,ImportedHolidays[Date],INT(D48),ImportedHolidays[Active],1,ImportedHolidays[Kind],"HOLIDAY"))</f>
        <v>0</v>
      </c>
      <c r="AC48" s="1">
        <f>IF(Planner!E$10="Nessuno",0,COUNTIFS(HolidayDates[Calendar],Planner!E$10,HolidayDates[Local date],INT(E48),HolidayDates[Active 0/1],1)+COUNTIFS(ImportedHolidays[Calendar],Planner!E$10,ImportedHolidays[Date],INT(E48),ImportedHolidays[Active],1,ImportedHolidays[Kind],"HOLIDAY"))</f>
        <v>0</v>
      </c>
      <c r="AD48" s="1">
        <f>IF(Planner!F$10="Nessuno",0,COUNTIFS(HolidayDates[Calendar],Planner!F$10,HolidayDates[Local date],INT(F48),HolidayDates[Active 0/1],1)+COUNTIFS(ImportedHolidays[Calendar],Planner!F$10,ImportedHolidays[Date],INT(F48),ImportedHolidays[Active],1,ImportedHolidays[Kind],"HOLIDAY"))</f>
        <v>0</v>
      </c>
      <c r="AE48" s="1">
        <f>IF(Planner!G$10="Nessuno",0,COUNTIFS(HolidayDates[Calendar],Planner!G$10,HolidayDates[Local date],INT(G48),HolidayDates[Active 0/1],1)+COUNTIFS(ImportedHolidays[Calendar],Planner!G$10,ImportedHolidays[Date],INT(G48),ImportedHolidays[Active],1,ImportedHolidays[Kind],"HOLIDAY"))</f>
        <v>0</v>
      </c>
      <c r="AF48" s="1">
        <f>IF(Planner!H$10="Nessuno",0,COUNTIFS(HolidayDates[Calendar],Planner!H$10,HolidayDates[Local date],INT(H48),HolidayDates[Active 0/1],1)+COUNTIFS(ImportedHolidays[Calendar],Planner!H$10,ImportedHolidays[Date],INT(H48),ImportedHolidays[Active],1,ImportedHolidays[Kind],"HOLIDAY"))</f>
        <v>0</v>
      </c>
      <c r="AG48" s="1"/>
      <c r="AH48" s="1" t="b">
        <f>INDEX(Parametri!$G12:$M12,1,WEEKDAY(INT(B48),2))=1</f>
        <v>0</v>
      </c>
      <c r="AI48" s="1" t="b">
        <f>INDEX(Parametri!$G13:$M13,1,WEEKDAY(INT(C48),2))=1</f>
        <v>0</v>
      </c>
      <c r="AJ48" s="1" t="b">
        <f>INDEX(Parametri!$G14:$M14,1,WEEKDAY(INT(D48),2))=1</f>
        <v>0</v>
      </c>
      <c r="AK48" s="1" t="b">
        <f>INDEX(Parametri!$G15:$M15,1,WEEKDAY(INT(E48),2))=1</f>
        <v>0</v>
      </c>
      <c r="AL48" s="1" t="b">
        <f>INDEX(Parametri!$G16:$M16,1,WEEKDAY(INT(F48),2))=1</f>
        <v>0</v>
      </c>
      <c r="AM48" s="1" t="b">
        <f>INDEX(Parametri!$G17:$M17,1,WEEKDAY(INT(G48),2))=1</f>
        <v>0</v>
      </c>
      <c r="AN48" s="1" t="b">
        <f>INDEX(Parametri!$G18:$M18,1,WEEKDAY(INT(H48),2))=1</f>
        <v>0</v>
      </c>
      <c r="AO48">
        <f>COUNTIFS(PersonalExceptions[Colonna],1,PersonalExceptions[Dal],"&lt;="&amp;INT(B48),PersonalExceptions[Al],"&gt;="&amp;INT(B48),PersonalExceptions[Active 0/1],1,PersonalExceptions[Effetto],"Rest")</f>
        <v>0</v>
      </c>
      <c r="AP48">
        <f>COUNTIFS(PersonalExceptions[Colonna],2,PersonalExceptions[Dal],"&lt;="&amp;INT(C48),PersonalExceptions[Al],"&gt;="&amp;INT(C48),PersonalExceptions[Active 0/1],1,PersonalExceptions[Effetto],"Rest")</f>
        <v>0</v>
      </c>
      <c r="AQ48">
        <f>COUNTIFS(PersonalExceptions[Colonna],3,PersonalExceptions[Dal],"&lt;="&amp;INT(D48),PersonalExceptions[Al],"&gt;="&amp;INT(D48),PersonalExceptions[Active 0/1],1,PersonalExceptions[Effetto],"Rest")</f>
        <v>0</v>
      </c>
      <c r="AR48">
        <f>COUNTIFS(PersonalExceptions[Colonna],4,PersonalExceptions[Dal],"&lt;="&amp;INT(E48),PersonalExceptions[Al],"&gt;="&amp;INT(E48),PersonalExceptions[Active 0/1],1,PersonalExceptions[Effetto],"Rest")</f>
        <v>0</v>
      </c>
      <c r="AS48">
        <f>COUNTIFS(PersonalExceptions[Colonna],5,PersonalExceptions[Dal],"&lt;="&amp;INT(F48),PersonalExceptions[Al],"&gt;="&amp;INT(F48),PersonalExceptions[Active 0/1],1,PersonalExceptions[Effetto],"Rest")</f>
        <v>0</v>
      </c>
      <c r="AT48">
        <f>COUNTIFS(PersonalExceptions[Colonna],6,PersonalExceptions[Dal],"&lt;="&amp;INT(G48),PersonalExceptions[Al],"&gt;="&amp;INT(G48),PersonalExceptions[Active 0/1],1,PersonalExceptions[Effetto],"Rest")</f>
        <v>0</v>
      </c>
      <c r="AU48">
        <f>COUNTIFS(PersonalExceptions[Colonna],7,PersonalExceptions[Dal],"&lt;="&amp;INT(H48),PersonalExceptions[Al],"&gt;="&amp;INT(H48),PersonalExceptions[Active 0/1],1,PersonalExceptions[Effetto],"Rest")</f>
        <v>0</v>
      </c>
      <c r="AW48">
        <f>COUNTIFS(PersonalExceptions[Colonna],1,PersonalExceptions[Dal],"&lt;="&amp;INT(B48),PersonalExceptions[Al],"&gt;="&amp;INT(B48),PersonalExceptions[Active 0/1],1,PersonalExceptions[Effetto],"Activity")</f>
        <v>0</v>
      </c>
      <c r="AX48">
        <f>COUNTIFS(PersonalExceptions[Colonna],2,PersonalExceptions[Dal],"&lt;="&amp;INT(C48),PersonalExceptions[Al],"&gt;="&amp;INT(C48),PersonalExceptions[Active 0/1],1,PersonalExceptions[Effetto],"Activity")</f>
        <v>0</v>
      </c>
      <c r="AY48">
        <f>COUNTIFS(PersonalExceptions[Colonna],3,PersonalExceptions[Dal],"&lt;="&amp;INT(D48),PersonalExceptions[Al],"&gt;="&amp;INT(D48),PersonalExceptions[Active 0/1],1,PersonalExceptions[Effetto],"Activity")</f>
        <v>0</v>
      </c>
      <c r="AZ48">
        <f>COUNTIFS(PersonalExceptions[Colonna],4,PersonalExceptions[Dal],"&lt;="&amp;INT(E48),PersonalExceptions[Al],"&gt;="&amp;INT(E48),PersonalExceptions[Active 0/1],1,PersonalExceptions[Effetto],"Activity")</f>
        <v>0</v>
      </c>
      <c r="BA48">
        <f>COUNTIFS(PersonalExceptions[Colonna],5,PersonalExceptions[Dal],"&lt;="&amp;INT(F48),PersonalExceptions[Al],"&gt;="&amp;INT(F48),PersonalExceptions[Active 0/1],1,PersonalExceptions[Effetto],"Activity")</f>
        <v>0</v>
      </c>
      <c r="BB48">
        <f>COUNTIFS(PersonalExceptions[Colonna],6,PersonalExceptions[Dal],"&lt;="&amp;INT(G48),PersonalExceptions[Al],"&gt;="&amp;INT(G48),PersonalExceptions[Active 0/1],1,PersonalExceptions[Effetto],"Activity")</f>
        <v>0</v>
      </c>
      <c r="BC48">
        <f>COUNTIFS(PersonalExceptions[Colonna],7,PersonalExceptions[Dal],"&lt;="&amp;INT(H48),PersonalExceptions[Al],"&gt;="&amp;INT(H48),PersonalExceptions[Active 0/1],1,PersonalExceptions[Effetto],"Activity")</f>
        <v>0</v>
      </c>
      <c r="BE48">
        <f>IF(Planner!B$10="Nessuno",0,COUNTIFS(ImportedHolidays[Calendar],Planner!B$10,ImportedHolidays[Date],INT(B48),ImportedHolidays[Active],1,ImportedHolidays[Kind],"WORKDAY"))</f>
        <v>0</v>
      </c>
      <c r="BF48">
        <f>IF(Planner!C$10="Nessuno",0,COUNTIFS(ImportedHolidays[Calendar],Planner!C$10,ImportedHolidays[Date],INT(C48),ImportedHolidays[Active],1,ImportedHolidays[Kind],"WORKDAY"))</f>
        <v>0</v>
      </c>
      <c r="BG48">
        <f>IF(Planner!D$10="Nessuno",0,COUNTIFS(ImportedHolidays[Calendar],Planner!D$10,ImportedHolidays[Date],INT(D48),ImportedHolidays[Active],1,ImportedHolidays[Kind],"WORKDAY"))</f>
        <v>0</v>
      </c>
      <c r="BH48">
        <f>IF(Planner!E$10="Nessuno",0,COUNTIFS(ImportedHolidays[Calendar],Planner!E$10,ImportedHolidays[Date],INT(E48),ImportedHolidays[Active],1,ImportedHolidays[Kind],"WORKDAY"))</f>
        <v>0</v>
      </c>
      <c r="BI48">
        <f>IF(Planner!F$10="Nessuno",0,COUNTIFS(ImportedHolidays[Calendar],Planner!F$10,ImportedHolidays[Date],INT(F48),ImportedHolidays[Active],1,ImportedHolidays[Kind],"WORKDAY"))</f>
        <v>0</v>
      </c>
      <c r="BJ48">
        <f>IF(Planner!G$10="Nessuno",0,COUNTIFS(ImportedHolidays[Calendar],Planner!G$10,ImportedHolidays[Date],INT(G48),ImportedHolidays[Active],1,ImportedHolidays[Kind],"WORKDAY"))</f>
        <v>0</v>
      </c>
      <c r="BK48">
        <f>IF(Planner!H$10="Nessuno",0,COUNTIFS(ImportedHolidays[Calendar],Planner!H$10,ImportedHolidays[Date],INT(H48),ImportedHolidays[Active],1,ImportedHolidays[Kind],"WORKDAY"))</f>
        <v>0</v>
      </c>
      <c r="BM48">
        <f>IF(MOD(J48-B$11,1440)&lt;B$12,2,IF(OR(MOD(J48-B$11,1440)&lt;B$12+ROUND(Planner!$D$5*60,0),MOD(J48-B$11,1440)&gt;=1440-ROUND(Planner!$B$5*60,0)),1,0))</f>
        <v>1</v>
      </c>
      <c r="BN48">
        <f>IF(MOD(K48-C$11,1440)&lt;C$12,2,IF(OR(MOD(K48-C$11,1440)&lt;C$12+ROUND(Planner!$D$5*60,0),MOD(K48-C$11,1440)&gt;=1440-ROUND(Planner!$B$5*60,0)),1,0))</f>
        <v>0</v>
      </c>
      <c r="BO48">
        <f>IF(MOD(L48-D$11,1440)&lt;D$12,2,IF(OR(MOD(L48-D$11,1440)&lt;D$12+ROUND(Planner!$D$5*60,0),MOD(L48-D$11,1440)&gt;=1440-ROUND(Planner!$B$5*60,0)),1,0))</f>
        <v>0</v>
      </c>
      <c r="BP48">
        <f>IF(MOD(M48-E$11,1440)&lt;E$12,2,IF(OR(MOD(M48-E$11,1440)&lt;E$12+ROUND(Planner!$D$5*60,0),MOD(M48-E$11,1440)&gt;=1440-ROUND(Planner!$B$5*60,0)),1,0))</f>
        <v>0</v>
      </c>
      <c r="BQ48">
        <f>IF(MOD(N48-F$11,1440)&lt;F$12,2,IF(OR(MOD(N48-F$11,1440)&lt;F$12+ROUND(Planner!$D$5*60,0),MOD(N48-F$11,1440)&gt;=1440-ROUND(Planner!$B$5*60,0)),1,0))</f>
        <v>0</v>
      </c>
      <c r="BR48">
        <f>IF(MOD(O48-G$11,1440)&lt;G$12,2,IF(OR(MOD(O48-G$11,1440)&lt;G$12+ROUND(Planner!$D$5*60,0),MOD(O48-G$11,1440)&gt;=1440-ROUND(Planner!$B$5*60,0)),1,0))</f>
        <v>2</v>
      </c>
      <c r="BS48">
        <f>IF(MOD(P48-H$11,1440)&lt;H$12,2,IF(OR(MOD(P48-H$11,1440)&lt;H$12+ROUND(Planner!$D$5*60,0),MOD(P48-H$11,1440)&gt;=1440-ROUND(Planner!$B$5*60,0)),1,0))</f>
        <v>2</v>
      </c>
    </row>
    <row r="49" spans="1:71">
      <c r="A49" s="22">
        <f>ROUND(($B$6+8*Planner!$F$4/1440)*1440,0)/1440</f>
        <v>46288.875</v>
      </c>
      <c r="B49" s="22">
        <f>IF(COUNTIFS(ZonePeriods[Code],Planner!B$9,ZonePeriods[FromUtc],"&lt;="&amp;$A49,ZonePeriods[UntilUtc],"&gt;"&amp;$A49)=1,ROUND(($A49+SUMIFS(ZonePeriods[OffsetHours],ZonePeriods[Code],Planner!B$9,ZonePeriods[FromUtc],"&lt;="&amp;$A49,ZonePeriods[UntilUtc],"&gt;"&amp;$A49)/24)*1440,0)/1440,NA())</f>
        <v>46289.166666666664</v>
      </c>
      <c r="C49" s="22">
        <f>IF(COUNTIFS(ZonePeriods[Code],Planner!C$9,ZonePeriods[FromUtc],"&lt;="&amp;$A49,ZonePeriods[UntilUtc],"&gt;"&amp;$A49)=1,ROUND(($A49+SUMIFS(ZonePeriods[OffsetHours],ZonePeriods[Code],Planner!C$9,ZonePeriods[FromUtc],"&lt;="&amp;$A49,ZonePeriods[UntilUtc],"&gt;"&amp;$A49)/24)*1440,0)/1440,NA())</f>
        <v>46289.104166666664</v>
      </c>
      <c r="D49" s="22">
        <f>IF(COUNTIFS(ZonePeriods[Code],Planner!D$9,ZonePeriods[FromUtc],"&lt;="&amp;$A49,ZonePeriods[UntilUtc],"&gt;"&amp;$A49)=1,ROUND(($A49+SUMIFS(ZonePeriods[OffsetHours],ZonePeriods[Code],Planner!D$9,ZonePeriods[FromUtc],"&lt;="&amp;$A49,ZonePeriods[UntilUtc],"&gt;"&amp;$A49)/24)*1440,0)/1440,NA())</f>
        <v>46289</v>
      </c>
      <c r="E49" s="22">
        <f>IF(COUNTIFS(ZonePeriods[Code],Planner!E$9,ZonePeriods[FromUtc],"&lt;="&amp;$A49,ZonePeriods[UntilUtc],"&gt;"&amp;$A49)=1,ROUND(($A49+SUMIFS(ZonePeriods[OffsetHours],ZonePeriods[Code],Planner!E$9,ZonePeriods[FromUtc],"&lt;="&amp;$A49,ZonePeriods[UntilUtc],"&gt;"&amp;$A49)/24)*1440,0)/1440,NA())</f>
        <v>46288.958333333336</v>
      </c>
      <c r="F49" s="22">
        <f>IF(COUNTIFS(ZonePeriods[Code],Planner!F$9,ZonePeriods[FromUtc],"&lt;="&amp;$A49,ZonePeriods[UntilUtc],"&gt;"&amp;$A49)=1,ROUND(($A49+SUMIFS(ZonePeriods[OffsetHours],ZonePeriods[Code],Planner!F$9,ZonePeriods[FromUtc],"&lt;="&amp;$A49,ZonePeriods[UntilUtc],"&gt;"&amp;$A49)/24)*1440,0)/1440,NA())</f>
        <v>46288.916666666664</v>
      </c>
      <c r="G49" s="22">
        <f>IF(COUNTIFS(ZonePeriods[Code],Planner!G$9,ZonePeriods[FromUtc],"&lt;="&amp;$A49,ZonePeriods[UntilUtc],"&gt;"&amp;$A49)=1,ROUND(($A49+SUMIFS(ZonePeriods[OffsetHours],ZonePeriods[Code],Planner!G$9,ZonePeriods[FromUtc],"&lt;="&amp;$A49,ZonePeriods[UntilUtc],"&gt;"&amp;$A49)/24)*1440,0)/1440,NA())</f>
        <v>46288.708333333336</v>
      </c>
      <c r="H49" s="22">
        <f>IF(COUNTIFS(ZonePeriods[Code],Planner!H$9,ZonePeriods[FromUtc],"&lt;="&amp;$A49,ZonePeriods[UntilUtc],"&gt;"&amp;$A49)=1,ROUND(($A49+SUMIFS(ZonePeriods[OffsetHours],ZonePeriods[Code],Planner!H$9,ZonePeriods[FromUtc],"&lt;="&amp;$A49,ZonePeriods[UntilUtc],"&gt;"&amp;$A49)/24)*1440,0)/1440,NA())</f>
        <v>46288.583333333336</v>
      </c>
      <c r="I49" s="1"/>
      <c r="J49" s="1">
        <f t="shared" ref="J49:J80" si="14">MOD(ROUND(B49*1440,0),1440)</f>
        <v>240</v>
      </c>
      <c r="K49" s="1">
        <f t="shared" ref="K49:K80" si="15">MOD(ROUND(C49*1440,0),1440)</f>
        <v>150</v>
      </c>
      <c r="L49" s="1">
        <f t="shared" ref="L49:L80" si="16">MOD(ROUND(D49*1440,0),1440)</f>
        <v>0</v>
      </c>
      <c r="M49" s="1">
        <f t="shared" ref="M49:M80" si="17">MOD(ROUND(E49*1440,0),1440)</f>
        <v>1380</v>
      </c>
      <c r="N49" s="1">
        <f t="shared" ref="N49:N80" si="18">MOD(ROUND(F49*1440,0),1440)</f>
        <v>1320</v>
      </c>
      <c r="O49" s="1">
        <f t="shared" ref="O49:O80" si="19">MOD(ROUND(G49*1440,0),1440)</f>
        <v>1020</v>
      </c>
      <c r="P49" s="1">
        <f t="shared" ref="P49:P80" si="20">MOD(ROUND(H49*1440,0),1440)</f>
        <v>840</v>
      </c>
      <c r="Q49" s="1"/>
      <c r="R49" s="1">
        <f t="shared" ref="R49:R80" si="21">IFERROR(IF(AND($B$7,$B$8,B$10),IF(AO49+AW49&gt;1,-1,IF(AO49=1,0,IF(AW49=1,BM49,IF(Z49&gt;0,0,IF(AND(AH49,BE49=0),0,BM49))))),-1),-1)</f>
        <v>1</v>
      </c>
      <c r="S49" s="1">
        <f t="shared" ref="S49:S80" si="22">IFERROR(IF(AND($B$7,$B$8,C$10),IF(AP49+AX49&gt;1,-1,IF(AP49=1,0,IF(AX49=1,BN49,IF(AA49&gt;0,0,IF(AND(AI49,BF49=0),0,BN49))))),-1),-1)</f>
        <v>0</v>
      </c>
      <c r="T49" s="1">
        <f t="shared" ref="T49:T80" si="23">IFERROR(IF(AND($B$7,$B$8,D$10),IF(AQ49+AY49&gt;1,-1,IF(AQ49=1,0,IF(AY49=1,BO49,IF(AB49&gt;0,0,IF(AND(AJ49,BG49=0),0,BO49))))),-1),-1)</f>
        <v>0</v>
      </c>
      <c r="U49" s="1">
        <f t="shared" ref="U49:U80" si="24">IFERROR(IF(AND($B$7,$B$8,E$10),IF(AR49+AZ49&gt;1,-1,IF(AR49=1,0,IF(AZ49=1,BP49,IF(AC49&gt;0,0,IF(AND(AK49,BH49=0),0,BP49))))),-1),-1)</f>
        <v>0</v>
      </c>
      <c r="V49" s="1">
        <f t="shared" ref="V49:V80" si="25">IFERROR(IF(AND($B$7,$B$8,F$10),IF(AS49+BA49&gt;1,-1,IF(AS49=1,0,IF(BA49=1,BQ49,IF(AD49&gt;0,0,IF(AND(AL49,BI49=0),0,BQ49))))),-1),-1)</f>
        <v>0</v>
      </c>
      <c r="W49" s="1">
        <f t="shared" ref="W49:W80" si="26">IFERROR(IF(AND($B$7,$B$8,G$10),IF(AT49+BB49&gt;1,-1,IF(AT49=1,0,IF(BB49=1,BR49,IF(AE49&gt;0,0,IF(AND(AM49,BJ49=0),0,BR49))))),-1),-1)</f>
        <v>2</v>
      </c>
      <c r="X49" s="1">
        <f t="shared" ref="X49:X80" si="27">IFERROR(IF(AND($B$7,$B$8,H$10),IF(AU49+BC49&gt;1,-1,IF(AU49=1,0,IF(BC49=1,BS49,IF(AF49&gt;0,0,IF(AND(AN49,BK49=0),0,BS49))))),-1),-1)</f>
        <v>2</v>
      </c>
      <c r="Y49" s="1"/>
      <c r="Z49" s="1">
        <f>IF(Planner!B$10="Nessuno",0,COUNTIFS(HolidayDates[Calendar],Planner!B$10,HolidayDates[Local date],INT(B49),HolidayDates[Active 0/1],1)+COUNTIFS(ImportedHolidays[Calendar],Planner!B$10,ImportedHolidays[Date],INT(B49),ImportedHolidays[Active],1,ImportedHolidays[Kind],"HOLIDAY"))</f>
        <v>0</v>
      </c>
      <c r="AA49" s="1">
        <f>IF(Planner!C$10="Nessuno",0,COUNTIFS(HolidayDates[Calendar],Planner!C$10,HolidayDates[Local date],INT(C49),HolidayDates[Active 0/1],1)+COUNTIFS(ImportedHolidays[Calendar],Planner!C$10,ImportedHolidays[Date],INT(C49),ImportedHolidays[Active],1,ImportedHolidays[Kind],"HOLIDAY"))</f>
        <v>0</v>
      </c>
      <c r="AB49" s="1">
        <f>IF(Planner!D$10="Nessuno",0,COUNTIFS(HolidayDates[Calendar],Planner!D$10,HolidayDates[Local date],INT(D49),HolidayDates[Active 0/1],1)+COUNTIFS(ImportedHolidays[Calendar],Planner!D$10,ImportedHolidays[Date],INT(D49),ImportedHolidays[Active],1,ImportedHolidays[Kind],"HOLIDAY"))</f>
        <v>0</v>
      </c>
      <c r="AC49" s="1">
        <f>IF(Planner!E$10="Nessuno",0,COUNTIFS(HolidayDates[Calendar],Planner!E$10,HolidayDates[Local date],INT(E49),HolidayDates[Active 0/1],1)+COUNTIFS(ImportedHolidays[Calendar],Planner!E$10,ImportedHolidays[Date],INT(E49),ImportedHolidays[Active],1,ImportedHolidays[Kind],"HOLIDAY"))</f>
        <v>0</v>
      </c>
      <c r="AD49" s="1">
        <f>IF(Planner!F$10="Nessuno",0,COUNTIFS(HolidayDates[Calendar],Planner!F$10,HolidayDates[Local date],INT(F49),HolidayDates[Active 0/1],1)+COUNTIFS(ImportedHolidays[Calendar],Planner!F$10,ImportedHolidays[Date],INT(F49),ImportedHolidays[Active],1,ImportedHolidays[Kind],"HOLIDAY"))</f>
        <v>0</v>
      </c>
      <c r="AE49" s="1">
        <f>IF(Planner!G$10="Nessuno",0,COUNTIFS(HolidayDates[Calendar],Planner!G$10,HolidayDates[Local date],INT(G49),HolidayDates[Active 0/1],1)+COUNTIFS(ImportedHolidays[Calendar],Planner!G$10,ImportedHolidays[Date],INT(G49),ImportedHolidays[Active],1,ImportedHolidays[Kind],"HOLIDAY"))</f>
        <v>0</v>
      </c>
      <c r="AF49" s="1">
        <f>IF(Planner!H$10="Nessuno",0,COUNTIFS(HolidayDates[Calendar],Planner!H$10,HolidayDates[Local date],INT(H49),HolidayDates[Active 0/1],1)+COUNTIFS(ImportedHolidays[Calendar],Planner!H$10,ImportedHolidays[Date],INT(H49),ImportedHolidays[Active],1,ImportedHolidays[Kind],"HOLIDAY"))</f>
        <v>0</v>
      </c>
      <c r="AG49" s="1"/>
      <c r="AH49" s="1" t="b">
        <f>INDEX(Parametri!$G12:$M12,1,WEEKDAY(INT(B49),2))=1</f>
        <v>0</v>
      </c>
      <c r="AI49" s="1" t="b">
        <f>INDEX(Parametri!$G13:$M13,1,WEEKDAY(INT(C49),2))=1</f>
        <v>0</v>
      </c>
      <c r="AJ49" s="1" t="b">
        <f>INDEX(Parametri!$G14:$M14,1,WEEKDAY(INT(D49),2))=1</f>
        <v>0</v>
      </c>
      <c r="AK49" s="1" t="b">
        <f>INDEX(Parametri!$G15:$M15,1,WEEKDAY(INT(E49),2))=1</f>
        <v>0</v>
      </c>
      <c r="AL49" s="1" t="b">
        <f>INDEX(Parametri!$G16:$M16,1,WEEKDAY(INT(F49),2))=1</f>
        <v>0</v>
      </c>
      <c r="AM49" s="1" t="b">
        <f>INDEX(Parametri!$G17:$M17,1,WEEKDAY(INT(G49),2))=1</f>
        <v>0</v>
      </c>
      <c r="AN49" s="1" t="b">
        <f>INDEX(Parametri!$G18:$M18,1,WEEKDAY(INT(H49),2))=1</f>
        <v>0</v>
      </c>
      <c r="AO49">
        <f>COUNTIFS(PersonalExceptions[Colonna],1,PersonalExceptions[Dal],"&lt;="&amp;INT(B49),PersonalExceptions[Al],"&gt;="&amp;INT(B49),PersonalExceptions[Active 0/1],1,PersonalExceptions[Effetto],"Rest")</f>
        <v>0</v>
      </c>
      <c r="AP49">
        <f>COUNTIFS(PersonalExceptions[Colonna],2,PersonalExceptions[Dal],"&lt;="&amp;INT(C49),PersonalExceptions[Al],"&gt;="&amp;INT(C49),PersonalExceptions[Active 0/1],1,PersonalExceptions[Effetto],"Rest")</f>
        <v>0</v>
      </c>
      <c r="AQ49">
        <f>COUNTIFS(PersonalExceptions[Colonna],3,PersonalExceptions[Dal],"&lt;="&amp;INT(D49),PersonalExceptions[Al],"&gt;="&amp;INT(D49),PersonalExceptions[Active 0/1],1,PersonalExceptions[Effetto],"Rest")</f>
        <v>0</v>
      </c>
      <c r="AR49">
        <f>COUNTIFS(PersonalExceptions[Colonna],4,PersonalExceptions[Dal],"&lt;="&amp;INT(E49),PersonalExceptions[Al],"&gt;="&amp;INT(E49),PersonalExceptions[Active 0/1],1,PersonalExceptions[Effetto],"Rest")</f>
        <v>0</v>
      </c>
      <c r="AS49">
        <f>COUNTIFS(PersonalExceptions[Colonna],5,PersonalExceptions[Dal],"&lt;="&amp;INT(F49),PersonalExceptions[Al],"&gt;="&amp;INT(F49),PersonalExceptions[Active 0/1],1,PersonalExceptions[Effetto],"Rest")</f>
        <v>0</v>
      </c>
      <c r="AT49">
        <f>COUNTIFS(PersonalExceptions[Colonna],6,PersonalExceptions[Dal],"&lt;="&amp;INT(G49),PersonalExceptions[Al],"&gt;="&amp;INT(G49),PersonalExceptions[Active 0/1],1,PersonalExceptions[Effetto],"Rest")</f>
        <v>0</v>
      </c>
      <c r="AU49">
        <f>COUNTIFS(PersonalExceptions[Colonna],7,PersonalExceptions[Dal],"&lt;="&amp;INT(H49),PersonalExceptions[Al],"&gt;="&amp;INT(H49),PersonalExceptions[Active 0/1],1,PersonalExceptions[Effetto],"Rest")</f>
        <v>0</v>
      </c>
      <c r="AW49">
        <f>COUNTIFS(PersonalExceptions[Colonna],1,PersonalExceptions[Dal],"&lt;="&amp;INT(B49),PersonalExceptions[Al],"&gt;="&amp;INT(B49),PersonalExceptions[Active 0/1],1,PersonalExceptions[Effetto],"Activity")</f>
        <v>0</v>
      </c>
      <c r="AX49">
        <f>COUNTIFS(PersonalExceptions[Colonna],2,PersonalExceptions[Dal],"&lt;="&amp;INT(C49),PersonalExceptions[Al],"&gt;="&amp;INT(C49),PersonalExceptions[Active 0/1],1,PersonalExceptions[Effetto],"Activity")</f>
        <v>0</v>
      </c>
      <c r="AY49">
        <f>COUNTIFS(PersonalExceptions[Colonna],3,PersonalExceptions[Dal],"&lt;="&amp;INT(D49),PersonalExceptions[Al],"&gt;="&amp;INT(D49),PersonalExceptions[Active 0/1],1,PersonalExceptions[Effetto],"Activity")</f>
        <v>0</v>
      </c>
      <c r="AZ49">
        <f>COUNTIFS(PersonalExceptions[Colonna],4,PersonalExceptions[Dal],"&lt;="&amp;INT(E49),PersonalExceptions[Al],"&gt;="&amp;INT(E49),PersonalExceptions[Active 0/1],1,PersonalExceptions[Effetto],"Activity")</f>
        <v>0</v>
      </c>
      <c r="BA49">
        <f>COUNTIFS(PersonalExceptions[Colonna],5,PersonalExceptions[Dal],"&lt;="&amp;INT(F49),PersonalExceptions[Al],"&gt;="&amp;INT(F49),PersonalExceptions[Active 0/1],1,PersonalExceptions[Effetto],"Activity")</f>
        <v>0</v>
      </c>
      <c r="BB49">
        <f>COUNTIFS(PersonalExceptions[Colonna],6,PersonalExceptions[Dal],"&lt;="&amp;INT(G49),PersonalExceptions[Al],"&gt;="&amp;INT(G49),PersonalExceptions[Active 0/1],1,PersonalExceptions[Effetto],"Activity")</f>
        <v>0</v>
      </c>
      <c r="BC49">
        <f>COUNTIFS(PersonalExceptions[Colonna],7,PersonalExceptions[Dal],"&lt;="&amp;INT(H49),PersonalExceptions[Al],"&gt;="&amp;INT(H49),PersonalExceptions[Active 0/1],1,PersonalExceptions[Effetto],"Activity")</f>
        <v>0</v>
      </c>
      <c r="BE49">
        <f>IF(Planner!B$10="Nessuno",0,COUNTIFS(ImportedHolidays[Calendar],Planner!B$10,ImportedHolidays[Date],INT(B49),ImportedHolidays[Active],1,ImportedHolidays[Kind],"WORKDAY"))</f>
        <v>0</v>
      </c>
      <c r="BF49">
        <f>IF(Planner!C$10="Nessuno",0,COUNTIFS(ImportedHolidays[Calendar],Planner!C$10,ImportedHolidays[Date],INT(C49),ImportedHolidays[Active],1,ImportedHolidays[Kind],"WORKDAY"))</f>
        <v>0</v>
      </c>
      <c r="BG49">
        <f>IF(Planner!D$10="Nessuno",0,COUNTIFS(ImportedHolidays[Calendar],Planner!D$10,ImportedHolidays[Date],INT(D49),ImportedHolidays[Active],1,ImportedHolidays[Kind],"WORKDAY"))</f>
        <v>0</v>
      </c>
      <c r="BH49">
        <f>IF(Planner!E$10="Nessuno",0,COUNTIFS(ImportedHolidays[Calendar],Planner!E$10,ImportedHolidays[Date],INT(E49),ImportedHolidays[Active],1,ImportedHolidays[Kind],"WORKDAY"))</f>
        <v>0</v>
      </c>
      <c r="BI49">
        <f>IF(Planner!F$10="Nessuno",0,COUNTIFS(ImportedHolidays[Calendar],Planner!F$10,ImportedHolidays[Date],INT(F49),ImportedHolidays[Active],1,ImportedHolidays[Kind],"WORKDAY"))</f>
        <v>0</v>
      </c>
      <c r="BJ49">
        <f>IF(Planner!G$10="Nessuno",0,COUNTIFS(ImportedHolidays[Calendar],Planner!G$10,ImportedHolidays[Date],INT(G49),ImportedHolidays[Active],1,ImportedHolidays[Kind],"WORKDAY"))</f>
        <v>0</v>
      </c>
      <c r="BK49">
        <f>IF(Planner!H$10="Nessuno",0,COUNTIFS(ImportedHolidays[Calendar],Planner!H$10,ImportedHolidays[Date],INT(H49),ImportedHolidays[Active],1,ImportedHolidays[Kind],"WORKDAY"))</f>
        <v>0</v>
      </c>
      <c r="BM49">
        <f>IF(MOD(J49-B$11,1440)&lt;B$12,2,IF(OR(MOD(J49-B$11,1440)&lt;B$12+ROUND(Planner!$D$5*60,0),MOD(J49-B$11,1440)&gt;=1440-ROUND(Planner!$B$5*60,0)),1,0))</f>
        <v>1</v>
      </c>
      <c r="BN49">
        <f>IF(MOD(K49-C$11,1440)&lt;C$12,2,IF(OR(MOD(K49-C$11,1440)&lt;C$12+ROUND(Planner!$D$5*60,0),MOD(K49-C$11,1440)&gt;=1440-ROUND(Planner!$B$5*60,0)),1,0))</f>
        <v>0</v>
      </c>
      <c r="BO49">
        <f>IF(MOD(L49-D$11,1440)&lt;D$12,2,IF(OR(MOD(L49-D$11,1440)&lt;D$12+ROUND(Planner!$D$5*60,0),MOD(L49-D$11,1440)&gt;=1440-ROUND(Planner!$B$5*60,0)),1,0))</f>
        <v>0</v>
      </c>
      <c r="BP49">
        <f>IF(MOD(M49-E$11,1440)&lt;E$12,2,IF(OR(MOD(M49-E$11,1440)&lt;E$12+ROUND(Planner!$D$5*60,0),MOD(M49-E$11,1440)&gt;=1440-ROUND(Planner!$B$5*60,0)),1,0))</f>
        <v>0</v>
      </c>
      <c r="BQ49">
        <f>IF(MOD(N49-F$11,1440)&lt;F$12,2,IF(OR(MOD(N49-F$11,1440)&lt;F$12+ROUND(Planner!$D$5*60,0),MOD(N49-F$11,1440)&gt;=1440-ROUND(Planner!$B$5*60,0)),1,0))</f>
        <v>0</v>
      </c>
      <c r="BR49">
        <f>IF(MOD(O49-G$11,1440)&lt;G$12,2,IF(OR(MOD(O49-G$11,1440)&lt;G$12+ROUND(Planner!$D$5*60,0),MOD(O49-G$11,1440)&gt;=1440-ROUND(Planner!$B$5*60,0)),1,0))</f>
        <v>2</v>
      </c>
      <c r="BS49">
        <f>IF(MOD(P49-H$11,1440)&lt;H$12,2,IF(OR(MOD(P49-H$11,1440)&lt;H$12+ROUND(Planner!$D$5*60,0),MOD(P49-H$11,1440)&gt;=1440-ROUND(Planner!$B$5*60,0)),1,0))</f>
        <v>2</v>
      </c>
    </row>
    <row r="50" spans="1:71">
      <c r="A50" s="22">
        <f>ROUND(($B$6+9*Planner!$F$4/1440)*1440,0)/1440</f>
        <v>46288.895833333336</v>
      </c>
      <c r="B50" s="22">
        <f>IF(COUNTIFS(ZonePeriods[Code],Planner!B$9,ZonePeriods[FromUtc],"&lt;="&amp;$A50,ZonePeriods[UntilUtc],"&gt;"&amp;$A50)=1,ROUND(($A50+SUMIFS(ZonePeriods[OffsetHours],ZonePeriods[Code],Planner!B$9,ZonePeriods[FromUtc],"&lt;="&amp;$A50,ZonePeriods[UntilUtc],"&gt;"&amp;$A50)/24)*1440,0)/1440,NA())</f>
        <v>46289.1875</v>
      </c>
      <c r="C50" s="22">
        <f>IF(COUNTIFS(ZonePeriods[Code],Planner!C$9,ZonePeriods[FromUtc],"&lt;="&amp;$A50,ZonePeriods[UntilUtc],"&gt;"&amp;$A50)=1,ROUND(($A50+SUMIFS(ZonePeriods[OffsetHours],ZonePeriods[Code],Planner!C$9,ZonePeriods[FromUtc],"&lt;="&amp;$A50,ZonePeriods[UntilUtc],"&gt;"&amp;$A50)/24)*1440,0)/1440,NA())</f>
        <v>46289.125</v>
      </c>
      <c r="D50" s="22">
        <f>IF(COUNTIFS(ZonePeriods[Code],Planner!D$9,ZonePeriods[FromUtc],"&lt;="&amp;$A50,ZonePeriods[UntilUtc],"&gt;"&amp;$A50)=1,ROUND(($A50+SUMIFS(ZonePeriods[OffsetHours],ZonePeriods[Code],Planner!D$9,ZonePeriods[FromUtc],"&lt;="&amp;$A50,ZonePeriods[UntilUtc],"&gt;"&amp;$A50)/24)*1440,0)/1440,NA())</f>
        <v>46289.020833333336</v>
      </c>
      <c r="E50" s="22">
        <f>IF(COUNTIFS(ZonePeriods[Code],Planner!E$9,ZonePeriods[FromUtc],"&lt;="&amp;$A50,ZonePeriods[UntilUtc],"&gt;"&amp;$A50)=1,ROUND(($A50+SUMIFS(ZonePeriods[OffsetHours],ZonePeriods[Code],Planner!E$9,ZonePeriods[FromUtc],"&lt;="&amp;$A50,ZonePeriods[UntilUtc],"&gt;"&amp;$A50)/24)*1440,0)/1440,NA())</f>
        <v>46288.979166666664</v>
      </c>
      <c r="F50" s="22">
        <f>IF(COUNTIFS(ZonePeriods[Code],Planner!F$9,ZonePeriods[FromUtc],"&lt;="&amp;$A50,ZonePeriods[UntilUtc],"&gt;"&amp;$A50)=1,ROUND(($A50+SUMIFS(ZonePeriods[OffsetHours],ZonePeriods[Code],Planner!F$9,ZonePeriods[FromUtc],"&lt;="&amp;$A50,ZonePeriods[UntilUtc],"&gt;"&amp;$A50)/24)*1440,0)/1440,NA())</f>
        <v>46288.9375</v>
      </c>
      <c r="G50" s="22">
        <f>IF(COUNTIFS(ZonePeriods[Code],Planner!G$9,ZonePeriods[FromUtc],"&lt;="&amp;$A50,ZonePeriods[UntilUtc],"&gt;"&amp;$A50)=1,ROUND(($A50+SUMIFS(ZonePeriods[OffsetHours],ZonePeriods[Code],Planner!G$9,ZonePeriods[FromUtc],"&lt;="&amp;$A50,ZonePeriods[UntilUtc],"&gt;"&amp;$A50)/24)*1440,0)/1440,NA())</f>
        <v>46288.729166666664</v>
      </c>
      <c r="H50" s="22">
        <f>IF(COUNTIFS(ZonePeriods[Code],Planner!H$9,ZonePeriods[FromUtc],"&lt;="&amp;$A50,ZonePeriods[UntilUtc],"&gt;"&amp;$A50)=1,ROUND(($A50+SUMIFS(ZonePeriods[OffsetHours],ZonePeriods[Code],Planner!H$9,ZonePeriods[FromUtc],"&lt;="&amp;$A50,ZonePeriods[UntilUtc],"&gt;"&amp;$A50)/24)*1440,0)/1440,NA())</f>
        <v>46288.604166666664</v>
      </c>
      <c r="I50" s="1"/>
      <c r="J50" s="1">
        <f t="shared" si="14"/>
        <v>270</v>
      </c>
      <c r="K50" s="1">
        <f t="shared" si="15"/>
        <v>180</v>
      </c>
      <c r="L50" s="1">
        <f t="shared" si="16"/>
        <v>30</v>
      </c>
      <c r="M50" s="1">
        <f t="shared" si="17"/>
        <v>1410</v>
      </c>
      <c r="N50" s="1">
        <f t="shared" si="18"/>
        <v>1350</v>
      </c>
      <c r="O50" s="1">
        <f t="shared" si="19"/>
        <v>1050</v>
      </c>
      <c r="P50" s="1">
        <f t="shared" si="20"/>
        <v>870</v>
      </c>
      <c r="Q50" s="1"/>
      <c r="R50" s="1">
        <f t="shared" si="21"/>
        <v>1</v>
      </c>
      <c r="S50" s="1">
        <f t="shared" si="22"/>
        <v>0</v>
      </c>
      <c r="T50" s="1">
        <f t="shared" si="23"/>
        <v>0</v>
      </c>
      <c r="U50" s="1">
        <f t="shared" si="24"/>
        <v>0</v>
      </c>
      <c r="V50" s="1">
        <f t="shared" si="25"/>
        <v>0</v>
      </c>
      <c r="W50" s="1">
        <f t="shared" si="26"/>
        <v>2</v>
      </c>
      <c r="X50" s="1">
        <f t="shared" si="27"/>
        <v>2</v>
      </c>
      <c r="Y50" s="1"/>
      <c r="Z50" s="1">
        <f>IF(Planner!B$10="Nessuno",0,COUNTIFS(HolidayDates[Calendar],Planner!B$10,HolidayDates[Local date],INT(B50),HolidayDates[Active 0/1],1)+COUNTIFS(ImportedHolidays[Calendar],Planner!B$10,ImportedHolidays[Date],INT(B50),ImportedHolidays[Active],1,ImportedHolidays[Kind],"HOLIDAY"))</f>
        <v>0</v>
      </c>
      <c r="AA50" s="1">
        <f>IF(Planner!C$10="Nessuno",0,COUNTIFS(HolidayDates[Calendar],Planner!C$10,HolidayDates[Local date],INT(C50),HolidayDates[Active 0/1],1)+COUNTIFS(ImportedHolidays[Calendar],Planner!C$10,ImportedHolidays[Date],INT(C50),ImportedHolidays[Active],1,ImportedHolidays[Kind],"HOLIDAY"))</f>
        <v>0</v>
      </c>
      <c r="AB50" s="1">
        <f>IF(Planner!D$10="Nessuno",0,COUNTIFS(HolidayDates[Calendar],Planner!D$10,HolidayDates[Local date],INT(D50),HolidayDates[Active 0/1],1)+COUNTIFS(ImportedHolidays[Calendar],Planner!D$10,ImportedHolidays[Date],INT(D50),ImportedHolidays[Active],1,ImportedHolidays[Kind],"HOLIDAY"))</f>
        <v>0</v>
      </c>
      <c r="AC50" s="1">
        <f>IF(Planner!E$10="Nessuno",0,COUNTIFS(HolidayDates[Calendar],Planner!E$10,HolidayDates[Local date],INT(E50),HolidayDates[Active 0/1],1)+COUNTIFS(ImportedHolidays[Calendar],Planner!E$10,ImportedHolidays[Date],INT(E50),ImportedHolidays[Active],1,ImportedHolidays[Kind],"HOLIDAY"))</f>
        <v>0</v>
      </c>
      <c r="AD50" s="1">
        <f>IF(Planner!F$10="Nessuno",0,COUNTIFS(HolidayDates[Calendar],Planner!F$10,HolidayDates[Local date],INT(F50),HolidayDates[Active 0/1],1)+COUNTIFS(ImportedHolidays[Calendar],Planner!F$10,ImportedHolidays[Date],INT(F50),ImportedHolidays[Active],1,ImportedHolidays[Kind],"HOLIDAY"))</f>
        <v>0</v>
      </c>
      <c r="AE50" s="1">
        <f>IF(Planner!G$10="Nessuno",0,COUNTIFS(HolidayDates[Calendar],Planner!G$10,HolidayDates[Local date],INT(G50),HolidayDates[Active 0/1],1)+COUNTIFS(ImportedHolidays[Calendar],Planner!G$10,ImportedHolidays[Date],INT(G50),ImportedHolidays[Active],1,ImportedHolidays[Kind],"HOLIDAY"))</f>
        <v>0</v>
      </c>
      <c r="AF50" s="1">
        <f>IF(Planner!H$10="Nessuno",0,COUNTIFS(HolidayDates[Calendar],Planner!H$10,HolidayDates[Local date],INT(H50),HolidayDates[Active 0/1],1)+COUNTIFS(ImportedHolidays[Calendar],Planner!H$10,ImportedHolidays[Date],INT(H50),ImportedHolidays[Active],1,ImportedHolidays[Kind],"HOLIDAY"))</f>
        <v>0</v>
      </c>
      <c r="AG50" s="1"/>
      <c r="AH50" s="1" t="b">
        <f>INDEX(Parametri!$G12:$M12,1,WEEKDAY(INT(B50),2))=1</f>
        <v>0</v>
      </c>
      <c r="AI50" s="1" t="b">
        <f>INDEX(Parametri!$G13:$M13,1,WEEKDAY(INT(C50),2))=1</f>
        <v>0</v>
      </c>
      <c r="AJ50" s="1" t="b">
        <f>INDEX(Parametri!$G14:$M14,1,WEEKDAY(INT(D50),2))=1</f>
        <v>0</v>
      </c>
      <c r="AK50" s="1" t="b">
        <f>INDEX(Parametri!$G15:$M15,1,WEEKDAY(INT(E50),2))=1</f>
        <v>0</v>
      </c>
      <c r="AL50" s="1" t="b">
        <f>INDEX(Parametri!$G16:$M16,1,WEEKDAY(INT(F50),2))=1</f>
        <v>0</v>
      </c>
      <c r="AM50" s="1" t="b">
        <f>INDEX(Parametri!$G17:$M17,1,WEEKDAY(INT(G50),2))=1</f>
        <v>0</v>
      </c>
      <c r="AN50" s="1" t="b">
        <f>INDEX(Parametri!$G18:$M18,1,WEEKDAY(INT(H50),2))=1</f>
        <v>0</v>
      </c>
      <c r="AO50">
        <f>COUNTIFS(PersonalExceptions[Colonna],1,PersonalExceptions[Dal],"&lt;="&amp;INT(B50),PersonalExceptions[Al],"&gt;="&amp;INT(B50),PersonalExceptions[Active 0/1],1,PersonalExceptions[Effetto],"Rest")</f>
        <v>0</v>
      </c>
      <c r="AP50">
        <f>COUNTIFS(PersonalExceptions[Colonna],2,PersonalExceptions[Dal],"&lt;="&amp;INT(C50),PersonalExceptions[Al],"&gt;="&amp;INT(C50),PersonalExceptions[Active 0/1],1,PersonalExceptions[Effetto],"Rest")</f>
        <v>0</v>
      </c>
      <c r="AQ50">
        <f>COUNTIFS(PersonalExceptions[Colonna],3,PersonalExceptions[Dal],"&lt;="&amp;INT(D50),PersonalExceptions[Al],"&gt;="&amp;INT(D50),PersonalExceptions[Active 0/1],1,PersonalExceptions[Effetto],"Rest")</f>
        <v>0</v>
      </c>
      <c r="AR50">
        <f>COUNTIFS(PersonalExceptions[Colonna],4,PersonalExceptions[Dal],"&lt;="&amp;INT(E50),PersonalExceptions[Al],"&gt;="&amp;INT(E50),PersonalExceptions[Active 0/1],1,PersonalExceptions[Effetto],"Rest")</f>
        <v>0</v>
      </c>
      <c r="AS50">
        <f>COUNTIFS(PersonalExceptions[Colonna],5,PersonalExceptions[Dal],"&lt;="&amp;INT(F50),PersonalExceptions[Al],"&gt;="&amp;INT(F50),PersonalExceptions[Active 0/1],1,PersonalExceptions[Effetto],"Rest")</f>
        <v>0</v>
      </c>
      <c r="AT50">
        <f>COUNTIFS(PersonalExceptions[Colonna],6,PersonalExceptions[Dal],"&lt;="&amp;INT(G50),PersonalExceptions[Al],"&gt;="&amp;INT(G50),PersonalExceptions[Active 0/1],1,PersonalExceptions[Effetto],"Rest")</f>
        <v>0</v>
      </c>
      <c r="AU50">
        <f>COUNTIFS(PersonalExceptions[Colonna],7,PersonalExceptions[Dal],"&lt;="&amp;INT(H50),PersonalExceptions[Al],"&gt;="&amp;INT(H50),PersonalExceptions[Active 0/1],1,PersonalExceptions[Effetto],"Rest")</f>
        <v>0</v>
      </c>
      <c r="AW50">
        <f>COUNTIFS(PersonalExceptions[Colonna],1,PersonalExceptions[Dal],"&lt;="&amp;INT(B50),PersonalExceptions[Al],"&gt;="&amp;INT(B50),PersonalExceptions[Active 0/1],1,PersonalExceptions[Effetto],"Activity")</f>
        <v>0</v>
      </c>
      <c r="AX50">
        <f>COUNTIFS(PersonalExceptions[Colonna],2,PersonalExceptions[Dal],"&lt;="&amp;INT(C50),PersonalExceptions[Al],"&gt;="&amp;INT(C50),PersonalExceptions[Active 0/1],1,PersonalExceptions[Effetto],"Activity")</f>
        <v>0</v>
      </c>
      <c r="AY50">
        <f>COUNTIFS(PersonalExceptions[Colonna],3,PersonalExceptions[Dal],"&lt;="&amp;INT(D50),PersonalExceptions[Al],"&gt;="&amp;INT(D50),PersonalExceptions[Active 0/1],1,PersonalExceptions[Effetto],"Activity")</f>
        <v>0</v>
      </c>
      <c r="AZ50">
        <f>COUNTIFS(PersonalExceptions[Colonna],4,PersonalExceptions[Dal],"&lt;="&amp;INT(E50),PersonalExceptions[Al],"&gt;="&amp;INT(E50),PersonalExceptions[Active 0/1],1,PersonalExceptions[Effetto],"Activity")</f>
        <v>0</v>
      </c>
      <c r="BA50">
        <f>COUNTIFS(PersonalExceptions[Colonna],5,PersonalExceptions[Dal],"&lt;="&amp;INT(F50),PersonalExceptions[Al],"&gt;="&amp;INT(F50),PersonalExceptions[Active 0/1],1,PersonalExceptions[Effetto],"Activity")</f>
        <v>0</v>
      </c>
      <c r="BB50">
        <f>COUNTIFS(PersonalExceptions[Colonna],6,PersonalExceptions[Dal],"&lt;="&amp;INT(G50),PersonalExceptions[Al],"&gt;="&amp;INT(G50),PersonalExceptions[Active 0/1],1,PersonalExceptions[Effetto],"Activity")</f>
        <v>0</v>
      </c>
      <c r="BC50">
        <f>COUNTIFS(PersonalExceptions[Colonna],7,PersonalExceptions[Dal],"&lt;="&amp;INT(H50),PersonalExceptions[Al],"&gt;="&amp;INT(H50),PersonalExceptions[Active 0/1],1,PersonalExceptions[Effetto],"Activity")</f>
        <v>0</v>
      </c>
      <c r="BE50">
        <f>IF(Planner!B$10="Nessuno",0,COUNTIFS(ImportedHolidays[Calendar],Planner!B$10,ImportedHolidays[Date],INT(B50),ImportedHolidays[Active],1,ImportedHolidays[Kind],"WORKDAY"))</f>
        <v>0</v>
      </c>
      <c r="BF50">
        <f>IF(Planner!C$10="Nessuno",0,COUNTIFS(ImportedHolidays[Calendar],Planner!C$10,ImportedHolidays[Date],INT(C50),ImportedHolidays[Active],1,ImportedHolidays[Kind],"WORKDAY"))</f>
        <v>0</v>
      </c>
      <c r="BG50">
        <f>IF(Planner!D$10="Nessuno",0,COUNTIFS(ImportedHolidays[Calendar],Planner!D$10,ImportedHolidays[Date],INT(D50),ImportedHolidays[Active],1,ImportedHolidays[Kind],"WORKDAY"))</f>
        <v>0</v>
      </c>
      <c r="BH50">
        <f>IF(Planner!E$10="Nessuno",0,COUNTIFS(ImportedHolidays[Calendar],Planner!E$10,ImportedHolidays[Date],INT(E50),ImportedHolidays[Active],1,ImportedHolidays[Kind],"WORKDAY"))</f>
        <v>0</v>
      </c>
      <c r="BI50">
        <f>IF(Planner!F$10="Nessuno",0,COUNTIFS(ImportedHolidays[Calendar],Planner!F$10,ImportedHolidays[Date],INT(F50),ImportedHolidays[Active],1,ImportedHolidays[Kind],"WORKDAY"))</f>
        <v>0</v>
      </c>
      <c r="BJ50">
        <f>IF(Planner!G$10="Nessuno",0,COUNTIFS(ImportedHolidays[Calendar],Planner!G$10,ImportedHolidays[Date],INT(G50),ImportedHolidays[Active],1,ImportedHolidays[Kind],"WORKDAY"))</f>
        <v>0</v>
      </c>
      <c r="BK50">
        <f>IF(Planner!H$10="Nessuno",0,COUNTIFS(ImportedHolidays[Calendar],Planner!H$10,ImportedHolidays[Date],INT(H50),ImportedHolidays[Active],1,ImportedHolidays[Kind],"WORKDAY"))</f>
        <v>0</v>
      </c>
      <c r="BM50">
        <f>IF(MOD(J50-B$11,1440)&lt;B$12,2,IF(OR(MOD(J50-B$11,1440)&lt;B$12+ROUND(Planner!$D$5*60,0),MOD(J50-B$11,1440)&gt;=1440-ROUND(Planner!$B$5*60,0)),1,0))</f>
        <v>1</v>
      </c>
      <c r="BN50">
        <f>IF(MOD(K50-C$11,1440)&lt;C$12,2,IF(OR(MOD(K50-C$11,1440)&lt;C$12+ROUND(Planner!$D$5*60,0),MOD(K50-C$11,1440)&gt;=1440-ROUND(Planner!$B$5*60,0)),1,0))</f>
        <v>0</v>
      </c>
      <c r="BO50">
        <f>IF(MOD(L50-D$11,1440)&lt;D$12,2,IF(OR(MOD(L50-D$11,1440)&lt;D$12+ROUND(Planner!$D$5*60,0),MOD(L50-D$11,1440)&gt;=1440-ROUND(Planner!$B$5*60,0)),1,0))</f>
        <v>0</v>
      </c>
      <c r="BP50">
        <f>IF(MOD(M50-E$11,1440)&lt;E$12,2,IF(OR(MOD(M50-E$11,1440)&lt;E$12+ROUND(Planner!$D$5*60,0),MOD(M50-E$11,1440)&gt;=1440-ROUND(Planner!$B$5*60,0)),1,0))</f>
        <v>0</v>
      </c>
      <c r="BQ50">
        <f>IF(MOD(N50-F$11,1440)&lt;F$12,2,IF(OR(MOD(N50-F$11,1440)&lt;F$12+ROUND(Planner!$D$5*60,0),MOD(N50-F$11,1440)&gt;=1440-ROUND(Planner!$B$5*60,0)),1,0))</f>
        <v>0</v>
      </c>
      <c r="BR50">
        <f>IF(MOD(O50-G$11,1440)&lt;G$12,2,IF(OR(MOD(O50-G$11,1440)&lt;G$12+ROUND(Planner!$D$5*60,0),MOD(O50-G$11,1440)&gt;=1440-ROUND(Planner!$B$5*60,0)),1,0))</f>
        <v>2</v>
      </c>
      <c r="BS50">
        <f>IF(MOD(P50-H$11,1440)&lt;H$12,2,IF(OR(MOD(P50-H$11,1440)&lt;H$12+ROUND(Planner!$D$5*60,0),MOD(P50-H$11,1440)&gt;=1440-ROUND(Planner!$B$5*60,0)),1,0))</f>
        <v>2</v>
      </c>
    </row>
    <row r="51" spans="1:71">
      <c r="A51" s="22">
        <f>ROUND(($B$6+10*Planner!$F$4/1440)*1440,0)/1440</f>
        <v>46288.916666666664</v>
      </c>
      <c r="B51" s="22">
        <f>IF(COUNTIFS(ZonePeriods[Code],Planner!B$9,ZonePeriods[FromUtc],"&lt;="&amp;$A51,ZonePeriods[UntilUtc],"&gt;"&amp;$A51)=1,ROUND(($A51+SUMIFS(ZonePeriods[OffsetHours],ZonePeriods[Code],Planner!B$9,ZonePeriods[FromUtc],"&lt;="&amp;$A51,ZonePeriods[UntilUtc],"&gt;"&amp;$A51)/24)*1440,0)/1440,NA())</f>
        <v>46289.208333333336</v>
      </c>
      <c r="C51" s="22">
        <f>IF(COUNTIFS(ZonePeriods[Code],Planner!C$9,ZonePeriods[FromUtc],"&lt;="&amp;$A51,ZonePeriods[UntilUtc],"&gt;"&amp;$A51)=1,ROUND(($A51+SUMIFS(ZonePeriods[OffsetHours],ZonePeriods[Code],Planner!C$9,ZonePeriods[FromUtc],"&lt;="&amp;$A51,ZonePeriods[UntilUtc],"&gt;"&amp;$A51)/24)*1440,0)/1440,NA())</f>
        <v>46289.145833333336</v>
      </c>
      <c r="D51" s="22">
        <f>IF(COUNTIFS(ZonePeriods[Code],Planner!D$9,ZonePeriods[FromUtc],"&lt;="&amp;$A51,ZonePeriods[UntilUtc],"&gt;"&amp;$A51)=1,ROUND(($A51+SUMIFS(ZonePeriods[OffsetHours],ZonePeriods[Code],Planner!D$9,ZonePeriods[FromUtc],"&lt;="&amp;$A51,ZonePeriods[UntilUtc],"&gt;"&amp;$A51)/24)*1440,0)/1440,NA())</f>
        <v>46289.041666666664</v>
      </c>
      <c r="E51" s="22">
        <f>IF(COUNTIFS(ZonePeriods[Code],Planner!E$9,ZonePeriods[FromUtc],"&lt;="&amp;$A51,ZonePeriods[UntilUtc],"&gt;"&amp;$A51)=1,ROUND(($A51+SUMIFS(ZonePeriods[OffsetHours],ZonePeriods[Code],Planner!E$9,ZonePeriods[FromUtc],"&lt;="&amp;$A51,ZonePeriods[UntilUtc],"&gt;"&amp;$A51)/24)*1440,0)/1440,NA())</f>
        <v>46289</v>
      </c>
      <c r="F51" s="22">
        <f>IF(COUNTIFS(ZonePeriods[Code],Planner!F$9,ZonePeriods[FromUtc],"&lt;="&amp;$A51,ZonePeriods[UntilUtc],"&gt;"&amp;$A51)=1,ROUND(($A51+SUMIFS(ZonePeriods[OffsetHours],ZonePeriods[Code],Planner!F$9,ZonePeriods[FromUtc],"&lt;="&amp;$A51,ZonePeriods[UntilUtc],"&gt;"&amp;$A51)/24)*1440,0)/1440,NA())</f>
        <v>46288.958333333336</v>
      </c>
      <c r="G51" s="22">
        <f>IF(COUNTIFS(ZonePeriods[Code],Planner!G$9,ZonePeriods[FromUtc],"&lt;="&amp;$A51,ZonePeriods[UntilUtc],"&gt;"&amp;$A51)=1,ROUND(($A51+SUMIFS(ZonePeriods[OffsetHours],ZonePeriods[Code],Planner!G$9,ZonePeriods[FromUtc],"&lt;="&amp;$A51,ZonePeriods[UntilUtc],"&gt;"&amp;$A51)/24)*1440,0)/1440,NA())</f>
        <v>46288.75</v>
      </c>
      <c r="H51" s="22">
        <f>IF(COUNTIFS(ZonePeriods[Code],Planner!H$9,ZonePeriods[FromUtc],"&lt;="&amp;$A51,ZonePeriods[UntilUtc],"&gt;"&amp;$A51)=1,ROUND(($A51+SUMIFS(ZonePeriods[OffsetHours],ZonePeriods[Code],Planner!H$9,ZonePeriods[FromUtc],"&lt;="&amp;$A51,ZonePeriods[UntilUtc],"&gt;"&amp;$A51)/24)*1440,0)/1440,NA())</f>
        <v>46288.625</v>
      </c>
      <c r="I51" s="1"/>
      <c r="J51" s="1">
        <f t="shared" si="14"/>
        <v>300</v>
      </c>
      <c r="K51" s="1">
        <f t="shared" si="15"/>
        <v>210</v>
      </c>
      <c r="L51" s="1">
        <f t="shared" si="16"/>
        <v>60</v>
      </c>
      <c r="M51" s="1">
        <f t="shared" si="17"/>
        <v>0</v>
      </c>
      <c r="N51" s="1">
        <f t="shared" si="18"/>
        <v>1380</v>
      </c>
      <c r="O51" s="1">
        <f t="shared" si="19"/>
        <v>1080</v>
      </c>
      <c r="P51" s="1">
        <f t="shared" si="20"/>
        <v>900</v>
      </c>
      <c r="Q51" s="1"/>
      <c r="R51" s="1">
        <f t="shared" si="21"/>
        <v>2</v>
      </c>
      <c r="S51" s="1">
        <f t="shared" si="22"/>
        <v>0</v>
      </c>
      <c r="T51" s="1">
        <f t="shared" si="23"/>
        <v>0</v>
      </c>
      <c r="U51" s="1">
        <f t="shared" si="24"/>
        <v>0</v>
      </c>
      <c r="V51" s="1">
        <f t="shared" si="25"/>
        <v>0</v>
      </c>
      <c r="W51" s="1">
        <f t="shared" si="26"/>
        <v>1</v>
      </c>
      <c r="X51" s="1">
        <f t="shared" si="27"/>
        <v>2</v>
      </c>
      <c r="Y51" s="1"/>
      <c r="Z51" s="1">
        <f>IF(Planner!B$10="Nessuno",0,COUNTIFS(HolidayDates[Calendar],Planner!B$10,HolidayDates[Local date],INT(B51),HolidayDates[Active 0/1],1)+COUNTIFS(ImportedHolidays[Calendar],Planner!B$10,ImportedHolidays[Date],INT(B51),ImportedHolidays[Active],1,ImportedHolidays[Kind],"HOLIDAY"))</f>
        <v>0</v>
      </c>
      <c r="AA51" s="1">
        <f>IF(Planner!C$10="Nessuno",0,COUNTIFS(HolidayDates[Calendar],Planner!C$10,HolidayDates[Local date],INT(C51),HolidayDates[Active 0/1],1)+COUNTIFS(ImportedHolidays[Calendar],Planner!C$10,ImportedHolidays[Date],INT(C51),ImportedHolidays[Active],1,ImportedHolidays[Kind],"HOLIDAY"))</f>
        <v>0</v>
      </c>
      <c r="AB51" s="1">
        <f>IF(Planner!D$10="Nessuno",0,COUNTIFS(HolidayDates[Calendar],Planner!D$10,HolidayDates[Local date],INT(D51),HolidayDates[Active 0/1],1)+COUNTIFS(ImportedHolidays[Calendar],Planner!D$10,ImportedHolidays[Date],INT(D51),ImportedHolidays[Active],1,ImportedHolidays[Kind],"HOLIDAY"))</f>
        <v>0</v>
      </c>
      <c r="AC51" s="1">
        <f>IF(Planner!E$10="Nessuno",0,COUNTIFS(HolidayDates[Calendar],Planner!E$10,HolidayDates[Local date],INT(E51),HolidayDates[Active 0/1],1)+COUNTIFS(ImportedHolidays[Calendar],Planner!E$10,ImportedHolidays[Date],INT(E51),ImportedHolidays[Active],1,ImportedHolidays[Kind],"HOLIDAY"))</f>
        <v>0</v>
      </c>
      <c r="AD51" s="1">
        <f>IF(Planner!F$10="Nessuno",0,COUNTIFS(HolidayDates[Calendar],Planner!F$10,HolidayDates[Local date],INT(F51),HolidayDates[Active 0/1],1)+COUNTIFS(ImportedHolidays[Calendar],Planner!F$10,ImportedHolidays[Date],INT(F51),ImportedHolidays[Active],1,ImportedHolidays[Kind],"HOLIDAY"))</f>
        <v>0</v>
      </c>
      <c r="AE51" s="1">
        <f>IF(Planner!G$10="Nessuno",0,COUNTIFS(HolidayDates[Calendar],Planner!G$10,HolidayDates[Local date],INT(G51),HolidayDates[Active 0/1],1)+COUNTIFS(ImportedHolidays[Calendar],Planner!G$10,ImportedHolidays[Date],INT(G51),ImportedHolidays[Active],1,ImportedHolidays[Kind],"HOLIDAY"))</f>
        <v>0</v>
      </c>
      <c r="AF51" s="1">
        <f>IF(Planner!H$10="Nessuno",0,COUNTIFS(HolidayDates[Calendar],Planner!H$10,HolidayDates[Local date],INT(H51),HolidayDates[Active 0/1],1)+COUNTIFS(ImportedHolidays[Calendar],Planner!H$10,ImportedHolidays[Date],INT(H51),ImportedHolidays[Active],1,ImportedHolidays[Kind],"HOLIDAY"))</f>
        <v>0</v>
      </c>
      <c r="AG51" s="1"/>
      <c r="AH51" s="1" t="b">
        <f>INDEX(Parametri!$G12:$M12,1,WEEKDAY(INT(B51),2))=1</f>
        <v>0</v>
      </c>
      <c r="AI51" s="1" t="b">
        <f>INDEX(Parametri!$G13:$M13,1,WEEKDAY(INT(C51),2))=1</f>
        <v>0</v>
      </c>
      <c r="AJ51" s="1" t="b">
        <f>INDEX(Parametri!$G14:$M14,1,WEEKDAY(INT(D51),2))=1</f>
        <v>0</v>
      </c>
      <c r="AK51" s="1" t="b">
        <f>INDEX(Parametri!$G15:$M15,1,WEEKDAY(INT(E51),2))=1</f>
        <v>0</v>
      </c>
      <c r="AL51" s="1" t="b">
        <f>INDEX(Parametri!$G16:$M16,1,WEEKDAY(INT(F51),2))=1</f>
        <v>0</v>
      </c>
      <c r="AM51" s="1" t="b">
        <f>INDEX(Parametri!$G17:$M17,1,WEEKDAY(INT(G51),2))=1</f>
        <v>0</v>
      </c>
      <c r="AN51" s="1" t="b">
        <f>INDEX(Parametri!$G18:$M18,1,WEEKDAY(INT(H51),2))=1</f>
        <v>0</v>
      </c>
      <c r="AO51">
        <f>COUNTIFS(PersonalExceptions[Colonna],1,PersonalExceptions[Dal],"&lt;="&amp;INT(B51),PersonalExceptions[Al],"&gt;="&amp;INT(B51),PersonalExceptions[Active 0/1],1,PersonalExceptions[Effetto],"Rest")</f>
        <v>0</v>
      </c>
      <c r="AP51">
        <f>COUNTIFS(PersonalExceptions[Colonna],2,PersonalExceptions[Dal],"&lt;="&amp;INT(C51),PersonalExceptions[Al],"&gt;="&amp;INT(C51),PersonalExceptions[Active 0/1],1,PersonalExceptions[Effetto],"Rest")</f>
        <v>0</v>
      </c>
      <c r="AQ51">
        <f>COUNTIFS(PersonalExceptions[Colonna],3,PersonalExceptions[Dal],"&lt;="&amp;INT(D51),PersonalExceptions[Al],"&gt;="&amp;INT(D51),PersonalExceptions[Active 0/1],1,PersonalExceptions[Effetto],"Rest")</f>
        <v>0</v>
      </c>
      <c r="AR51">
        <f>COUNTIFS(PersonalExceptions[Colonna],4,PersonalExceptions[Dal],"&lt;="&amp;INT(E51),PersonalExceptions[Al],"&gt;="&amp;INT(E51),PersonalExceptions[Active 0/1],1,PersonalExceptions[Effetto],"Rest")</f>
        <v>0</v>
      </c>
      <c r="AS51">
        <f>COUNTIFS(PersonalExceptions[Colonna],5,PersonalExceptions[Dal],"&lt;="&amp;INT(F51),PersonalExceptions[Al],"&gt;="&amp;INT(F51),PersonalExceptions[Active 0/1],1,PersonalExceptions[Effetto],"Rest")</f>
        <v>0</v>
      </c>
      <c r="AT51">
        <f>COUNTIFS(PersonalExceptions[Colonna],6,PersonalExceptions[Dal],"&lt;="&amp;INT(G51),PersonalExceptions[Al],"&gt;="&amp;INT(G51),PersonalExceptions[Active 0/1],1,PersonalExceptions[Effetto],"Rest")</f>
        <v>0</v>
      </c>
      <c r="AU51">
        <f>COUNTIFS(PersonalExceptions[Colonna],7,PersonalExceptions[Dal],"&lt;="&amp;INT(H51),PersonalExceptions[Al],"&gt;="&amp;INT(H51),PersonalExceptions[Active 0/1],1,PersonalExceptions[Effetto],"Rest")</f>
        <v>0</v>
      </c>
      <c r="AW51">
        <f>COUNTIFS(PersonalExceptions[Colonna],1,PersonalExceptions[Dal],"&lt;="&amp;INT(B51),PersonalExceptions[Al],"&gt;="&amp;INT(B51),PersonalExceptions[Active 0/1],1,PersonalExceptions[Effetto],"Activity")</f>
        <v>0</v>
      </c>
      <c r="AX51">
        <f>COUNTIFS(PersonalExceptions[Colonna],2,PersonalExceptions[Dal],"&lt;="&amp;INT(C51),PersonalExceptions[Al],"&gt;="&amp;INT(C51),PersonalExceptions[Active 0/1],1,PersonalExceptions[Effetto],"Activity")</f>
        <v>0</v>
      </c>
      <c r="AY51">
        <f>COUNTIFS(PersonalExceptions[Colonna],3,PersonalExceptions[Dal],"&lt;="&amp;INT(D51),PersonalExceptions[Al],"&gt;="&amp;INT(D51),PersonalExceptions[Active 0/1],1,PersonalExceptions[Effetto],"Activity")</f>
        <v>0</v>
      </c>
      <c r="AZ51">
        <f>COUNTIFS(PersonalExceptions[Colonna],4,PersonalExceptions[Dal],"&lt;="&amp;INT(E51),PersonalExceptions[Al],"&gt;="&amp;INT(E51),PersonalExceptions[Active 0/1],1,PersonalExceptions[Effetto],"Activity")</f>
        <v>0</v>
      </c>
      <c r="BA51">
        <f>COUNTIFS(PersonalExceptions[Colonna],5,PersonalExceptions[Dal],"&lt;="&amp;INT(F51),PersonalExceptions[Al],"&gt;="&amp;INT(F51),PersonalExceptions[Active 0/1],1,PersonalExceptions[Effetto],"Activity")</f>
        <v>0</v>
      </c>
      <c r="BB51">
        <f>COUNTIFS(PersonalExceptions[Colonna],6,PersonalExceptions[Dal],"&lt;="&amp;INT(G51),PersonalExceptions[Al],"&gt;="&amp;INT(G51),PersonalExceptions[Active 0/1],1,PersonalExceptions[Effetto],"Activity")</f>
        <v>0</v>
      </c>
      <c r="BC51">
        <f>COUNTIFS(PersonalExceptions[Colonna],7,PersonalExceptions[Dal],"&lt;="&amp;INT(H51),PersonalExceptions[Al],"&gt;="&amp;INT(H51),PersonalExceptions[Active 0/1],1,PersonalExceptions[Effetto],"Activity")</f>
        <v>0</v>
      </c>
      <c r="BE51">
        <f>IF(Planner!B$10="Nessuno",0,COUNTIFS(ImportedHolidays[Calendar],Planner!B$10,ImportedHolidays[Date],INT(B51),ImportedHolidays[Active],1,ImportedHolidays[Kind],"WORKDAY"))</f>
        <v>0</v>
      </c>
      <c r="BF51">
        <f>IF(Planner!C$10="Nessuno",0,COUNTIFS(ImportedHolidays[Calendar],Planner!C$10,ImportedHolidays[Date],INT(C51),ImportedHolidays[Active],1,ImportedHolidays[Kind],"WORKDAY"))</f>
        <v>0</v>
      </c>
      <c r="BG51">
        <f>IF(Planner!D$10="Nessuno",0,COUNTIFS(ImportedHolidays[Calendar],Planner!D$10,ImportedHolidays[Date],INT(D51),ImportedHolidays[Active],1,ImportedHolidays[Kind],"WORKDAY"))</f>
        <v>0</v>
      </c>
      <c r="BH51">
        <f>IF(Planner!E$10="Nessuno",0,COUNTIFS(ImportedHolidays[Calendar],Planner!E$10,ImportedHolidays[Date],INT(E51),ImportedHolidays[Active],1,ImportedHolidays[Kind],"WORKDAY"))</f>
        <v>0</v>
      </c>
      <c r="BI51">
        <f>IF(Planner!F$10="Nessuno",0,COUNTIFS(ImportedHolidays[Calendar],Planner!F$10,ImportedHolidays[Date],INT(F51),ImportedHolidays[Active],1,ImportedHolidays[Kind],"WORKDAY"))</f>
        <v>0</v>
      </c>
      <c r="BJ51">
        <f>IF(Planner!G$10="Nessuno",0,COUNTIFS(ImportedHolidays[Calendar],Planner!G$10,ImportedHolidays[Date],INT(G51),ImportedHolidays[Active],1,ImportedHolidays[Kind],"WORKDAY"))</f>
        <v>0</v>
      </c>
      <c r="BK51">
        <f>IF(Planner!H$10="Nessuno",0,COUNTIFS(ImportedHolidays[Calendar],Planner!H$10,ImportedHolidays[Date],INT(H51),ImportedHolidays[Active],1,ImportedHolidays[Kind],"WORKDAY"))</f>
        <v>0</v>
      </c>
      <c r="BM51">
        <f>IF(MOD(J51-B$11,1440)&lt;B$12,2,IF(OR(MOD(J51-B$11,1440)&lt;B$12+ROUND(Planner!$D$5*60,0),MOD(J51-B$11,1440)&gt;=1440-ROUND(Planner!$B$5*60,0)),1,0))</f>
        <v>2</v>
      </c>
      <c r="BN51">
        <f>IF(MOD(K51-C$11,1440)&lt;C$12,2,IF(OR(MOD(K51-C$11,1440)&lt;C$12+ROUND(Planner!$D$5*60,0),MOD(K51-C$11,1440)&gt;=1440-ROUND(Planner!$B$5*60,0)),1,0))</f>
        <v>0</v>
      </c>
      <c r="BO51">
        <f>IF(MOD(L51-D$11,1440)&lt;D$12,2,IF(OR(MOD(L51-D$11,1440)&lt;D$12+ROUND(Planner!$D$5*60,0),MOD(L51-D$11,1440)&gt;=1440-ROUND(Planner!$B$5*60,0)),1,0))</f>
        <v>0</v>
      </c>
      <c r="BP51">
        <f>IF(MOD(M51-E$11,1440)&lt;E$12,2,IF(OR(MOD(M51-E$11,1440)&lt;E$12+ROUND(Planner!$D$5*60,0),MOD(M51-E$11,1440)&gt;=1440-ROUND(Planner!$B$5*60,0)),1,0))</f>
        <v>0</v>
      </c>
      <c r="BQ51">
        <f>IF(MOD(N51-F$11,1440)&lt;F$12,2,IF(OR(MOD(N51-F$11,1440)&lt;F$12+ROUND(Planner!$D$5*60,0),MOD(N51-F$11,1440)&gt;=1440-ROUND(Planner!$B$5*60,0)),1,0))</f>
        <v>0</v>
      </c>
      <c r="BR51">
        <f>IF(MOD(O51-G$11,1440)&lt;G$12,2,IF(OR(MOD(O51-G$11,1440)&lt;G$12+ROUND(Planner!$D$5*60,0),MOD(O51-G$11,1440)&gt;=1440-ROUND(Planner!$B$5*60,0)),1,0))</f>
        <v>1</v>
      </c>
      <c r="BS51">
        <f>IF(MOD(P51-H$11,1440)&lt;H$12,2,IF(OR(MOD(P51-H$11,1440)&lt;H$12+ROUND(Planner!$D$5*60,0),MOD(P51-H$11,1440)&gt;=1440-ROUND(Planner!$B$5*60,0)),1,0))</f>
        <v>2</v>
      </c>
    </row>
    <row r="52" spans="1:71">
      <c r="A52" s="22">
        <f>ROUND(($B$6+11*Planner!$F$4/1440)*1440,0)/1440</f>
        <v>46288.9375</v>
      </c>
      <c r="B52" s="22">
        <f>IF(COUNTIFS(ZonePeriods[Code],Planner!B$9,ZonePeriods[FromUtc],"&lt;="&amp;$A52,ZonePeriods[UntilUtc],"&gt;"&amp;$A52)=1,ROUND(($A52+SUMIFS(ZonePeriods[OffsetHours],ZonePeriods[Code],Planner!B$9,ZonePeriods[FromUtc],"&lt;="&amp;$A52,ZonePeriods[UntilUtc],"&gt;"&amp;$A52)/24)*1440,0)/1440,NA())</f>
        <v>46289.229166666664</v>
      </c>
      <c r="C52" s="22">
        <f>IF(COUNTIFS(ZonePeriods[Code],Planner!C$9,ZonePeriods[FromUtc],"&lt;="&amp;$A52,ZonePeriods[UntilUtc],"&gt;"&amp;$A52)=1,ROUND(($A52+SUMIFS(ZonePeriods[OffsetHours],ZonePeriods[Code],Planner!C$9,ZonePeriods[FromUtc],"&lt;="&amp;$A52,ZonePeriods[UntilUtc],"&gt;"&amp;$A52)/24)*1440,0)/1440,NA())</f>
        <v>46289.166666666664</v>
      </c>
      <c r="D52" s="22">
        <f>IF(COUNTIFS(ZonePeriods[Code],Planner!D$9,ZonePeriods[FromUtc],"&lt;="&amp;$A52,ZonePeriods[UntilUtc],"&gt;"&amp;$A52)=1,ROUND(($A52+SUMIFS(ZonePeriods[OffsetHours],ZonePeriods[Code],Planner!D$9,ZonePeriods[FromUtc],"&lt;="&amp;$A52,ZonePeriods[UntilUtc],"&gt;"&amp;$A52)/24)*1440,0)/1440,NA())</f>
        <v>46289.0625</v>
      </c>
      <c r="E52" s="22">
        <f>IF(COUNTIFS(ZonePeriods[Code],Planner!E$9,ZonePeriods[FromUtc],"&lt;="&amp;$A52,ZonePeriods[UntilUtc],"&gt;"&amp;$A52)=1,ROUND(($A52+SUMIFS(ZonePeriods[OffsetHours],ZonePeriods[Code],Planner!E$9,ZonePeriods[FromUtc],"&lt;="&amp;$A52,ZonePeriods[UntilUtc],"&gt;"&amp;$A52)/24)*1440,0)/1440,NA())</f>
        <v>46289.020833333336</v>
      </c>
      <c r="F52" s="22">
        <f>IF(COUNTIFS(ZonePeriods[Code],Planner!F$9,ZonePeriods[FromUtc],"&lt;="&amp;$A52,ZonePeriods[UntilUtc],"&gt;"&amp;$A52)=1,ROUND(($A52+SUMIFS(ZonePeriods[OffsetHours],ZonePeriods[Code],Planner!F$9,ZonePeriods[FromUtc],"&lt;="&amp;$A52,ZonePeriods[UntilUtc],"&gt;"&amp;$A52)/24)*1440,0)/1440,NA())</f>
        <v>46288.979166666664</v>
      </c>
      <c r="G52" s="22">
        <f>IF(COUNTIFS(ZonePeriods[Code],Planner!G$9,ZonePeriods[FromUtc],"&lt;="&amp;$A52,ZonePeriods[UntilUtc],"&gt;"&amp;$A52)=1,ROUND(($A52+SUMIFS(ZonePeriods[OffsetHours],ZonePeriods[Code],Planner!G$9,ZonePeriods[FromUtc],"&lt;="&amp;$A52,ZonePeriods[UntilUtc],"&gt;"&amp;$A52)/24)*1440,0)/1440,NA())</f>
        <v>46288.770833333336</v>
      </c>
      <c r="H52" s="22">
        <f>IF(COUNTIFS(ZonePeriods[Code],Planner!H$9,ZonePeriods[FromUtc],"&lt;="&amp;$A52,ZonePeriods[UntilUtc],"&gt;"&amp;$A52)=1,ROUND(($A52+SUMIFS(ZonePeriods[OffsetHours],ZonePeriods[Code],Planner!H$9,ZonePeriods[FromUtc],"&lt;="&amp;$A52,ZonePeriods[UntilUtc],"&gt;"&amp;$A52)/24)*1440,0)/1440,NA())</f>
        <v>46288.645833333336</v>
      </c>
      <c r="I52" s="1"/>
      <c r="J52" s="1">
        <f t="shared" si="14"/>
        <v>330</v>
      </c>
      <c r="K52" s="1">
        <f t="shared" si="15"/>
        <v>240</v>
      </c>
      <c r="L52" s="1">
        <f t="shared" si="16"/>
        <v>90</v>
      </c>
      <c r="M52" s="1">
        <f t="shared" si="17"/>
        <v>30</v>
      </c>
      <c r="N52" s="1">
        <f t="shared" si="18"/>
        <v>1410</v>
      </c>
      <c r="O52" s="1">
        <f t="shared" si="19"/>
        <v>1110</v>
      </c>
      <c r="P52" s="1">
        <f t="shared" si="20"/>
        <v>930</v>
      </c>
      <c r="Q52" s="1"/>
      <c r="R52" s="1">
        <f t="shared" si="21"/>
        <v>2</v>
      </c>
      <c r="S52" s="1">
        <f t="shared" si="22"/>
        <v>0</v>
      </c>
      <c r="T52" s="1">
        <f t="shared" si="23"/>
        <v>0</v>
      </c>
      <c r="U52" s="1">
        <f t="shared" si="24"/>
        <v>0</v>
      </c>
      <c r="V52" s="1">
        <f t="shared" si="25"/>
        <v>0</v>
      </c>
      <c r="W52" s="1">
        <f t="shared" si="26"/>
        <v>1</v>
      </c>
      <c r="X52" s="1">
        <f t="shared" si="27"/>
        <v>2</v>
      </c>
      <c r="Y52" s="1"/>
      <c r="Z52" s="1">
        <f>IF(Planner!B$10="Nessuno",0,COUNTIFS(HolidayDates[Calendar],Planner!B$10,HolidayDates[Local date],INT(B52),HolidayDates[Active 0/1],1)+COUNTIFS(ImportedHolidays[Calendar],Planner!B$10,ImportedHolidays[Date],INT(B52),ImportedHolidays[Active],1,ImportedHolidays[Kind],"HOLIDAY"))</f>
        <v>0</v>
      </c>
      <c r="AA52" s="1">
        <f>IF(Planner!C$10="Nessuno",0,COUNTIFS(HolidayDates[Calendar],Planner!C$10,HolidayDates[Local date],INT(C52),HolidayDates[Active 0/1],1)+COUNTIFS(ImportedHolidays[Calendar],Planner!C$10,ImportedHolidays[Date],INT(C52),ImportedHolidays[Active],1,ImportedHolidays[Kind],"HOLIDAY"))</f>
        <v>0</v>
      </c>
      <c r="AB52" s="1">
        <f>IF(Planner!D$10="Nessuno",0,COUNTIFS(HolidayDates[Calendar],Planner!D$10,HolidayDates[Local date],INT(D52),HolidayDates[Active 0/1],1)+COUNTIFS(ImportedHolidays[Calendar],Planner!D$10,ImportedHolidays[Date],INT(D52),ImportedHolidays[Active],1,ImportedHolidays[Kind],"HOLIDAY"))</f>
        <v>0</v>
      </c>
      <c r="AC52" s="1">
        <f>IF(Planner!E$10="Nessuno",0,COUNTIFS(HolidayDates[Calendar],Planner!E$10,HolidayDates[Local date],INT(E52),HolidayDates[Active 0/1],1)+COUNTIFS(ImportedHolidays[Calendar],Planner!E$10,ImportedHolidays[Date],INT(E52),ImportedHolidays[Active],1,ImportedHolidays[Kind],"HOLIDAY"))</f>
        <v>0</v>
      </c>
      <c r="AD52" s="1">
        <f>IF(Planner!F$10="Nessuno",0,COUNTIFS(HolidayDates[Calendar],Planner!F$10,HolidayDates[Local date],INT(F52),HolidayDates[Active 0/1],1)+COUNTIFS(ImportedHolidays[Calendar],Planner!F$10,ImportedHolidays[Date],INT(F52),ImportedHolidays[Active],1,ImportedHolidays[Kind],"HOLIDAY"))</f>
        <v>0</v>
      </c>
      <c r="AE52" s="1">
        <f>IF(Planner!G$10="Nessuno",0,COUNTIFS(HolidayDates[Calendar],Planner!G$10,HolidayDates[Local date],INT(G52),HolidayDates[Active 0/1],1)+COUNTIFS(ImportedHolidays[Calendar],Planner!G$10,ImportedHolidays[Date],INT(G52),ImportedHolidays[Active],1,ImportedHolidays[Kind],"HOLIDAY"))</f>
        <v>0</v>
      </c>
      <c r="AF52" s="1">
        <f>IF(Planner!H$10="Nessuno",0,COUNTIFS(HolidayDates[Calendar],Planner!H$10,HolidayDates[Local date],INT(H52),HolidayDates[Active 0/1],1)+COUNTIFS(ImportedHolidays[Calendar],Planner!H$10,ImportedHolidays[Date],INT(H52),ImportedHolidays[Active],1,ImportedHolidays[Kind],"HOLIDAY"))</f>
        <v>0</v>
      </c>
      <c r="AG52" s="1"/>
      <c r="AH52" s="1" t="b">
        <f>INDEX(Parametri!$G12:$M12,1,WEEKDAY(INT(B52),2))=1</f>
        <v>0</v>
      </c>
      <c r="AI52" s="1" t="b">
        <f>INDEX(Parametri!$G13:$M13,1,WEEKDAY(INT(C52),2))=1</f>
        <v>0</v>
      </c>
      <c r="AJ52" s="1" t="b">
        <f>INDEX(Parametri!$G14:$M14,1,WEEKDAY(INT(D52),2))=1</f>
        <v>0</v>
      </c>
      <c r="AK52" s="1" t="b">
        <f>INDEX(Parametri!$G15:$M15,1,WEEKDAY(INT(E52),2))=1</f>
        <v>0</v>
      </c>
      <c r="AL52" s="1" t="b">
        <f>INDEX(Parametri!$G16:$M16,1,WEEKDAY(INT(F52),2))=1</f>
        <v>0</v>
      </c>
      <c r="AM52" s="1" t="b">
        <f>INDEX(Parametri!$G17:$M17,1,WEEKDAY(INT(G52),2))=1</f>
        <v>0</v>
      </c>
      <c r="AN52" s="1" t="b">
        <f>INDEX(Parametri!$G18:$M18,1,WEEKDAY(INT(H52),2))=1</f>
        <v>0</v>
      </c>
      <c r="AO52">
        <f>COUNTIFS(PersonalExceptions[Colonna],1,PersonalExceptions[Dal],"&lt;="&amp;INT(B52),PersonalExceptions[Al],"&gt;="&amp;INT(B52),PersonalExceptions[Active 0/1],1,PersonalExceptions[Effetto],"Rest")</f>
        <v>0</v>
      </c>
      <c r="AP52">
        <f>COUNTIFS(PersonalExceptions[Colonna],2,PersonalExceptions[Dal],"&lt;="&amp;INT(C52),PersonalExceptions[Al],"&gt;="&amp;INT(C52),PersonalExceptions[Active 0/1],1,PersonalExceptions[Effetto],"Rest")</f>
        <v>0</v>
      </c>
      <c r="AQ52">
        <f>COUNTIFS(PersonalExceptions[Colonna],3,PersonalExceptions[Dal],"&lt;="&amp;INT(D52),PersonalExceptions[Al],"&gt;="&amp;INT(D52),PersonalExceptions[Active 0/1],1,PersonalExceptions[Effetto],"Rest")</f>
        <v>0</v>
      </c>
      <c r="AR52">
        <f>COUNTIFS(PersonalExceptions[Colonna],4,PersonalExceptions[Dal],"&lt;="&amp;INT(E52),PersonalExceptions[Al],"&gt;="&amp;INT(E52),PersonalExceptions[Active 0/1],1,PersonalExceptions[Effetto],"Rest")</f>
        <v>0</v>
      </c>
      <c r="AS52">
        <f>COUNTIFS(PersonalExceptions[Colonna],5,PersonalExceptions[Dal],"&lt;="&amp;INT(F52),PersonalExceptions[Al],"&gt;="&amp;INT(F52),PersonalExceptions[Active 0/1],1,PersonalExceptions[Effetto],"Rest")</f>
        <v>0</v>
      </c>
      <c r="AT52">
        <f>COUNTIFS(PersonalExceptions[Colonna],6,PersonalExceptions[Dal],"&lt;="&amp;INT(G52),PersonalExceptions[Al],"&gt;="&amp;INT(G52),PersonalExceptions[Active 0/1],1,PersonalExceptions[Effetto],"Rest")</f>
        <v>0</v>
      </c>
      <c r="AU52">
        <f>COUNTIFS(PersonalExceptions[Colonna],7,PersonalExceptions[Dal],"&lt;="&amp;INT(H52),PersonalExceptions[Al],"&gt;="&amp;INT(H52),PersonalExceptions[Active 0/1],1,PersonalExceptions[Effetto],"Rest")</f>
        <v>0</v>
      </c>
      <c r="AW52">
        <f>COUNTIFS(PersonalExceptions[Colonna],1,PersonalExceptions[Dal],"&lt;="&amp;INT(B52),PersonalExceptions[Al],"&gt;="&amp;INT(B52),PersonalExceptions[Active 0/1],1,PersonalExceptions[Effetto],"Activity")</f>
        <v>0</v>
      </c>
      <c r="AX52">
        <f>COUNTIFS(PersonalExceptions[Colonna],2,PersonalExceptions[Dal],"&lt;="&amp;INT(C52),PersonalExceptions[Al],"&gt;="&amp;INT(C52),PersonalExceptions[Active 0/1],1,PersonalExceptions[Effetto],"Activity")</f>
        <v>0</v>
      </c>
      <c r="AY52">
        <f>COUNTIFS(PersonalExceptions[Colonna],3,PersonalExceptions[Dal],"&lt;="&amp;INT(D52),PersonalExceptions[Al],"&gt;="&amp;INT(D52),PersonalExceptions[Active 0/1],1,PersonalExceptions[Effetto],"Activity")</f>
        <v>0</v>
      </c>
      <c r="AZ52">
        <f>COUNTIFS(PersonalExceptions[Colonna],4,PersonalExceptions[Dal],"&lt;="&amp;INT(E52),PersonalExceptions[Al],"&gt;="&amp;INT(E52),PersonalExceptions[Active 0/1],1,PersonalExceptions[Effetto],"Activity")</f>
        <v>0</v>
      </c>
      <c r="BA52">
        <f>COUNTIFS(PersonalExceptions[Colonna],5,PersonalExceptions[Dal],"&lt;="&amp;INT(F52),PersonalExceptions[Al],"&gt;="&amp;INT(F52),PersonalExceptions[Active 0/1],1,PersonalExceptions[Effetto],"Activity")</f>
        <v>0</v>
      </c>
      <c r="BB52">
        <f>COUNTIFS(PersonalExceptions[Colonna],6,PersonalExceptions[Dal],"&lt;="&amp;INT(G52),PersonalExceptions[Al],"&gt;="&amp;INT(G52),PersonalExceptions[Active 0/1],1,PersonalExceptions[Effetto],"Activity")</f>
        <v>0</v>
      </c>
      <c r="BC52">
        <f>COUNTIFS(PersonalExceptions[Colonna],7,PersonalExceptions[Dal],"&lt;="&amp;INT(H52),PersonalExceptions[Al],"&gt;="&amp;INT(H52),PersonalExceptions[Active 0/1],1,PersonalExceptions[Effetto],"Activity")</f>
        <v>0</v>
      </c>
      <c r="BE52">
        <f>IF(Planner!B$10="Nessuno",0,COUNTIFS(ImportedHolidays[Calendar],Planner!B$10,ImportedHolidays[Date],INT(B52),ImportedHolidays[Active],1,ImportedHolidays[Kind],"WORKDAY"))</f>
        <v>0</v>
      </c>
      <c r="BF52">
        <f>IF(Planner!C$10="Nessuno",0,COUNTIFS(ImportedHolidays[Calendar],Planner!C$10,ImportedHolidays[Date],INT(C52),ImportedHolidays[Active],1,ImportedHolidays[Kind],"WORKDAY"))</f>
        <v>0</v>
      </c>
      <c r="BG52">
        <f>IF(Planner!D$10="Nessuno",0,COUNTIFS(ImportedHolidays[Calendar],Planner!D$10,ImportedHolidays[Date],INT(D52),ImportedHolidays[Active],1,ImportedHolidays[Kind],"WORKDAY"))</f>
        <v>0</v>
      </c>
      <c r="BH52">
        <f>IF(Planner!E$10="Nessuno",0,COUNTIFS(ImportedHolidays[Calendar],Planner!E$10,ImportedHolidays[Date],INT(E52),ImportedHolidays[Active],1,ImportedHolidays[Kind],"WORKDAY"))</f>
        <v>0</v>
      </c>
      <c r="BI52">
        <f>IF(Planner!F$10="Nessuno",0,COUNTIFS(ImportedHolidays[Calendar],Planner!F$10,ImportedHolidays[Date],INT(F52),ImportedHolidays[Active],1,ImportedHolidays[Kind],"WORKDAY"))</f>
        <v>0</v>
      </c>
      <c r="BJ52">
        <f>IF(Planner!G$10="Nessuno",0,COUNTIFS(ImportedHolidays[Calendar],Planner!G$10,ImportedHolidays[Date],INT(G52),ImportedHolidays[Active],1,ImportedHolidays[Kind],"WORKDAY"))</f>
        <v>0</v>
      </c>
      <c r="BK52">
        <f>IF(Planner!H$10="Nessuno",0,COUNTIFS(ImportedHolidays[Calendar],Planner!H$10,ImportedHolidays[Date],INT(H52),ImportedHolidays[Active],1,ImportedHolidays[Kind],"WORKDAY"))</f>
        <v>0</v>
      </c>
      <c r="BM52">
        <f>IF(MOD(J52-B$11,1440)&lt;B$12,2,IF(OR(MOD(J52-B$11,1440)&lt;B$12+ROUND(Planner!$D$5*60,0),MOD(J52-B$11,1440)&gt;=1440-ROUND(Planner!$B$5*60,0)),1,0))</f>
        <v>2</v>
      </c>
      <c r="BN52">
        <f>IF(MOD(K52-C$11,1440)&lt;C$12,2,IF(OR(MOD(K52-C$11,1440)&lt;C$12+ROUND(Planner!$D$5*60,0),MOD(K52-C$11,1440)&gt;=1440-ROUND(Planner!$B$5*60,0)),1,0))</f>
        <v>0</v>
      </c>
      <c r="BO52">
        <f>IF(MOD(L52-D$11,1440)&lt;D$12,2,IF(OR(MOD(L52-D$11,1440)&lt;D$12+ROUND(Planner!$D$5*60,0),MOD(L52-D$11,1440)&gt;=1440-ROUND(Planner!$B$5*60,0)),1,0))</f>
        <v>0</v>
      </c>
      <c r="BP52">
        <f>IF(MOD(M52-E$11,1440)&lt;E$12,2,IF(OR(MOD(M52-E$11,1440)&lt;E$12+ROUND(Planner!$D$5*60,0),MOD(M52-E$11,1440)&gt;=1440-ROUND(Planner!$B$5*60,0)),1,0))</f>
        <v>0</v>
      </c>
      <c r="BQ52">
        <f>IF(MOD(N52-F$11,1440)&lt;F$12,2,IF(OR(MOD(N52-F$11,1440)&lt;F$12+ROUND(Planner!$D$5*60,0),MOD(N52-F$11,1440)&gt;=1440-ROUND(Planner!$B$5*60,0)),1,0))</f>
        <v>0</v>
      </c>
      <c r="BR52">
        <f>IF(MOD(O52-G$11,1440)&lt;G$12,2,IF(OR(MOD(O52-G$11,1440)&lt;G$12+ROUND(Planner!$D$5*60,0),MOD(O52-G$11,1440)&gt;=1440-ROUND(Planner!$B$5*60,0)),1,0))</f>
        <v>1</v>
      </c>
      <c r="BS52">
        <f>IF(MOD(P52-H$11,1440)&lt;H$12,2,IF(OR(MOD(P52-H$11,1440)&lt;H$12+ROUND(Planner!$D$5*60,0),MOD(P52-H$11,1440)&gt;=1440-ROUND(Planner!$B$5*60,0)),1,0))</f>
        <v>2</v>
      </c>
    </row>
    <row r="53" spans="1:71">
      <c r="A53" s="22">
        <f>ROUND(($B$6+12*Planner!$F$4/1440)*1440,0)/1440</f>
        <v>46288.958333333336</v>
      </c>
      <c r="B53" s="22">
        <f>IF(COUNTIFS(ZonePeriods[Code],Planner!B$9,ZonePeriods[FromUtc],"&lt;="&amp;$A53,ZonePeriods[UntilUtc],"&gt;"&amp;$A53)=1,ROUND(($A53+SUMIFS(ZonePeriods[OffsetHours],ZonePeriods[Code],Planner!B$9,ZonePeriods[FromUtc],"&lt;="&amp;$A53,ZonePeriods[UntilUtc],"&gt;"&amp;$A53)/24)*1440,0)/1440,NA())</f>
        <v>46289.25</v>
      </c>
      <c r="C53" s="22">
        <f>IF(COUNTIFS(ZonePeriods[Code],Planner!C$9,ZonePeriods[FromUtc],"&lt;="&amp;$A53,ZonePeriods[UntilUtc],"&gt;"&amp;$A53)=1,ROUND(($A53+SUMIFS(ZonePeriods[OffsetHours],ZonePeriods[Code],Planner!C$9,ZonePeriods[FromUtc],"&lt;="&amp;$A53,ZonePeriods[UntilUtc],"&gt;"&amp;$A53)/24)*1440,0)/1440,NA())</f>
        <v>46289.1875</v>
      </c>
      <c r="D53" s="22">
        <f>IF(COUNTIFS(ZonePeriods[Code],Planner!D$9,ZonePeriods[FromUtc],"&lt;="&amp;$A53,ZonePeriods[UntilUtc],"&gt;"&amp;$A53)=1,ROUND(($A53+SUMIFS(ZonePeriods[OffsetHours],ZonePeriods[Code],Planner!D$9,ZonePeriods[FromUtc],"&lt;="&amp;$A53,ZonePeriods[UntilUtc],"&gt;"&amp;$A53)/24)*1440,0)/1440,NA())</f>
        <v>46289.083333333336</v>
      </c>
      <c r="E53" s="22">
        <f>IF(COUNTIFS(ZonePeriods[Code],Planner!E$9,ZonePeriods[FromUtc],"&lt;="&amp;$A53,ZonePeriods[UntilUtc],"&gt;"&amp;$A53)=1,ROUND(($A53+SUMIFS(ZonePeriods[OffsetHours],ZonePeriods[Code],Planner!E$9,ZonePeriods[FromUtc],"&lt;="&amp;$A53,ZonePeriods[UntilUtc],"&gt;"&amp;$A53)/24)*1440,0)/1440,NA())</f>
        <v>46289.041666666664</v>
      </c>
      <c r="F53" s="22">
        <f>IF(COUNTIFS(ZonePeriods[Code],Planner!F$9,ZonePeriods[FromUtc],"&lt;="&amp;$A53,ZonePeriods[UntilUtc],"&gt;"&amp;$A53)=1,ROUND(($A53+SUMIFS(ZonePeriods[OffsetHours],ZonePeriods[Code],Planner!F$9,ZonePeriods[FromUtc],"&lt;="&amp;$A53,ZonePeriods[UntilUtc],"&gt;"&amp;$A53)/24)*1440,0)/1440,NA())</f>
        <v>46289</v>
      </c>
      <c r="G53" s="22">
        <f>IF(COUNTIFS(ZonePeriods[Code],Planner!G$9,ZonePeriods[FromUtc],"&lt;="&amp;$A53,ZonePeriods[UntilUtc],"&gt;"&amp;$A53)=1,ROUND(($A53+SUMIFS(ZonePeriods[OffsetHours],ZonePeriods[Code],Planner!G$9,ZonePeriods[FromUtc],"&lt;="&amp;$A53,ZonePeriods[UntilUtc],"&gt;"&amp;$A53)/24)*1440,0)/1440,NA())</f>
        <v>46288.791666666664</v>
      </c>
      <c r="H53" s="22">
        <f>IF(COUNTIFS(ZonePeriods[Code],Planner!H$9,ZonePeriods[FromUtc],"&lt;="&amp;$A53,ZonePeriods[UntilUtc],"&gt;"&amp;$A53)=1,ROUND(($A53+SUMIFS(ZonePeriods[OffsetHours],ZonePeriods[Code],Planner!H$9,ZonePeriods[FromUtc],"&lt;="&amp;$A53,ZonePeriods[UntilUtc],"&gt;"&amp;$A53)/24)*1440,0)/1440,NA())</f>
        <v>46288.666666666664</v>
      </c>
      <c r="I53" s="1"/>
      <c r="J53" s="1">
        <f t="shared" si="14"/>
        <v>360</v>
      </c>
      <c r="K53" s="1">
        <f t="shared" si="15"/>
        <v>270</v>
      </c>
      <c r="L53" s="1">
        <f t="shared" si="16"/>
        <v>120</v>
      </c>
      <c r="M53" s="1">
        <f t="shared" si="17"/>
        <v>60</v>
      </c>
      <c r="N53" s="1">
        <f t="shared" si="18"/>
        <v>0</v>
      </c>
      <c r="O53" s="1">
        <f t="shared" si="19"/>
        <v>1140</v>
      </c>
      <c r="P53" s="1">
        <f t="shared" si="20"/>
        <v>960</v>
      </c>
      <c r="Q53" s="1"/>
      <c r="R53" s="1">
        <f t="shared" si="21"/>
        <v>2</v>
      </c>
      <c r="S53" s="1">
        <f t="shared" si="22"/>
        <v>0</v>
      </c>
      <c r="T53" s="1">
        <f t="shared" si="23"/>
        <v>0</v>
      </c>
      <c r="U53" s="1">
        <f t="shared" si="24"/>
        <v>0</v>
      </c>
      <c r="V53" s="1">
        <f t="shared" si="25"/>
        <v>0</v>
      </c>
      <c r="W53" s="1">
        <f t="shared" si="26"/>
        <v>1</v>
      </c>
      <c r="X53" s="1">
        <f t="shared" si="27"/>
        <v>2</v>
      </c>
      <c r="Y53" s="1"/>
      <c r="Z53" s="1">
        <f>IF(Planner!B$10="Nessuno",0,COUNTIFS(HolidayDates[Calendar],Planner!B$10,HolidayDates[Local date],INT(B53),HolidayDates[Active 0/1],1)+COUNTIFS(ImportedHolidays[Calendar],Planner!B$10,ImportedHolidays[Date],INT(B53),ImportedHolidays[Active],1,ImportedHolidays[Kind],"HOLIDAY"))</f>
        <v>0</v>
      </c>
      <c r="AA53" s="1">
        <f>IF(Planner!C$10="Nessuno",0,COUNTIFS(HolidayDates[Calendar],Planner!C$10,HolidayDates[Local date],INT(C53),HolidayDates[Active 0/1],1)+COUNTIFS(ImportedHolidays[Calendar],Planner!C$10,ImportedHolidays[Date],INT(C53),ImportedHolidays[Active],1,ImportedHolidays[Kind],"HOLIDAY"))</f>
        <v>0</v>
      </c>
      <c r="AB53" s="1">
        <f>IF(Planner!D$10="Nessuno",0,COUNTIFS(HolidayDates[Calendar],Planner!D$10,HolidayDates[Local date],INT(D53),HolidayDates[Active 0/1],1)+COUNTIFS(ImportedHolidays[Calendar],Planner!D$10,ImportedHolidays[Date],INT(D53),ImportedHolidays[Active],1,ImportedHolidays[Kind],"HOLIDAY"))</f>
        <v>0</v>
      </c>
      <c r="AC53" s="1">
        <f>IF(Planner!E$10="Nessuno",0,COUNTIFS(HolidayDates[Calendar],Planner!E$10,HolidayDates[Local date],INT(E53),HolidayDates[Active 0/1],1)+COUNTIFS(ImportedHolidays[Calendar],Planner!E$10,ImportedHolidays[Date],INT(E53),ImportedHolidays[Active],1,ImportedHolidays[Kind],"HOLIDAY"))</f>
        <v>0</v>
      </c>
      <c r="AD53" s="1">
        <f>IF(Planner!F$10="Nessuno",0,COUNTIFS(HolidayDates[Calendar],Planner!F$10,HolidayDates[Local date],INT(F53),HolidayDates[Active 0/1],1)+COUNTIFS(ImportedHolidays[Calendar],Planner!F$10,ImportedHolidays[Date],INT(F53),ImportedHolidays[Active],1,ImportedHolidays[Kind],"HOLIDAY"))</f>
        <v>0</v>
      </c>
      <c r="AE53" s="1">
        <f>IF(Planner!G$10="Nessuno",0,COUNTIFS(HolidayDates[Calendar],Planner!G$10,HolidayDates[Local date],INT(G53),HolidayDates[Active 0/1],1)+COUNTIFS(ImportedHolidays[Calendar],Planner!G$10,ImportedHolidays[Date],INT(G53),ImportedHolidays[Active],1,ImportedHolidays[Kind],"HOLIDAY"))</f>
        <v>0</v>
      </c>
      <c r="AF53" s="1">
        <f>IF(Planner!H$10="Nessuno",0,COUNTIFS(HolidayDates[Calendar],Planner!H$10,HolidayDates[Local date],INT(H53),HolidayDates[Active 0/1],1)+COUNTIFS(ImportedHolidays[Calendar],Planner!H$10,ImportedHolidays[Date],INT(H53),ImportedHolidays[Active],1,ImportedHolidays[Kind],"HOLIDAY"))</f>
        <v>0</v>
      </c>
      <c r="AG53" s="1"/>
      <c r="AH53" s="1" t="b">
        <f>INDEX(Parametri!$G12:$M12,1,WEEKDAY(INT(B53),2))=1</f>
        <v>0</v>
      </c>
      <c r="AI53" s="1" t="b">
        <f>INDEX(Parametri!$G13:$M13,1,WEEKDAY(INT(C53),2))=1</f>
        <v>0</v>
      </c>
      <c r="AJ53" s="1" t="b">
        <f>INDEX(Parametri!$G14:$M14,1,WEEKDAY(INT(D53),2))=1</f>
        <v>0</v>
      </c>
      <c r="AK53" s="1" t="b">
        <f>INDEX(Parametri!$G15:$M15,1,WEEKDAY(INT(E53),2))=1</f>
        <v>0</v>
      </c>
      <c r="AL53" s="1" t="b">
        <f>INDEX(Parametri!$G16:$M16,1,WEEKDAY(INT(F53),2))=1</f>
        <v>0</v>
      </c>
      <c r="AM53" s="1" t="b">
        <f>INDEX(Parametri!$G17:$M17,1,WEEKDAY(INT(G53),2))=1</f>
        <v>0</v>
      </c>
      <c r="AN53" s="1" t="b">
        <f>INDEX(Parametri!$G18:$M18,1,WEEKDAY(INT(H53),2))=1</f>
        <v>0</v>
      </c>
      <c r="AO53">
        <f>COUNTIFS(PersonalExceptions[Colonna],1,PersonalExceptions[Dal],"&lt;="&amp;INT(B53),PersonalExceptions[Al],"&gt;="&amp;INT(B53),PersonalExceptions[Active 0/1],1,PersonalExceptions[Effetto],"Rest")</f>
        <v>0</v>
      </c>
      <c r="AP53">
        <f>COUNTIFS(PersonalExceptions[Colonna],2,PersonalExceptions[Dal],"&lt;="&amp;INT(C53),PersonalExceptions[Al],"&gt;="&amp;INT(C53),PersonalExceptions[Active 0/1],1,PersonalExceptions[Effetto],"Rest")</f>
        <v>0</v>
      </c>
      <c r="AQ53">
        <f>COUNTIFS(PersonalExceptions[Colonna],3,PersonalExceptions[Dal],"&lt;="&amp;INT(D53),PersonalExceptions[Al],"&gt;="&amp;INT(D53),PersonalExceptions[Active 0/1],1,PersonalExceptions[Effetto],"Rest")</f>
        <v>0</v>
      </c>
      <c r="AR53">
        <f>COUNTIFS(PersonalExceptions[Colonna],4,PersonalExceptions[Dal],"&lt;="&amp;INT(E53),PersonalExceptions[Al],"&gt;="&amp;INT(E53),PersonalExceptions[Active 0/1],1,PersonalExceptions[Effetto],"Rest")</f>
        <v>0</v>
      </c>
      <c r="AS53">
        <f>COUNTIFS(PersonalExceptions[Colonna],5,PersonalExceptions[Dal],"&lt;="&amp;INT(F53),PersonalExceptions[Al],"&gt;="&amp;INT(F53),PersonalExceptions[Active 0/1],1,PersonalExceptions[Effetto],"Rest")</f>
        <v>0</v>
      </c>
      <c r="AT53">
        <f>COUNTIFS(PersonalExceptions[Colonna],6,PersonalExceptions[Dal],"&lt;="&amp;INT(G53),PersonalExceptions[Al],"&gt;="&amp;INT(G53),PersonalExceptions[Active 0/1],1,PersonalExceptions[Effetto],"Rest")</f>
        <v>0</v>
      </c>
      <c r="AU53">
        <f>COUNTIFS(PersonalExceptions[Colonna],7,PersonalExceptions[Dal],"&lt;="&amp;INT(H53),PersonalExceptions[Al],"&gt;="&amp;INT(H53),PersonalExceptions[Active 0/1],1,PersonalExceptions[Effetto],"Rest")</f>
        <v>0</v>
      </c>
      <c r="AW53">
        <f>COUNTIFS(PersonalExceptions[Colonna],1,PersonalExceptions[Dal],"&lt;="&amp;INT(B53),PersonalExceptions[Al],"&gt;="&amp;INT(B53),PersonalExceptions[Active 0/1],1,PersonalExceptions[Effetto],"Activity")</f>
        <v>0</v>
      </c>
      <c r="AX53">
        <f>COUNTIFS(PersonalExceptions[Colonna],2,PersonalExceptions[Dal],"&lt;="&amp;INT(C53),PersonalExceptions[Al],"&gt;="&amp;INT(C53),PersonalExceptions[Active 0/1],1,PersonalExceptions[Effetto],"Activity")</f>
        <v>0</v>
      </c>
      <c r="AY53">
        <f>COUNTIFS(PersonalExceptions[Colonna],3,PersonalExceptions[Dal],"&lt;="&amp;INT(D53),PersonalExceptions[Al],"&gt;="&amp;INT(D53),PersonalExceptions[Active 0/1],1,PersonalExceptions[Effetto],"Activity")</f>
        <v>0</v>
      </c>
      <c r="AZ53">
        <f>COUNTIFS(PersonalExceptions[Colonna],4,PersonalExceptions[Dal],"&lt;="&amp;INT(E53),PersonalExceptions[Al],"&gt;="&amp;INT(E53),PersonalExceptions[Active 0/1],1,PersonalExceptions[Effetto],"Activity")</f>
        <v>0</v>
      </c>
      <c r="BA53">
        <f>COUNTIFS(PersonalExceptions[Colonna],5,PersonalExceptions[Dal],"&lt;="&amp;INT(F53),PersonalExceptions[Al],"&gt;="&amp;INT(F53),PersonalExceptions[Active 0/1],1,PersonalExceptions[Effetto],"Activity")</f>
        <v>0</v>
      </c>
      <c r="BB53">
        <f>COUNTIFS(PersonalExceptions[Colonna],6,PersonalExceptions[Dal],"&lt;="&amp;INT(G53),PersonalExceptions[Al],"&gt;="&amp;INT(G53),PersonalExceptions[Active 0/1],1,PersonalExceptions[Effetto],"Activity")</f>
        <v>0</v>
      </c>
      <c r="BC53">
        <f>COUNTIFS(PersonalExceptions[Colonna],7,PersonalExceptions[Dal],"&lt;="&amp;INT(H53),PersonalExceptions[Al],"&gt;="&amp;INT(H53),PersonalExceptions[Active 0/1],1,PersonalExceptions[Effetto],"Activity")</f>
        <v>0</v>
      </c>
      <c r="BE53">
        <f>IF(Planner!B$10="Nessuno",0,COUNTIFS(ImportedHolidays[Calendar],Planner!B$10,ImportedHolidays[Date],INT(B53),ImportedHolidays[Active],1,ImportedHolidays[Kind],"WORKDAY"))</f>
        <v>0</v>
      </c>
      <c r="BF53">
        <f>IF(Planner!C$10="Nessuno",0,COUNTIFS(ImportedHolidays[Calendar],Planner!C$10,ImportedHolidays[Date],INT(C53),ImportedHolidays[Active],1,ImportedHolidays[Kind],"WORKDAY"))</f>
        <v>0</v>
      </c>
      <c r="BG53">
        <f>IF(Planner!D$10="Nessuno",0,COUNTIFS(ImportedHolidays[Calendar],Planner!D$10,ImportedHolidays[Date],INT(D53),ImportedHolidays[Active],1,ImportedHolidays[Kind],"WORKDAY"))</f>
        <v>0</v>
      </c>
      <c r="BH53">
        <f>IF(Planner!E$10="Nessuno",0,COUNTIFS(ImportedHolidays[Calendar],Planner!E$10,ImportedHolidays[Date],INT(E53),ImportedHolidays[Active],1,ImportedHolidays[Kind],"WORKDAY"))</f>
        <v>0</v>
      </c>
      <c r="BI53">
        <f>IF(Planner!F$10="Nessuno",0,COUNTIFS(ImportedHolidays[Calendar],Planner!F$10,ImportedHolidays[Date],INT(F53),ImportedHolidays[Active],1,ImportedHolidays[Kind],"WORKDAY"))</f>
        <v>0</v>
      </c>
      <c r="BJ53">
        <f>IF(Planner!G$10="Nessuno",0,COUNTIFS(ImportedHolidays[Calendar],Planner!G$10,ImportedHolidays[Date],INT(G53),ImportedHolidays[Active],1,ImportedHolidays[Kind],"WORKDAY"))</f>
        <v>0</v>
      </c>
      <c r="BK53">
        <f>IF(Planner!H$10="Nessuno",0,COUNTIFS(ImportedHolidays[Calendar],Planner!H$10,ImportedHolidays[Date],INT(H53),ImportedHolidays[Active],1,ImportedHolidays[Kind],"WORKDAY"))</f>
        <v>0</v>
      </c>
      <c r="BM53">
        <f>IF(MOD(J53-B$11,1440)&lt;B$12,2,IF(OR(MOD(J53-B$11,1440)&lt;B$12+ROUND(Planner!$D$5*60,0),MOD(J53-B$11,1440)&gt;=1440-ROUND(Planner!$B$5*60,0)),1,0))</f>
        <v>2</v>
      </c>
      <c r="BN53">
        <f>IF(MOD(K53-C$11,1440)&lt;C$12,2,IF(OR(MOD(K53-C$11,1440)&lt;C$12+ROUND(Planner!$D$5*60,0),MOD(K53-C$11,1440)&gt;=1440-ROUND(Planner!$B$5*60,0)),1,0))</f>
        <v>0</v>
      </c>
      <c r="BO53">
        <f>IF(MOD(L53-D$11,1440)&lt;D$12,2,IF(OR(MOD(L53-D$11,1440)&lt;D$12+ROUND(Planner!$D$5*60,0),MOD(L53-D$11,1440)&gt;=1440-ROUND(Planner!$B$5*60,0)),1,0))</f>
        <v>0</v>
      </c>
      <c r="BP53">
        <f>IF(MOD(M53-E$11,1440)&lt;E$12,2,IF(OR(MOD(M53-E$11,1440)&lt;E$12+ROUND(Planner!$D$5*60,0),MOD(M53-E$11,1440)&gt;=1440-ROUND(Planner!$B$5*60,0)),1,0))</f>
        <v>0</v>
      </c>
      <c r="BQ53">
        <f>IF(MOD(N53-F$11,1440)&lt;F$12,2,IF(OR(MOD(N53-F$11,1440)&lt;F$12+ROUND(Planner!$D$5*60,0),MOD(N53-F$11,1440)&gt;=1440-ROUND(Planner!$B$5*60,0)),1,0))</f>
        <v>0</v>
      </c>
      <c r="BR53">
        <f>IF(MOD(O53-G$11,1440)&lt;G$12,2,IF(OR(MOD(O53-G$11,1440)&lt;G$12+ROUND(Planner!$D$5*60,0),MOD(O53-G$11,1440)&gt;=1440-ROUND(Planner!$B$5*60,0)),1,0))</f>
        <v>1</v>
      </c>
      <c r="BS53">
        <f>IF(MOD(P53-H$11,1440)&lt;H$12,2,IF(OR(MOD(P53-H$11,1440)&lt;H$12+ROUND(Planner!$D$5*60,0),MOD(P53-H$11,1440)&gt;=1440-ROUND(Planner!$B$5*60,0)),1,0))</f>
        <v>2</v>
      </c>
    </row>
    <row r="54" spans="1:71">
      <c r="A54" s="22">
        <f>ROUND(($B$6+13*Planner!$F$4/1440)*1440,0)/1440</f>
        <v>46288.979166666664</v>
      </c>
      <c r="B54" s="22">
        <f>IF(COUNTIFS(ZonePeriods[Code],Planner!B$9,ZonePeriods[FromUtc],"&lt;="&amp;$A54,ZonePeriods[UntilUtc],"&gt;"&amp;$A54)=1,ROUND(($A54+SUMIFS(ZonePeriods[OffsetHours],ZonePeriods[Code],Planner!B$9,ZonePeriods[FromUtc],"&lt;="&amp;$A54,ZonePeriods[UntilUtc],"&gt;"&amp;$A54)/24)*1440,0)/1440,NA())</f>
        <v>46289.270833333336</v>
      </c>
      <c r="C54" s="22">
        <f>IF(COUNTIFS(ZonePeriods[Code],Planner!C$9,ZonePeriods[FromUtc],"&lt;="&amp;$A54,ZonePeriods[UntilUtc],"&gt;"&amp;$A54)=1,ROUND(($A54+SUMIFS(ZonePeriods[OffsetHours],ZonePeriods[Code],Planner!C$9,ZonePeriods[FromUtc],"&lt;="&amp;$A54,ZonePeriods[UntilUtc],"&gt;"&amp;$A54)/24)*1440,0)/1440,NA())</f>
        <v>46289.208333333336</v>
      </c>
      <c r="D54" s="22">
        <f>IF(COUNTIFS(ZonePeriods[Code],Planner!D$9,ZonePeriods[FromUtc],"&lt;="&amp;$A54,ZonePeriods[UntilUtc],"&gt;"&amp;$A54)=1,ROUND(($A54+SUMIFS(ZonePeriods[OffsetHours],ZonePeriods[Code],Planner!D$9,ZonePeriods[FromUtc],"&lt;="&amp;$A54,ZonePeriods[UntilUtc],"&gt;"&amp;$A54)/24)*1440,0)/1440,NA())</f>
        <v>46289.104166666664</v>
      </c>
      <c r="E54" s="22">
        <f>IF(COUNTIFS(ZonePeriods[Code],Planner!E$9,ZonePeriods[FromUtc],"&lt;="&amp;$A54,ZonePeriods[UntilUtc],"&gt;"&amp;$A54)=1,ROUND(($A54+SUMIFS(ZonePeriods[OffsetHours],ZonePeriods[Code],Planner!E$9,ZonePeriods[FromUtc],"&lt;="&amp;$A54,ZonePeriods[UntilUtc],"&gt;"&amp;$A54)/24)*1440,0)/1440,NA())</f>
        <v>46289.0625</v>
      </c>
      <c r="F54" s="22">
        <f>IF(COUNTIFS(ZonePeriods[Code],Planner!F$9,ZonePeriods[FromUtc],"&lt;="&amp;$A54,ZonePeriods[UntilUtc],"&gt;"&amp;$A54)=1,ROUND(($A54+SUMIFS(ZonePeriods[OffsetHours],ZonePeriods[Code],Planner!F$9,ZonePeriods[FromUtc],"&lt;="&amp;$A54,ZonePeriods[UntilUtc],"&gt;"&amp;$A54)/24)*1440,0)/1440,NA())</f>
        <v>46289.020833333336</v>
      </c>
      <c r="G54" s="22">
        <f>IF(COUNTIFS(ZonePeriods[Code],Planner!G$9,ZonePeriods[FromUtc],"&lt;="&amp;$A54,ZonePeriods[UntilUtc],"&gt;"&amp;$A54)=1,ROUND(($A54+SUMIFS(ZonePeriods[OffsetHours],ZonePeriods[Code],Planner!G$9,ZonePeriods[FromUtc],"&lt;="&amp;$A54,ZonePeriods[UntilUtc],"&gt;"&amp;$A54)/24)*1440,0)/1440,NA())</f>
        <v>46288.8125</v>
      </c>
      <c r="H54" s="22">
        <f>IF(COUNTIFS(ZonePeriods[Code],Planner!H$9,ZonePeriods[FromUtc],"&lt;="&amp;$A54,ZonePeriods[UntilUtc],"&gt;"&amp;$A54)=1,ROUND(($A54+SUMIFS(ZonePeriods[OffsetHours],ZonePeriods[Code],Planner!H$9,ZonePeriods[FromUtc],"&lt;="&amp;$A54,ZonePeriods[UntilUtc],"&gt;"&amp;$A54)/24)*1440,0)/1440,NA())</f>
        <v>46288.6875</v>
      </c>
      <c r="I54" s="1"/>
      <c r="J54" s="1">
        <f t="shared" si="14"/>
        <v>390</v>
      </c>
      <c r="K54" s="1">
        <f t="shared" si="15"/>
        <v>300</v>
      </c>
      <c r="L54" s="1">
        <f t="shared" si="16"/>
        <v>150</v>
      </c>
      <c r="M54" s="1">
        <f t="shared" si="17"/>
        <v>90</v>
      </c>
      <c r="N54" s="1">
        <f t="shared" si="18"/>
        <v>30</v>
      </c>
      <c r="O54" s="1">
        <f t="shared" si="19"/>
        <v>1170</v>
      </c>
      <c r="P54" s="1">
        <f t="shared" si="20"/>
        <v>990</v>
      </c>
      <c r="Q54" s="1"/>
      <c r="R54" s="1">
        <f t="shared" si="21"/>
        <v>2</v>
      </c>
      <c r="S54" s="1">
        <f t="shared" si="22"/>
        <v>0</v>
      </c>
      <c r="T54" s="1">
        <f t="shared" si="23"/>
        <v>0</v>
      </c>
      <c r="U54" s="1">
        <f t="shared" si="24"/>
        <v>0</v>
      </c>
      <c r="V54" s="1">
        <f t="shared" si="25"/>
        <v>0</v>
      </c>
      <c r="W54" s="1">
        <f t="shared" si="26"/>
        <v>1</v>
      </c>
      <c r="X54" s="1">
        <f t="shared" si="27"/>
        <v>2</v>
      </c>
      <c r="Y54" s="1"/>
      <c r="Z54" s="1">
        <f>IF(Planner!B$10="Nessuno",0,COUNTIFS(HolidayDates[Calendar],Planner!B$10,HolidayDates[Local date],INT(B54),HolidayDates[Active 0/1],1)+COUNTIFS(ImportedHolidays[Calendar],Planner!B$10,ImportedHolidays[Date],INT(B54),ImportedHolidays[Active],1,ImportedHolidays[Kind],"HOLIDAY"))</f>
        <v>0</v>
      </c>
      <c r="AA54" s="1">
        <f>IF(Planner!C$10="Nessuno",0,COUNTIFS(HolidayDates[Calendar],Planner!C$10,HolidayDates[Local date],INT(C54),HolidayDates[Active 0/1],1)+COUNTIFS(ImportedHolidays[Calendar],Planner!C$10,ImportedHolidays[Date],INT(C54),ImportedHolidays[Active],1,ImportedHolidays[Kind],"HOLIDAY"))</f>
        <v>0</v>
      </c>
      <c r="AB54" s="1">
        <f>IF(Planner!D$10="Nessuno",0,COUNTIFS(HolidayDates[Calendar],Planner!D$10,HolidayDates[Local date],INT(D54),HolidayDates[Active 0/1],1)+COUNTIFS(ImportedHolidays[Calendar],Planner!D$10,ImportedHolidays[Date],INT(D54),ImportedHolidays[Active],1,ImportedHolidays[Kind],"HOLIDAY"))</f>
        <v>0</v>
      </c>
      <c r="AC54" s="1">
        <f>IF(Planner!E$10="Nessuno",0,COUNTIFS(HolidayDates[Calendar],Planner!E$10,HolidayDates[Local date],INT(E54),HolidayDates[Active 0/1],1)+COUNTIFS(ImportedHolidays[Calendar],Planner!E$10,ImportedHolidays[Date],INT(E54),ImportedHolidays[Active],1,ImportedHolidays[Kind],"HOLIDAY"))</f>
        <v>0</v>
      </c>
      <c r="AD54" s="1">
        <f>IF(Planner!F$10="Nessuno",0,COUNTIFS(HolidayDates[Calendar],Planner!F$10,HolidayDates[Local date],INT(F54),HolidayDates[Active 0/1],1)+COUNTIFS(ImportedHolidays[Calendar],Planner!F$10,ImportedHolidays[Date],INT(F54),ImportedHolidays[Active],1,ImportedHolidays[Kind],"HOLIDAY"))</f>
        <v>0</v>
      </c>
      <c r="AE54" s="1">
        <f>IF(Planner!G$10="Nessuno",0,COUNTIFS(HolidayDates[Calendar],Planner!G$10,HolidayDates[Local date],INT(G54),HolidayDates[Active 0/1],1)+COUNTIFS(ImportedHolidays[Calendar],Planner!G$10,ImportedHolidays[Date],INT(G54),ImportedHolidays[Active],1,ImportedHolidays[Kind],"HOLIDAY"))</f>
        <v>0</v>
      </c>
      <c r="AF54" s="1">
        <f>IF(Planner!H$10="Nessuno",0,COUNTIFS(HolidayDates[Calendar],Planner!H$10,HolidayDates[Local date],INT(H54),HolidayDates[Active 0/1],1)+COUNTIFS(ImportedHolidays[Calendar],Planner!H$10,ImportedHolidays[Date],INT(H54),ImportedHolidays[Active],1,ImportedHolidays[Kind],"HOLIDAY"))</f>
        <v>0</v>
      </c>
      <c r="AG54" s="1"/>
      <c r="AH54" s="1" t="b">
        <f>INDEX(Parametri!$G12:$M12,1,WEEKDAY(INT(B54),2))=1</f>
        <v>0</v>
      </c>
      <c r="AI54" s="1" t="b">
        <f>INDEX(Parametri!$G13:$M13,1,WEEKDAY(INT(C54),2))=1</f>
        <v>0</v>
      </c>
      <c r="AJ54" s="1" t="b">
        <f>INDEX(Parametri!$G14:$M14,1,WEEKDAY(INT(D54),2))=1</f>
        <v>0</v>
      </c>
      <c r="AK54" s="1" t="b">
        <f>INDEX(Parametri!$G15:$M15,1,WEEKDAY(INT(E54),2))=1</f>
        <v>0</v>
      </c>
      <c r="AL54" s="1" t="b">
        <f>INDEX(Parametri!$G16:$M16,1,WEEKDAY(INT(F54),2))=1</f>
        <v>0</v>
      </c>
      <c r="AM54" s="1" t="b">
        <f>INDEX(Parametri!$G17:$M17,1,WEEKDAY(INT(G54),2))=1</f>
        <v>0</v>
      </c>
      <c r="AN54" s="1" t="b">
        <f>INDEX(Parametri!$G18:$M18,1,WEEKDAY(INT(H54),2))=1</f>
        <v>0</v>
      </c>
      <c r="AO54">
        <f>COUNTIFS(PersonalExceptions[Colonna],1,PersonalExceptions[Dal],"&lt;="&amp;INT(B54),PersonalExceptions[Al],"&gt;="&amp;INT(B54),PersonalExceptions[Active 0/1],1,PersonalExceptions[Effetto],"Rest")</f>
        <v>0</v>
      </c>
      <c r="AP54">
        <f>COUNTIFS(PersonalExceptions[Colonna],2,PersonalExceptions[Dal],"&lt;="&amp;INT(C54),PersonalExceptions[Al],"&gt;="&amp;INT(C54),PersonalExceptions[Active 0/1],1,PersonalExceptions[Effetto],"Rest")</f>
        <v>0</v>
      </c>
      <c r="AQ54">
        <f>COUNTIFS(PersonalExceptions[Colonna],3,PersonalExceptions[Dal],"&lt;="&amp;INT(D54),PersonalExceptions[Al],"&gt;="&amp;INT(D54),PersonalExceptions[Active 0/1],1,PersonalExceptions[Effetto],"Rest")</f>
        <v>0</v>
      </c>
      <c r="AR54">
        <f>COUNTIFS(PersonalExceptions[Colonna],4,PersonalExceptions[Dal],"&lt;="&amp;INT(E54),PersonalExceptions[Al],"&gt;="&amp;INT(E54),PersonalExceptions[Active 0/1],1,PersonalExceptions[Effetto],"Rest")</f>
        <v>0</v>
      </c>
      <c r="AS54">
        <f>COUNTIFS(PersonalExceptions[Colonna],5,PersonalExceptions[Dal],"&lt;="&amp;INT(F54),PersonalExceptions[Al],"&gt;="&amp;INT(F54),PersonalExceptions[Active 0/1],1,PersonalExceptions[Effetto],"Rest")</f>
        <v>0</v>
      </c>
      <c r="AT54">
        <f>COUNTIFS(PersonalExceptions[Colonna],6,PersonalExceptions[Dal],"&lt;="&amp;INT(G54),PersonalExceptions[Al],"&gt;="&amp;INT(G54),PersonalExceptions[Active 0/1],1,PersonalExceptions[Effetto],"Rest")</f>
        <v>0</v>
      </c>
      <c r="AU54">
        <f>COUNTIFS(PersonalExceptions[Colonna],7,PersonalExceptions[Dal],"&lt;="&amp;INT(H54),PersonalExceptions[Al],"&gt;="&amp;INT(H54),PersonalExceptions[Active 0/1],1,PersonalExceptions[Effetto],"Rest")</f>
        <v>0</v>
      </c>
      <c r="AW54">
        <f>COUNTIFS(PersonalExceptions[Colonna],1,PersonalExceptions[Dal],"&lt;="&amp;INT(B54),PersonalExceptions[Al],"&gt;="&amp;INT(B54),PersonalExceptions[Active 0/1],1,PersonalExceptions[Effetto],"Activity")</f>
        <v>0</v>
      </c>
      <c r="AX54">
        <f>COUNTIFS(PersonalExceptions[Colonna],2,PersonalExceptions[Dal],"&lt;="&amp;INT(C54),PersonalExceptions[Al],"&gt;="&amp;INT(C54),PersonalExceptions[Active 0/1],1,PersonalExceptions[Effetto],"Activity")</f>
        <v>0</v>
      </c>
      <c r="AY54">
        <f>COUNTIFS(PersonalExceptions[Colonna],3,PersonalExceptions[Dal],"&lt;="&amp;INT(D54),PersonalExceptions[Al],"&gt;="&amp;INT(D54),PersonalExceptions[Active 0/1],1,PersonalExceptions[Effetto],"Activity")</f>
        <v>0</v>
      </c>
      <c r="AZ54">
        <f>COUNTIFS(PersonalExceptions[Colonna],4,PersonalExceptions[Dal],"&lt;="&amp;INT(E54),PersonalExceptions[Al],"&gt;="&amp;INT(E54),PersonalExceptions[Active 0/1],1,PersonalExceptions[Effetto],"Activity")</f>
        <v>0</v>
      </c>
      <c r="BA54">
        <f>COUNTIFS(PersonalExceptions[Colonna],5,PersonalExceptions[Dal],"&lt;="&amp;INT(F54),PersonalExceptions[Al],"&gt;="&amp;INT(F54),PersonalExceptions[Active 0/1],1,PersonalExceptions[Effetto],"Activity")</f>
        <v>0</v>
      </c>
      <c r="BB54">
        <f>COUNTIFS(PersonalExceptions[Colonna],6,PersonalExceptions[Dal],"&lt;="&amp;INT(G54),PersonalExceptions[Al],"&gt;="&amp;INT(G54),PersonalExceptions[Active 0/1],1,PersonalExceptions[Effetto],"Activity")</f>
        <v>0</v>
      </c>
      <c r="BC54">
        <f>COUNTIFS(PersonalExceptions[Colonna],7,PersonalExceptions[Dal],"&lt;="&amp;INT(H54),PersonalExceptions[Al],"&gt;="&amp;INT(H54),PersonalExceptions[Active 0/1],1,PersonalExceptions[Effetto],"Activity")</f>
        <v>0</v>
      </c>
      <c r="BE54">
        <f>IF(Planner!B$10="Nessuno",0,COUNTIFS(ImportedHolidays[Calendar],Planner!B$10,ImportedHolidays[Date],INT(B54),ImportedHolidays[Active],1,ImportedHolidays[Kind],"WORKDAY"))</f>
        <v>0</v>
      </c>
      <c r="BF54">
        <f>IF(Planner!C$10="Nessuno",0,COUNTIFS(ImportedHolidays[Calendar],Planner!C$10,ImportedHolidays[Date],INT(C54),ImportedHolidays[Active],1,ImportedHolidays[Kind],"WORKDAY"))</f>
        <v>0</v>
      </c>
      <c r="BG54">
        <f>IF(Planner!D$10="Nessuno",0,COUNTIFS(ImportedHolidays[Calendar],Planner!D$10,ImportedHolidays[Date],INT(D54),ImportedHolidays[Active],1,ImportedHolidays[Kind],"WORKDAY"))</f>
        <v>0</v>
      </c>
      <c r="BH54">
        <f>IF(Planner!E$10="Nessuno",0,COUNTIFS(ImportedHolidays[Calendar],Planner!E$10,ImportedHolidays[Date],INT(E54),ImportedHolidays[Active],1,ImportedHolidays[Kind],"WORKDAY"))</f>
        <v>0</v>
      </c>
      <c r="BI54">
        <f>IF(Planner!F$10="Nessuno",0,COUNTIFS(ImportedHolidays[Calendar],Planner!F$10,ImportedHolidays[Date],INT(F54),ImportedHolidays[Active],1,ImportedHolidays[Kind],"WORKDAY"))</f>
        <v>0</v>
      </c>
      <c r="BJ54">
        <f>IF(Planner!G$10="Nessuno",0,COUNTIFS(ImportedHolidays[Calendar],Planner!G$10,ImportedHolidays[Date],INT(G54),ImportedHolidays[Active],1,ImportedHolidays[Kind],"WORKDAY"))</f>
        <v>0</v>
      </c>
      <c r="BK54">
        <f>IF(Planner!H$10="Nessuno",0,COUNTIFS(ImportedHolidays[Calendar],Planner!H$10,ImportedHolidays[Date],INT(H54),ImportedHolidays[Active],1,ImportedHolidays[Kind],"WORKDAY"))</f>
        <v>0</v>
      </c>
      <c r="BM54">
        <f>IF(MOD(J54-B$11,1440)&lt;B$12,2,IF(OR(MOD(J54-B$11,1440)&lt;B$12+ROUND(Planner!$D$5*60,0),MOD(J54-B$11,1440)&gt;=1440-ROUND(Planner!$B$5*60,0)),1,0))</f>
        <v>2</v>
      </c>
      <c r="BN54">
        <f>IF(MOD(K54-C$11,1440)&lt;C$12,2,IF(OR(MOD(K54-C$11,1440)&lt;C$12+ROUND(Planner!$D$5*60,0),MOD(K54-C$11,1440)&gt;=1440-ROUND(Planner!$B$5*60,0)),1,0))</f>
        <v>0</v>
      </c>
      <c r="BO54">
        <f>IF(MOD(L54-D$11,1440)&lt;D$12,2,IF(OR(MOD(L54-D$11,1440)&lt;D$12+ROUND(Planner!$D$5*60,0),MOD(L54-D$11,1440)&gt;=1440-ROUND(Planner!$B$5*60,0)),1,0))</f>
        <v>0</v>
      </c>
      <c r="BP54">
        <f>IF(MOD(M54-E$11,1440)&lt;E$12,2,IF(OR(MOD(M54-E$11,1440)&lt;E$12+ROUND(Planner!$D$5*60,0),MOD(M54-E$11,1440)&gt;=1440-ROUND(Planner!$B$5*60,0)),1,0))</f>
        <v>0</v>
      </c>
      <c r="BQ54">
        <f>IF(MOD(N54-F$11,1440)&lt;F$12,2,IF(OR(MOD(N54-F$11,1440)&lt;F$12+ROUND(Planner!$D$5*60,0),MOD(N54-F$11,1440)&gt;=1440-ROUND(Planner!$B$5*60,0)),1,0))</f>
        <v>0</v>
      </c>
      <c r="BR54">
        <f>IF(MOD(O54-G$11,1440)&lt;G$12,2,IF(OR(MOD(O54-G$11,1440)&lt;G$12+ROUND(Planner!$D$5*60,0),MOD(O54-G$11,1440)&gt;=1440-ROUND(Planner!$B$5*60,0)),1,0))</f>
        <v>1</v>
      </c>
      <c r="BS54">
        <f>IF(MOD(P54-H$11,1440)&lt;H$12,2,IF(OR(MOD(P54-H$11,1440)&lt;H$12+ROUND(Planner!$D$5*60,0),MOD(P54-H$11,1440)&gt;=1440-ROUND(Planner!$B$5*60,0)),1,0))</f>
        <v>2</v>
      </c>
    </row>
    <row r="55" spans="1:71">
      <c r="A55" s="22">
        <f>ROUND(($B$6+14*Planner!$F$4/1440)*1440,0)/1440</f>
        <v>46289</v>
      </c>
      <c r="B55" s="22">
        <f>IF(COUNTIFS(ZonePeriods[Code],Planner!B$9,ZonePeriods[FromUtc],"&lt;="&amp;$A55,ZonePeriods[UntilUtc],"&gt;"&amp;$A55)=1,ROUND(($A55+SUMIFS(ZonePeriods[OffsetHours],ZonePeriods[Code],Planner!B$9,ZonePeriods[FromUtc],"&lt;="&amp;$A55,ZonePeriods[UntilUtc],"&gt;"&amp;$A55)/24)*1440,0)/1440,NA())</f>
        <v>46289.291666666664</v>
      </c>
      <c r="C55" s="22">
        <f>IF(COUNTIFS(ZonePeriods[Code],Planner!C$9,ZonePeriods[FromUtc],"&lt;="&amp;$A55,ZonePeriods[UntilUtc],"&gt;"&amp;$A55)=1,ROUND(($A55+SUMIFS(ZonePeriods[OffsetHours],ZonePeriods[Code],Planner!C$9,ZonePeriods[FromUtc],"&lt;="&amp;$A55,ZonePeriods[UntilUtc],"&gt;"&amp;$A55)/24)*1440,0)/1440,NA())</f>
        <v>46289.229166666664</v>
      </c>
      <c r="D55" s="22">
        <f>IF(COUNTIFS(ZonePeriods[Code],Planner!D$9,ZonePeriods[FromUtc],"&lt;="&amp;$A55,ZonePeriods[UntilUtc],"&gt;"&amp;$A55)=1,ROUND(($A55+SUMIFS(ZonePeriods[OffsetHours],ZonePeriods[Code],Planner!D$9,ZonePeriods[FromUtc],"&lt;="&amp;$A55,ZonePeriods[UntilUtc],"&gt;"&amp;$A55)/24)*1440,0)/1440,NA())</f>
        <v>46289.125</v>
      </c>
      <c r="E55" s="22">
        <f>IF(COUNTIFS(ZonePeriods[Code],Planner!E$9,ZonePeriods[FromUtc],"&lt;="&amp;$A55,ZonePeriods[UntilUtc],"&gt;"&amp;$A55)=1,ROUND(($A55+SUMIFS(ZonePeriods[OffsetHours],ZonePeriods[Code],Planner!E$9,ZonePeriods[FromUtc],"&lt;="&amp;$A55,ZonePeriods[UntilUtc],"&gt;"&amp;$A55)/24)*1440,0)/1440,NA())</f>
        <v>46289.083333333336</v>
      </c>
      <c r="F55" s="22">
        <f>IF(COUNTIFS(ZonePeriods[Code],Planner!F$9,ZonePeriods[FromUtc],"&lt;="&amp;$A55,ZonePeriods[UntilUtc],"&gt;"&amp;$A55)=1,ROUND(($A55+SUMIFS(ZonePeriods[OffsetHours],ZonePeriods[Code],Planner!F$9,ZonePeriods[FromUtc],"&lt;="&amp;$A55,ZonePeriods[UntilUtc],"&gt;"&amp;$A55)/24)*1440,0)/1440,NA())</f>
        <v>46289.041666666664</v>
      </c>
      <c r="G55" s="22">
        <f>IF(COUNTIFS(ZonePeriods[Code],Planner!G$9,ZonePeriods[FromUtc],"&lt;="&amp;$A55,ZonePeriods[UntilUtc],"&gt;"&amp;$A55)=1,ROUND(($A55+SUMIFS(ZonePeriods[OffsetHours],ZonePeriods[Code],Planner!G$9,ZonePeriods[FromUtc],"&lt;="&amp;$A55,ZonePeriods[UntilUtc],"&gt;"&amp;$A55)/24)*1440,0)/1440,NA())</f>
        <v>46288.833333333336</v>
      </c>
      <c r="H55" s="22">
        <f>IF(COUNTIFS(ZonePeriods[Code],Planner!H$9,ZonePeriods[FromUtc],"&lt;="&amp;$A55,ZonePeriods[UntilUtc],"&gt;"&amp;$A55)=1,ROUND(($A55+SUMIFS(ZonePeriods[OffsetHours],ZonePeriods[Code],Planner!H$9,ZonePeriods[FromUtc],"&lt;="&amp;$A55,ZonePeriods[UntilUtc],"&gt;"&amp;$A55)/24)*1440,0)/1440,NA())</f>
        <v>46288.708333333336</v>
      </c>
      <c r="I55" s="1"/>
      <c r="J55" s="1">
        <f t="shared" si="14"/>
        <v>420</v>
      </c>
      <c r="K55" s="1">
        <f t="shared" si="15"/>
        <v>330</v>
      </c>
      <c r="L55" s="1">
        <f t="shared" si="16"/>
        <v>180</v>
      </c>
      <c r="M55" s="1">
        <f t="shared" si="17"/>
        <v>120</v>
      </c>
      <c r="N55" s="1">
        <f t="shared" si="18"/>
        <v>60</v>
      </c>
      <c r="O55" s="1">
        <f t="shared" si="19"/>
        <v>1200</v>
      </c>
      <c r="P55" s="1">
        <f t="shared" si="20"/>
        <v>1020</v>
      </c>
      <c r="Q55" s="1"/>
      <c r="R55" s="1">
        <f t="shared" si="21"/>
        <v>2</v>
      </c>
      <c r="S55" s="1">
        <f t="shared" si="22"/>
        <v>0</v>
      </c>
      <c r="T55" s="1">
        <f t="shared" si="23"/>
        <v>0</v>
      </c>
      <c r="U55" s="1">
        <f t="shared" si="24"/>
        <v>0</v>
      </c>
      <c r="V55" s="1">
        <f t="shared" si="25"/>
        <v>0</v>
      </c>
      <c r="W55" s="1">
        <f t="shared" si="26"/>
        <v>0</v>
      </c>
      <c r="X55" s="1">
        <f t="shared" si="27"/>
        <v>2</v>
      </c>
      <c r="Y55" s="1"/>
      <c r="Z55" s="1">
        <f>IF(Planner!B$10="Nessuno",0,COUNTIFS(HolidayDates[Calendar],Planner!B$10,HolidayDates[Local date],INT(B55),HolidayDates[Active 0/1],1)+COUNTIFS(ImportedHolidays[Calendar],Planner!B$10,ImportedHolidays[Date],INT(B55),ImportedHolidays[Active],1,ImportedHolidays[Kind],"HOLIDAY"))</f>
        <v>0</v>
      </c>
      <c r="AA55" s="1">
        <f>IF(Planner!C$10="Nessuno",0,COUNTIFS(HolidayDates[Calendar],Planner!C$10,HolidayDates[Local date],INT(C55),HolidayDates[Active 0/1],1)+COUNTIFS(ImportedHolidays[Calendar],Planner!C$10,ImportedHolidays[Date],INT(C55),ImportedHolidays[Active],1,ImportedHolidays[Kind],"HOLIDAY"))</f>
        <v>0</v>
      </c>
      <c r="AB55" s="1">
        <f>IF(Planner!D$10="Nessuno",0,COUNTIFS(HolidayDates[Calendar],Planner!D$10,HolidayDates[Local date],INT(D55),HolidayDates[Active 0/1],1)+COUNTIFS(ImportedHolidays[Calendar],Planner!D$10,ImportedHolidays[Date],INT(D55),ImportedHolidays[Active],1,ImportedHolidays[Kind],"HOLIDAY"))</f>
        <v>0</v>
      </c>
      <c r="AC55" s="1">
        <f>IF(Planner!E$10="Nessuno",0,COUNTIFS(HolidayDates[Calendar],Planner!E$10,HolidayDates[Local date],INT(E55),HolidayDates[Active 0/1],1)+COUNTIFS(ImportedHolidays[Calendar],Planner!E$10,ImportedHolidays[Date],INT(E55),ImportedHolidays[Active],1,ImportedHolidays[Kind],"HOLIDAY"))</f>
        <v>0</v>
      </c>
      <c r="AD55" s="1">
        <f>IF(Planner!F$10="Nessuno",0,COUNTIFS(HolidayDates[Calendar],Planner!F$10,HolidayDates[Local date],INT(F55),HolidayDates[Active 0/1],1)+COUNTIFS(ImportedHolidays[Calendar],Planner!F$10,ImportedHolidays[Date],INT(F55),ImportedHolidays[Active],1,ImportedHolidays[Kind],"HOLIDAY"))</f>
        <v>0</v>
      </c>
      <c r="AE55" s="1">
        <f>IF(Planner!G$10="Nessuno",0,COUNTIFS(HolidayDates[Calendar],Planner!G$10,HolidayDates[Local date],INT(G55),HolidayDates[Active 0/1],1)+COUNTIFS(ImportedHolidays[Calendar],Planner!G$10,ImportedHolidays[Date],INT(G55),ImportedHolidays[Active],1,ImportedHolidays[Kind],"HOLIDAY"))</f>
        <v>0</v>
      </c>
      <c r="AF55" s="1">
        <f>IF(Planner!H$10="Nessuno",0,COUNTIFS(HolidayDates[Calendar],Planner!H$10,HolidayDates[Local date],INT(H55),HolidayDates[Active 0/1],1)+COUNTIFS(ImportedHolidays[Calendar],Planner!H$10,ImportedHolidays[Date],INT(H55),ImportedHolidays[Active],1,ImportedHolidays[Kind],"HOLIDAY"))</f>
        <v>0</v>
      </c>
      <c r="AG55" s="1"/>
      <c r="AH55" s="1" t="b">
        <f>INDEX(Parametri!$G12:$M12,1,WEEKDAY(INT(B55),2))=1</f>
        <v>0</v>
      </c>
      <c r="AI55" s="1" t="b">
        <f>INDEX(Parametri!$G13:$M13,1,WEEKDAY(INT(C55),2))=1</f>
        <v>0</v>
      </c>
      <c r="AJ55" s="1" t="b">
        <f>INDEX(Parametri!$G14:$M14,1,WEEKDAY(INT(D55),2))=1</f>
        <v>0</v>
      </c>
      <c r="AK55" s="1" t="b">
        <f>INDEX(Parametri!$G15:$M15,1,WEEKDAY(INT(E55),2))=1</f>
        <v>0</v>
      </c>
      <c r="AL55" s="1" t="b">
        <f>INDEX(Parametri!$G16:$M16,1,WEEKDAY(INT(F55),2))=1</f>
        <v>0</v>
      </c>
      <c r="AM55" s="1" t="b">
        <f>INDEX(Parametri!$G17:$M17,1,WEEKDAY(INT(G55),2))=1</f>
        <v>0</v>
      </c>
      <c r="AN55" s="1" t="b">
        <f>INDEX(Parametri!$G18:$M18,1,WEEKDAY(INT(H55),2))=1</f>
        <v>0</v>
      </c>
      <c r="AO55">
        <f>COUNTIFS(PersonalExceptions[Colonna],1,PersonalExceptions[Dal],"&lt;="&amp;INT(B55),PersonalExceptions[Al],"&gt;="&amp;INT(B55),PersonalExceptions[Active 0/1],1,PersonalExceptions[Effetto],"Rest")</f>
        <v>0</v>
      </c>
      <c r="AP55">
        <f>COUNTIFS(PersonalExceptions[Colonna],2,PersonalExceptions[Dal],"&lt;="&amp;INT(C55),PersonalExceptions[Al],"&gt;="&amp;INT(C55),PersonalExceptions[Active 0/1],1,PersonalExceptions[Effetto],"Rest")</f>
        <v>0</v>
      </c>
      <c r="AQ55">
        <f>COUNTIFS(PersonalExceptions[Colonna],3,PersonalExceptions[Dal],"&lt;="&amp;INT(D55),PersonalExceptions[Al],"&gt;="&amp;INT(D55),PersonalExceptions[Active 0/1],1,PersonalExceptions[Effetto],"Rest")</f>
        <v>0</v>
      </c>
      <c r="AR55">
        <f>COUNTIFS(PersonalExceptions[Colonna],4,PersonalExceptions[Dal],"&lt;="&amp;INT(E55),PersonalExceptions[Al],"&gt;="&amp;INT(E55),PersonalExceptions[Active 0/1],1,PersonalExceptions[Effetto],"Rest")</f>
        <v>0</v>
      </c>
      <c r="AS55">
        <f>COUNTIFS(PersonalExceptions[Colonna],5,PersonalExceptions[Dal],"&lt;="&amp;INT(F55),PersonalExceptions[Al],"&gt;="&amp;INT(F55),PersonalExceptions[Active 0/1],1,PersonalExceptions[Effetto],"Rest")</f>
        <v>0</v>
      </c>
      <c r="AT55">
        <f>COUNTIFS(PersonalExceptions[Colonna],6,PersonalExceptions[Dal],"&lt;="&amp;INT(G55),PersonalExceptions[Al],"&gt;="&amp;INT(G55),PersonalExceptions[Active 0/1],1,PersonalExceptions[Effetto],"Rest")</f>
        <v>0</v>
      </c>
      <c r="AU55">
        <f>COUNTIFS(PersonalExceptions[Colonna],7,PersonalExceptions[Dal],"&lt;="&amp;INT(H55),PersonalExceptions[Al],"&gt;="&amp;INT(H55),PersonalExceptions[Active 0/1],1,PersonalExceptions[Effetto],"Rest")</f>
        <v>0</v>
      </c>
      <c r="AW55">
        <f>COUNTIFS(PersonalExceptions[Colonna],1,PersonalExceptions[Dal],"&lt;="&amp;INT(B55),PersonalExceptions[Al],"&gt;="&amp;INT(B55),PersonalExceptions[Active 0/1],1,PersonalExceptions[Effetto],"Activity")</f>
        <v>0</v>
      </c>
      <c r="AX55">
        <f>COUNTIFS(PersonalExceptions[Colonna],2,PersonalExceptions[Dal],"&lt;="&amp;INT(C55),PersonalExceptions[Al],"&gt;="&amp;INT(C55),PersonalExceptions[Active 0/1],1,PersonalExceptions[Effetto],"Activity")</f>
        <v>0</v>
      </c>
      <c r="AY55">
        <f>COUNTIFS(PersonalExceptions[Colonna],3,PersonalExceptions[Dal],"&lt;="&amp;INT(D55),PersonalExceptions[Al],"&gt;="&amp;INT(D55),PersonalExceptions[Active 0/1],1,PersonalExceptions[Effetto],"Activity")</f>
        <v>0</v>
      </c>
      <c r="AZ55">
        <f>COUNTIFS(PersonalExceptions[Colonna],4,PersonalExceptions[Dal],"&lt;="&amp;INT(E55),PersonalExceptions[Al],"&gt;="&amp;INT(E55),PersonalExceptions[Active 0/1],1,PersonalExceptions[Effetto],"Activity")</f>
        <v>0</v>
      </c>
      <c r="BA55">
        <f>COUNTIFS(PersonalExceptions[Colonna],5,PersonalExceptions[Dal],"&lt;="&amp;INT(F55),PersonalExceptions[Al],"&gt;="&amp;INT(F55),PersonalExceptions[Active 0/1],1,PersonalExceptions[Effetto],"Activity")</f>
        <v>0</v>
      </c>
      <c r="BB55">
        <f>COUNTIFS(PersonalExceptions[Colonna],6,PersonalExceptions[Dal],"&lt;="&amp;INT(G55),PersonalExceptions[Al],"&gt;="&amp;INT(G55),PersonalExceptions[Active 0/1],1,PersonalExceptions[Effetto],"Activity")</f>
        <v>0</v>
      </c>
      <c r="BC55">
        <f>COUNTIFS(PersonalExceptions[Colonna],7,PersonalExceptions[Dal],"&lt;="&amp;INT(H55),PersonalExceptions[Al],"&gt;="&amp;INT(H55),PersonalExceptions[Active 0/1],1,PersonalExceptions[Effetto],"Activity")</f>
        <v>0</v>
      </c>
      <c r="BE55">
        <f>IF(Planner!B$10="Nessuno",0,COUNTIFS(ImportedHolidays[Calendar],Planner!B$10,ImportedHolidays[Date],INT(B55),ImportedHolidays[Active],1,ImportedHolidays[Kind],"WORKDAY"))</f>
        <v>0</v>
      </c>
      <c r="BF55">
        <f>IF(Planner!C$10="Nessuno",0,COUNTIFS(ImportedHolidays[Calendar],Planner!C$10,ImportedHolidays[Date],INT(C55),ImportedHolidays[Active],1,ImportedHolidays[Kind],"WORKDAY"))</f>
        <v>0</v>
      </c>
      <c r="BG55">
        <f>IF(Planner!D$10="Nessuno",0,COUNTIFS(ImportedHolidays[Calendar],Planner!D$10,ImportedHolidays[Date],INT(D55),ImportedHolidays[Active],1,ImportedHolidays[Kind],"WORKDAY"))</f>
        <v>0</v>
      </c>
      <c r="BH55">
        <f>IF(Planner!E$10="Nessuno",0,COUNTIFS(ImportedHolidays[Calendar],Planner!E$10,ImportedHolidays[Date],INT(E55),ImportedHolidays[Active],1,ImportedHolidays[Kind],"WORKDAY"))</f>
        <v>0</v>
      </c>
      <c r="BI55">
        <f>IF(Planner!F$10="Nessuno",0,COUNTIFS(ImportedHolidays[Calendar],Planner!F$10,ImportedHolidays[Date],INT(F55),ImportedHolidays[Active],1,ImportedHolidays[Kind],"WORKDAY"))</f>
        <v>0</v>
      </c>
      <c r="BJ55">
        <f>IF(Planner!G$10="Nessuno",0,COUNTIFS(ImportedHolidays[Calendar],Planner!G$10,ImportedHolidays[Date],INT(G55),ImportedHolidays[Active],1,ImportedHolidays[Kind],"WORKDAY"))</f>
        <v>0</v>
      </c>
      <c r="BK55">
        <f>IF(Planner!H$10="Nessuno",0,COUNTIFS(ImportedHolidays[Calendar],Planner!H$10,ImportedHolidays[Date],INT(H55),ImportedHolidays[Active],1,ImportedHolidays[Kind],"WORKDAY"))</f>
        <v>0</v>
      </c>
      <c r="BM55">
        <f>IF(MOD(J55-B$11,1440)&lt;B$12,2,IF(OR(MOD(J55-B$11,1440)&lt;B$12+ROUND(Planner!$D$5*60,0),MOD(J55-B$11,1440)&gt;=1440-ROUND(Planner!$B$5*60,0)),1,0))</f>
        <v>2</v>
      </c>
      <c r="BN55">
        <f>IF(MOD(K55-C$11,1440)&lt;C$12,2,IF(OR(MOD(K55-C$11,1440)&lt;C$12+ROUND(Planner!$D$5*60,0),MOD(K55-C$11,1440)&gt;=1440-ROUND(Planner!$B$5*60,0)),1,0))</f>
        <v>0</v>
      </c>
      <c r="BO55">
        <f>IF(MOD(L55-D$11,1440)&lt;D$12,2,IF(OR(MOD(L55-D$11,1440)&lt;D$12+ROUND(Planner!$D$5*60,0),MOD(L55-D$11,1440)&gt;=1440-ROUND(Planner!$B$5*60,0)),1,0))</f>
        <v>0</v>
      </c>
      <c r="BP55">
        <f>IF(MOD(M55-E$11,1440)&lt;E$12,2,IF(OR(MOD(M55-E$11,1440)&lt;E$12+ROUND(Planner!$D$5*60,0),MOD(M55-E$11,1440)&gt;=1440-ROUND(Planner!$B$5*60,0)),1,0))</f>
        <v>0</v>
      </c>
      <c r="BQ55">
        <f>IF(MOD(N55-F$11,1440)&lt;F$12,2,IF(OR(MOD(N55-F$11,1440)&lt;F$12+ROUND(Planner!$D$5*60,0),MOD(N55-F$11,1440)&gt;=1440-ROUND(Planner!$B$5*60,0)),1,0))</f>
        <v>0</v>
      </c>
      <c r="BR55">
        <f>IF(MOD(O55-G$11,1440)&lt;G$12,2,IF(OR(MOD(O55-G$11,1440)&lt;G$12+ROUND(Planner!$D$5*60,0),MOD(O55-G$11,1440)&gt;=1440-ROUND(Planner!$B$5*60,0)),1,0))</f>
        <v>0</v>
      </c>
      <c r="BS55">
        <f>IF(MOD(P55-H$11,1440)&lt;H$12,2,IF(OR(MOD(P55-H$11,1440)&lt;H$12+ROUND(Planner!$D$5*60,0),MOD(P55-H$11,1440)&gt;=1440-ROUND(Planner!$B$5*60,0)),1,0))</f>
        <v>2</v>
      </c>
    </row>
    <row r="56" spans="1:71">
      <c r="A56" s="22">
        <f>ROUND(($B$6+15*Planner!$F$4/1440)*1440,0)/1440</f>
        <v>46289.020833333336</v>
      </c>
      <c r="B56" s="22">
        <f>IF(COUNTIFS(ZonePeriods[Code],Planner!B$9,ZonePeriods[FromUtc],"&lt;="&amp;$A56,ZonePeriods[UntilUtc],"&gt;"&amp;$A56)=1,ROUND(($A56+SUMIFS(ZonePeriods[OffsetHours],ZonePeriods[Code],Planner!B$9,ZonePeriods[FromUtc],"&lt;="&amp;$A56,ZonePeriods[UntilUtc],"&gt;"&amp;$A56)/24)*1440,0)/1440,NA())</f>
        <v>46289.3125</v>
      </c>
      <c r="C56" s="22">
        <f>IF(COUNTIFS(ZonePeriods[Code],Planner!C$9,ZonePeriods[FromUtc],"&lt;="&amp;$A56,ZonePeriods[UntilUtc],"&gt;"&amp;$A56)=1,ROUND(($A56+SUMIFS(ZonePeriods[OffsetHours],ZonePeriods[Code],Planner!C$9,ZonePeriods[FromUtc],"&lt;="&amp;$A56,ZonePeriods[UntilUtc],"&gt;"&amp;$A56)/24)*1440,0)/1440,NA())</f>
        <v>46289.25</v>
      </c>
      <c r="D56" s="22">
        <f>IF(COUNTIFS(ZonePeriods[Code],Planner!D$9,ZonePeriods[FromUtc],"&lt;="&amp;$A56,ZonePeriods[UntilUtc],"&gt;"&amp;$A56)=1,ROUND(($A56+SUMIFS(ZonePeriods[OffsetHours],ZonePeriods[Code],Planner!D$9,ZonePeriods[FromUtc],"&lt;="&amp;$A56,ZonePeriods[UntilUtc],"&gt;"&amp;$A56)/24)*1440,0)/1440,NA())</f>
        <v>46289.145833333336</v>
      </c>
      <c r="E56" s="22">
        <f>IF(COUNTIFS(ZonePeriods[Code],Planner!E$9,ZonePeriods[FromUtc],"&lt;="&amp;$A56,ZonePeriods[UntilUtc],"&gt;"&amp;$A56)=1,ROUND(($A56+SUMIFS(ZonePeriods[OffsetHours],ZonePeriods[Code],Planner!E$9,ZonePeriods[FromUtc],"&lt;="&amp;$A56,ZonePeriods[UntilUtc],"&gt;"&amp;$A56)/24)*1440,0)/1440,NA())</f>
        <v>46289.104166666664</v>
      </c>
      <c r="F56" s="22">
        <f>IF(COUNTIFS(ZonePeriods[Code],Planner!F$9,ZonePeriods[FromUtc],"&lt;="&amp;$A56,ZonePeriods[UntilUtc],"&gt;"&amp;$A56)=1,ROUND(($A56+SUMIFS(ZonePeriods[OffsetHours],ZonePeriods[Code],Planner!F$9,ZonePeriods[FromUtc],"&lt;="&amp;$A56,ZonePeriods[UntilUtc],"&gt;"&amp;$A56)/24)*1440,0)/1440,NA())</f>
        <v>46289.0625</v>
      </c>
      <c r="G56" s="22">
        <f>IF(COUNTIFS(ZonePeriods[Code],Planner!G$9,ZonePeriods[FromUtc],"&lt;="&amp;$A56,ZonePeriods[UntilUtc],"&gt;"&amp;$A56)=1,ROUND(($A56+SUMIFS(ZonePeriods[OffsetHours],ZonePeriods[Code],Planner!G$9,ZonePeriods[FromUtc],"&lt;="&amp;$A56,ZonePeriods[UntilUtc],"&gt;"&amp;$A56)/24)*1440,0)/1440,NA())</f>
        <v>46288.854166666664</v>
      </c>
      <c r="H56" s="22">
        <f>IF(COUNTIFS(ZonePeriods[Code],Planner!H$9,ZonePeriods[FromUtc],"&lt;="&amp;$A56,ZonePeriods[UntilUtc],"&gt;"&amp;$A56)=1,ROUND(($A56+SUMIFS(ZonePeriods[OffsetHours],ZonePeriods[Code],Planner!H$9,ZonePeriods[FromUtc],"&lt;="&amp;$A56,ZonePeriods[UntilUtc],"&gt;"&amp;$A56)/24)*1440,0)/1440,NA())</f>
        <v>46288.729166666664</v>
      </c>
      <c r="I56" s="1"/>
      <c r="J56" s="1">
        <f t="shared" si="14"/>
        <v>450</v>
      </c>
      <c r="K56" s="1">
        <f t="shared" si="15"/>
        <v>360</v>
      </c>
      <c r="L56" s="1">
        <f t="shared" si="16"/>
        <v>210</v>
      </c>
      <c r="M56" s="1">
        <f t="shared" si="17"/>
        <v>150</v>
      </c>
      <c r="N56" s="1">
        <f t="shared" si="18"/>
        <v>90</v>
      </c>
      <c r="O56" s="1">
        <f t="shared" si="19"/>
        <v>1230</v>
      </c>
      <c r="P56" s="1">
        <f t="shared" si="20"/>
        <v>1050</v>
      </c>
      <c r="Q56" s="1"/>
      <c r="R56" s="1">
        <f t="shared" si="21"/>
        <v>2</v>
      </c>
      <c r="S56" s="1">
        <f t="shared" si="22"/>
        <v>0</v>
      </c>
      <c r="T56" s="1">
        <f t="shared" si="23"/>
        <v>0</v>
      </c>
      <c r="U56" s="1">
        <f t="shared" si="24"/>
        <v>0</v>
      </c>
      <c r="V56" s="1">
        <f t="shared" si="25"/>
        <v>0</v>
      </c>
      <c r="W56" s="1">
        <f t="shared" si="26"/>
        <v>0</v>
      </c>
      <c r="X56" s="1">
        <f t="shared" si="27"/>
        <v>2</v>
      </c>
      <c r="Y56" s="1"/>
      <c r="Z56" s="1">
        <f>IF(Planner!B$10="Nessuno",0,COUNTIFS(HolidayDates[Calendar],Planner!B$10,HolidayDates[Local date],INT(B56),HolidayDates[Active 0/1],1)+COUNTIFS(ImportedHolidays[Calendar],Planner!B$10,ImportedHolidays[Date],INT(B56),ImportedHolidays[Active],1,ImportedHolidays[Kind],"HOLIDAY"))</f>
        <v>0</v>
      </c>
      <c r="AA56" s="1">
        <f>IF(Planner!C$10="Nessuno",0,COUNTIFS(HolidayDates[Calendar],Planner!C$10,HolidayDates[Local date],INT(C56),HolidayDates[Active 0/1],1)+COUNTIFS(ImportedHolidays[Calendar],Planner!C$10,ImportedHolidays[Date],INT(C56),ImportedHolidays[Active],1,ImportedHolidays[Kind],"HOLIDAY"))</f>
        <v>0</v>
      </c>
      <c r="AB56" s="1">
        <f>IF(Planner!D$10="Nessuno",0,COUNTIFS(HolidayDates[Calendar],Planner!D$10,HolidayDates[Local date],INT(D56),HolidayDates[Active 0/1],1)+COUNTIFS(ImportedHolidays[Calendar],Planner!D$10,ImportedHolidays[Date],INT(D56),ImportedHolidays[Active],1,ImportedHolidays[Kind],"HOLIDAY"))</f>
        <v>0</v>
      </c>
      <c r="AC56" s="1">
        <f>IF(Planner!E$10="Nessuno",0,COUNTIFS(HolidayDates[Calendar],Planner!E$10,HolidayDates[Local date],INT(E56),HolidayDates[Active 0/1],1)+COUNTIFS(ImportedHolidays[Calendar],Planner!E$10,ImportedHolidays[Date],INT(E56),ImportedHolidays[Active],1,ImportedHolidays[Kind],"HOLIDAY"))</f>
        <v>0</v>
      </c>
      <c r="AD56" s="1">
        <f>IF(Planner!F$10="Nessuno",0,COUNTIFS(HolidayDates[Calendar],Planner!F$10,HolidayDates[Local date],INT(F56),HolidayDates[Active 0/1],1)+COUNTIFS(ImportedHolidays[Calendar],Planner!F$10,ImportedHolidays[Date],INT(F56),ImportedHolidays[Active],1,ImportedHolidays[Kind],"HOLIDAY"))</f>
        <v>0</v>
      </c>
      <c r="AE56" s="1">
        <f>IF(Planner!G$10="Nessuno",0,COUNTIFS(HolidayDates[Calendar],Planner!G$10,HolidayDates[Local date],INT(G56),HolidayDates[Active 0/1],1)+COUNTIFS(ImportedHolidays[Calendar],Planner!G$10,ImportedHolidays[Date],INT(G56),ImportedHolidays[Active],1,ImportedHolidays[Kind],"HOLIDAY"))</f>
        <v>0</v>
      </c>
      <c r="AF56" s="1">
        <f>IF(Planner!H$10="Nessuno",0,COUNTIFS(HolidayDates[Calendar],Planner!H$10,HolidayDates[Local date],INT(H56),HolidayDates[Active 0/1],1)+COUNTIFS(ImportedHolidays[Calendar],Planner!H$10,ImportedHolidays[Date],INT(H56),ImportedHolidays[Active],1,ImportedHolidays[Kind],"HOLIDAY"))</f>
        <v>0</v>
      </c>
      <c r="AG56" s="1"/>
      <c r="AH56" s="1" t="b">
        <f>INDEX(Parametri!$G12:$M12,1,WEEKDAY(INT(B56),2))=1</f>
        <v>0</v>
      </c>
      <c r="AI56" s="1" t="b">
        <f>INDEX(Parametri!$G13:$M13,1,WEEKDAY(INT(C56),2))=1</f>
        <v>0</v>
      </c>
      <c r="AJ56" s="1" t="b">
        <f>INDEX(Parametri!$G14:$M14,1,WEEKDAY(INT(D56),2))=1</f>
        <v>0</v>
      </c>
      <c r="AK56" s="1" t="b">
        <f>INDEX(Parametri!$G15:$M15,1,WEEKDAY(INT(E56),2))=1</f>
        <v>0</v>
      </c>
      <c r="AL56" s="1" t="b">
        <f>INDEX(Parametri!$G16:$M16,1,WEEKDAY(INT(F56),2))=1</f>
        <v>0</v>
      </c>
      <c r="AM56" s="1" t="b">
        <f>INDEX(Parametri!$G17:$M17,1,WEEKDAY(INT(G56),2))=1</f>
        <v>0</v>
      </c>
      <c r="AN56" s="1" t="b">
        <f>INDEX(Parametri!$G18:$M18,1,WEEKDAY(INT(H56),2))=1</f>
        <v>0</v>
      </c>
      <c r="AO56">
        <f>COUNTIFS(PersonalExceptions[Colonna],1,PersonalExceptions[Dal],"&lt;="&amp;INT(B56),PersonalExceptions[Al],"&gt;="&amp;INT(B56),PersonalExceptions[Active 0/1],1,PersonalExceptions[Effetto],"Rest")</f>
        <v>0</v>
      </c>
      <c r="AP56">
        <f>COUNTIFS(PersonalExceptions[Colonna],2,PersonalExceptions[Dal],"&lt;="&amp;INT(C56),PersonalExceptions[Al],"&gt;="&amp;INT(C56),PersonalExceptions[Active 0/1],1,PersonalExceptions[Effetto],"Rest")</f>
        <v>0</v>
      </c>
      <c r="AQ56">
        <f>COUNTIFS(PersonalExceptions[Colonna],3,PersonalExceptions[Dal],"&lt;="&amp;INT(D56),PersonalExceptions[Al],"&gt;="&amp;INT(D56),PersonalExceptions[Active 0/1],1,PersonalExceptions[Effetto],"Rest")</f>
        <v>0</v>
      </c>
      <c r="AR56">
        <f>COUNTIFS(PersonalExceptions[Colonna],4,PersonalExceptions[Dal],"&lt;="&amp;INT(E56),PersonalExceptions[Al],"&gt;="&amp;INT(E56),PersonalExceptions[Active 0/1],1,PersonalExceptions[Effetto],"Rest")</f>
        <v>0</v>
      </c>
      <c r="AS56">
        <f>COUNTIFS(PersonalExceptions[Colonna],5,PersonalExceptions[Dal],"&lt;="&amp;INT(F56),PersonalExceptions[Al],"&gt;="&amp;INT(F56),PersonalExceptions[Active 0/1],1,PersonalExceptions[Effetto],"Rest")</f>
        <v>0</v>
      </c>
      <c r="AT56">
        <f>COUNTIFS(PersonalExceptions[Colonna],6,PersonalExceptions[Dal],"&lt;="&amp;INT(G56),PersonalExceptions[Al],"&gt;="&amp;INT(G56),PersonalExceptions[Active 0/1],1,PersonalExceptions[Effetto],"Rest")</f>
        <v>0</v>
      </c>
      <c r="AU56">
        <f>COUNTIFS(PersonalExceptions[Colonna],7,PersonalExceptions[Dal],"&lt;="&amp;INT(H56),PersonalExceptions[Al],"&gt;="&amp;INT(H56),PersonalExceptions[Active 0/1],1,PersonalExceptions[Effetto],"Rest")</f>
        <v>0</v>
      </c>
      <c r="AW56">
        <f>COUNTIFS(PersonalExceptions[Colonna],1,PersonalExceptions[Dal],"&lt;="&amp;INT(B56),PersonalExceptions[Al],"&gt;="&amp;INT(B56),PersonalExceptions[Active 0/1],1,PersonalExceptions[Effetto],"Activity")</f>
        <v>0</v>
      </c>
      <c r="AX56">
        <f>COUNTIFS(PersonalExceptions[Colonna],2,PersonalExceptions[Dal],"&lt;="&amp;INT(C56),PersonalExceptions[Al],"&gt;="&amp;INT(C56),PersonalExceptions[Active 0/1],1,PersonalExceptions[Effetto],"Activity")</f>
        <v>0</v>
      </c>
      <c r="AY56">
        <f>COUNTIFS(PersonalExceptions[Colonna],3,PersonalExceptions[Dal],"&lt;="&amp;INT(D56),PersonalExceptions[Al],"&gt;="&amp;INT(D56),PersonalExceptions[Active 0/1],1,PersonalExceptions[Effetto],"Activity")</f>
        <v>0</v>
      </c>
      <c r="AZ56">
        <f>COUNTIFS(PersonalExceptions[Colonna],4,PersonalExceptions[Dal],"&lt;="&amp;INT(E56),PersonalExceptions[Al],"&gt;="&amp;INT(E56),PersonalExceptions[Active 0/1],1,PersonalExceptions[Effetto],"Activity")</f>
        <v>0</v>
      </c>
      <c r="BA56">
        <f>COUNTIFS(PersonalExceptions[Colonna],5,PersonalExceptions[Dal],"&lt;="&amp;INT(F56),PersonalExceptions[Al],"&gt;="&amp;INT(F56),PersonalExceptions[Active 0/1],1,PersonalExceptions[Effetto],"Activity")</f>
        <v>0</v>
      </c>
      <c r="BB56">
        <f>COUNTIFS(PersonalExceptions[Colonna],6,PersonalExceptions[Dal],"&lt;="&amp;INT(G56),PersonalExceptions[Al],"&gt;="&amp;INT(G56),PersonalExceptions[Active 0/1],1,PersonalExceptions[Effetto],"Activity")</f>
        <v>0</v>
      </c>
      <c r="BC56">
        <f>COUNTIFS(PersonalExceptions[Colonna],7,PersonalExceptions[Dal],"&lt;="&amp;INT(H56),PersonalExceptions[Al],"&gt;="&amp;INT(H56),PersonalExceptions[Active 0/1],1,PersonalExceptions[Effetto],"Activity")</f>
        <v>0</v>
      </c>
      <c r="BE56">
        <f>IF(Planner!B$10="Nessuno",0,COUNTIFS(ImportedHolidays[Calendar],Planner!B$10,ImportedHolidays[Date],INT(B56),ImportedHolidays[Active],1,ImportedHolidays[Kind],"WORKDAY"))</f>
        <v>0</v>
      </c>
      <c r="BF56">
        <f>IF(Planner!C$10="Nessuno",0,COUNTIFS(ImportedHolidays[Calendar],Planner!C$10,ImportedHolidays[Date],INT(C56),ImportedHolidays[Active],1,ImportedHolidays[Kind],"WORKDAY"))</f>
        <v>0</v>
      </c>
      <c r="BG56">
        <f>IF(Planner!D$10="Nessuno",0,COUNTIFS(ImportedHolidays[Calendar],Planner!D$10,ImportedHolidays[Date],INT(D56),ImportedHolidays[Active],1,ImportedHolidays[Kind],"WORKDAY"))</f>
        <v>0</v>
      </c>
      <c r="BH56">
        <f>IF(Planner!E$10="Nessuno",0,COUNTIFS(ImportedHolidays[Calendar],Planner!E$10,ImportedHolidays[Date],INT(E56),ImportedHolidays[Active],1,ImportedHolidays[Kind],"WORKDAY"))</f>
        <v>0</v>
      </c>
      <c r="BI56">
        <f>IF(Planner!F$10="Nessuno",0,COUNTIFS(ImportedHolidays[Calendar],Planner!F$10,ImportedHolidays[Date],INT(F56),ImportedHolidays[Active],1,ImportedHolidays[Kind],"WORKDAY"))</f>
        <v>0</v>
      </c>
      <c r="BJ56">
        <f>IF(Planner!G$10="Nessuno",0,COUNTIFS(ImportedHolidays[Calendar],Planner!G$10,ImportedHolidays[Date],INT(G56),ImportedHolidays[Active],1,ImportedHolidays[Kind],"WORKDAY"))</f>
        <v>0</v>
      </c>
      <c r="BK56">
        <f>IF(Planner!H$10="Nessuno",0,COUNTIFS(ImportedHolidays[Calendar],Planner!H$10,ImportedHolidays[Date],INT(H56),ImportedHolidays[Active],1,ImportedHolidays[Kind],"WORKDAY"))</f>
        <v>0</v>
      </c>
      <c r="BM56">
        <f>IF(MOD(J56-B$11,1440)&lt;B$12,2,IF(OR(MOD(J56-B$11,1440)&lt;B$12+ROUND(Planner!$D$5*60,0),MOD(J56-B$11,1440)&gt;=1440-ROUND(Planner!$B$5*60,0)),1,0))</f>
        <v>2</v>
      </c>
      <c r="BN56">
        <f>IF(MOD(K56-C$11,1440)&lt;C$12,2,IF(OR(MOD(K56-C$11,1440)&lt;C$12+ROUND(Planner!$D$5*60,0),MOD(K56-C$11,1440)&gt;=1440-ROUND(Planner!$B$5*60,0)),1,0))</f>
        <v>0</v>
      </c>
      <c r="BO56">
        <f>IF(MOD(L56-D$11,1440)&lt;D$12,2,IF(OR(MOD(L56-D$11,1440)&lt;D$12+ROUND(Planner!$D$5*60,0),MOD(L56-D$11,1440)&gt;=1440-ROUND(Planner!$B$5*60,0)),1,0))</f>
        <v>0</v>
      </c>
      <c r="BP56">
        <f>IF(MOD(M56-E$11,1440)&lt;E$12,2,IF(OR(MOD(M56-E$11,1440)&lt;E$12+ROUND(Planner!$D$5*60,0),MOD(M56-E$11,1440)&gt;=1440-ROUND(Planner!$B$5*60,0)),1,0))</f>
        <v>0</v>
      </c>
      <c r="BQ56">
        <f>IF(MOD(N56-F$11,1440)&lt;F$12,2,IF(OR(MOD(N56-F$11,1440)&lt;F$12+ROUND(Planner!$D$5*60,0),MOD(N56-F$11,1440)&gt;=1440-ROUND(Planner!$B$5*60,0)),1,0))</f>
        <v>0</v>
      </c>
      <c r="BR56">
        <f>IF(MOD(O56-G$11,1440)&lt;G$12,2,IF(OR(MOD(O56-G$11,1440)&lt;G$12+ROUND(Planner!$D$5*60,0),MOD(O56-G$11,1440)&gt;=1440-ROUND(Planner!$B$5*60,0)),1,0))</f>
        <v>0</v>
      </c>
      <c r="BS56">
        <f>IF(MOD(P56-H$11,1440)&lt;H$12,2,IF(OR(MOD(P56-H$11,1440)&lt;H$12+ROUND(Planner!$D$5*60,0),MOD(P56-H$11,1440)&gt;=1440-ROUND(Planner!$B$5*60,0)),1,0))</f>
        <v>2</v>
      </c>
    </row>
    <row r="57" spans="1:71">
      <c r="A57" s="22">
        <f>ROUND(($B$6+16*Planner!$F$4/1440)*1440,0)/1440</f>
        <v>46289.041666666664</v>
      </c>
      <c r="B57" s="22">
        <f>IF(COUNTIFS(ZonePeriods[Code],Planner!B$9,ZonePeriods[FromUtc],"&lt;="&amp;$A57,ZonePeriods[UntilUtc],"&gt;"&amp;$A57)=1,ROUND(($A57+SUMIFS(ZonePeriods[OffsetHours],ZonePeriods[Code],Planner!B$9,ZonePeriods[FromUtc],"&lt;="&amp;$A57,ZonePeriods[UntilUtc],"&gt;"&amp;$A57)/24)*1440,0)/1440,NA())</f>
        <v>46289.333333333336</v>
      </c>
      <c r="C57" s="22">
        <f>IF(COUNTIFS(ZonePeriods[Code],Planner!C$9,ZonePeriods[FromUtc],"&lt;="&amp;$A57,ZonePeriods[UntilUtc],"&gt;"&amp;$A57)=1,ROUND(($A57+SUMIFS(ZonePeriods[OffsetHours],ZonePeriods[Code],Planner!C$9,ZonePeriods[FromUtc],"&lt;="&amp;$A57,ZonePeriods[UntilUtc],"&gt;"&amp;$A57)/24)*1440,0)/1440,NA())</f>
        <v>46289.270833333336</v>
      </c>
      <c r="D57" s="22">
        <f>IF(COUNTIFS(ZonePeriods[Code],Planner!D$9,ZonePeriods[FromUtc],"&lt;="&amp;$A57,ZonePeriods[UntilUtc],"&gt;"&amp;$A57)=1,ROUND(($A57+SUMIFS(ZonePeriods[OffsetHours],ZonePeriods[Code],Planner!D$9,ZonePeriods[FromUtc],"&lt;="&amp;$A57,ZonePeriods[UntilUtc],"&gt;"&amp;$A57)/24)*1440,0)/1440,NA())</f>
        <v>46289.166666666664</v>
      </c>
      <c r="E57" s="22">
        <f>IF(COUNTIFS(ZonePeriods[Code],Planner!E$9,ZonePeriods[FromUtc],"&lt;="&amp;$A57,ZonePeriods[UntilUtc],"&gt;"&amp;$A57)=1,ROUND(($A57+SUMIFS(ZonePeriods[OffsetHours],ZonePeriods[Code],Planner!E$9,ZonePeriods[FromUtc],"&lt;="&amp;$A57,ZonePeriods[UntilUtc],"&gt;"&amp;$A57)/24)*1440,0)/1440,NA())</f>
        <v>46289.125</v>
      </c>
      <c r="F57" s="22">
        <f>IF(COUNTIFS(ZonePeriods[Code],Planner!F$9,ZonePeriods[FromUtc],"&lt;="&amp;$A57,ZonePeriods[UntilUtc],"&gt;"&amp;$A57)=1,ROUND(($A57+SUMIFS(ZonePeriods[OffsetHours],ZonePeriods[Code],Planner!F$9,ZonePeriods[FromUtc],"&lt;="&amp;$A57,ZonePeriods[UntilUtc],"&gt;"&amp;$A57)/24)*1440,0)/1440,NA())</f>
        <v>46289.083333333336</v>
      </c>
      <c r="G57" s="22">
        <f>IF(COUNTIFS(ZonePeriods[Code],Planner!G$9,ZonePeriods[FromUtc],"&lt;="&amp;$A57,ZonePeriods[UntilUtc],"&gt;"&amp;$A57)=1,ROUND(($A57+SUMIFS(ZonePeriods[OffsetHours],ZonePeriods[Code],Planner!G$9,ZonePeriods[FromUtc],"&lt;="&amp;$A57,ZonePeriods[UntilUtc],"&gt;"&amp;$A57)/24)*1440,0)/1440,NA())</f>
        <v>46288.875</v>
      </c>
      <c r="H57" s="22">
        <f>IF(COUNTIFS(ZonePeriods[Code],Planner!H$9,ZonePeriods[FromUtc],"&lt;="&amp;$A57,ZonePeriods[UntilUtc],"&gt;"&amp;$A57)=1,ROUND(($A57+SUMIFS(ZonePeriods[OffsetHours],ZonePeriods[Code],Planner!H$9,ZonePeriods[FromUtc],"&lt;="&amp;$A57,ZonePeriods[UntilUtc],"&gt;"&amp;$A57)/24)*1440,0)/1440,NA())</f>
        <v>46288.75</v>
      </c>
      <c r="I57" s="1"/>
      <c r="J57" s="1">
        <f t="shared" si="14"/>
        <v>480</v>
      </c>
      <c r="K57" s="1">
        <f t="shared" si="15"/>
        <v>390</v>
      </c>
      <c r="L57" s="1">
        <f t="shared" si="16"/>
        <v>240</v>
      </c>
      <c r="M57" s="1">
        <f t="shared" si="17"/>
        <v>180</v>
      </c>
      <c r="N57" s="1">
        <f t="shared" si="18"/>
        <v>120</v>
      </c>
      <c r="O57" s="1">
        <f t="shared" si="19"/>
        <v>1260</v>
      </c>
      <c r="P57" s="1">
        <f t="shared" si="20"/>
        <v>1080</v>
      </c>
      <c r="Q57" s="1"/>
      <c r="R57" s="1">
        <f t="shared" si="21"/>
        <v>2</v>
      </c>
      <c r="S57" s="1">
        <f t="shared" si="22"/>
        <v>0</v>
      </c>
      <c r="T57" s="1">
        <f t="shared" si="23"/>
        <v>0</v>
      </c>
      <c r="U57" s="1">
        <f t="shared" si="24"/>
        <v>0</v>
      </c>
      <c r="V57" s="1">
        <f t="shared" si="25"/>
        <v>0</v>
      </c>
      <c r="W57" s="1">
        <f t="shared" si="26"/>
        <v>0</v>
      </c>
      <c r="X57" s="1">
        <f t="shared" si="27"/>
        <v>1</v>
      </c>
      <c r="Y57" s="1"/>
      <c r="Z57" s="1">
        <f>IF(Planner!B$10="Nessuno",0,COUNTIFS(HolidayDates[Calendar],Planner!B$10,HolidayDates[Local date],INT(B57),HolidayDates[Active 0/1],1)+COUNTIFS(ImportedHolidays[Calendar],Planner!B$10,ImportedHolidays[Date],INT(B57),ImportedHolidays[Active],1,ImportedHolidays[Kind],"HOLIDAY"))</f>
        <v>0</v>
      </c>
      <c r="AA57" s="1">
        <f>IF(Planner!C$10="Nessuno",0,COUNTIFS(HolidayDates[Calendar],Planner!C$10,HolidayDates[Local date],INT(C57),HolidayDates[Active 0/1],1)+COUNTIFS(ImportedHolidays[Calendar],Planner!C$10,ImportedHolidays[Date],INT(C57),ImportedHolidays[Active],1,ImportedHolidays[Kind],"HOLIDAY"))</f>
        <v>0</v>
      </c>
      <c r="AB57" s="1">
        <f>IF(Planner!D$10="Nessuno",0,COUNTIFS(HolidayDates[Calendar],Planner!D$10,HolidayDates[Local date],INT(D57),HolidayDates[Active 0/1],1)+COUNTIFS(ImportedHolidays[Calendar],Planner!D$10,ImportedHolidays[Date],INT(D57),ImportedHolidays[Active],1,ImportedHolidays[Kind],"HOLIDAY"))</f>
        <v>0</v>
      </c>
      <c r="AC57" s="1">
        <f>IF(Planner!E$10="Nessuno",0,COUNTIFS(HolidayDates[Calendar],Planner!E$10,HolidayDates[Local date],INT(E57),HolidayDates[Active 0/1],1)+COUNTIFS(ImportedHolidays[Calendar],Planner!E$10,ImportedHolidays[Date],INT(E57),ImportedHolidays[Active],1,ImportedHolidays[Kind],"HOLIDAY"))</f>
        <v>0</v>
      </c>
      <c r="AD57" s="1">
        <f>IF(Planner!F$10="Nessuno",0,COUNTIFS(HolidayDates[Calendar],Planner!F$10,HolidayDates[Local date],INT(F57),HolidayDates[Active 0/1],1)+COUNTIFS(ImportedHolidays[Calendar],Planner!F$10,ImportedHolidays[Date],INT(F57),ImportedHolidays[Active],1,ImportedHolidays[Kind],"HOLIDAY"))</f>
        <v>0</v>
      </c>
      <c r="AE57" s="1">
        <f>IF(Planner!G$10="Nessuno",0,COUNTIFS(HolidayDates[Calendar],Planner!G$10,HolidayDates[Local date],INT(G57),HolidayDates[Active 0/1],1)+COUNTIFS(ImportedHolidays[Calendar],Planner!G$10,ImportedHolidays[Date],INT(G57),ImportedHolidays[Active],1,ImportedHolidays[Kind],"HOLIDAY"))</f>
        <v>0</v>
      </c>
      <c r="AF57" s="1">
        <f>IF(Planner!H$10="Nessuno",0,COUNTIFS(HolidayDates[Calendar],Planner!H$10,HolidayDates[Local date],INT(H57),HolidayDates[Active 0/1],1)+COUNTIFS(ImportedHolidays[Calendar],Planner!H$10,ImportedHolidays[Date],INT(H57),ImportedHolidays[Active],1,ImportedHolidays[Kind],"HOLIDAY"))</f>
        <v>0</v>
      </c>
      <c r="AG57" s="1"/>
      <c r="AH57" s="1" t="b">
        <f>INDEX(Parametri!$G12:$M12,1,WEEKDAY(INT(B57),2))=1</f>
        <v>0</v>
      </c>
      <c r="AI57" s="1" t="b">
        <f>INDEX(Parametri!$G13:$M13,1,WEEKDAY(INT(C57),2))=1</f>
        <v>0</v>
      </c>
      <c r="AJ57" s="1" t="b">
        <f>INDEX(Parametri!$G14:$M14,1,WEEKDAY(INT(D57),2))=1</f>
        <v>0</v>
      </c>
      <c r="AK57" s="1" t="b">
        <f>INDEX(Parametri!$G15:$M15,1,WEEKDAY(INT(E57),2))=1</f>
        <v>0</v>
      </c>
      <c r="AL57" s="1" t="b">
        <f>INDEX(Parametri!$G16:$M16,1,WEEKDAY(INT(F57),2))=1</f>
        <v>0</v>
      </c>
      <c r="AM57" s="1" t="b">
        <f>INDEX(Parametri!$G17:$M17,1,WEEKDAY(INT(G57),2))=1</f>
        <v>0</v>
      </c>
      <c r="AN57" s="1" t="b">
        <f>INDEX(Parametri!$G18:$M18,1,WEEKDAY(INT(H57),2))=1</f>
        <v>0</v>
      </c>
      <c r="AO57">
        <f>COUNTIFS(PersonalExceptions[Colonna],1,PersonalExceptions[Dal],"&lt;="&amp;INT(B57),PersonalExceptions[Al],"&gt;="&amp;INT(B57),PersonalExceptions[Active 0/1],1,PersonalExceptions[Effetto],"Rest")</f>
        <v>0</v>
      </c>
      <c r="AP57">
        <f>COUNTIFS(PersonalExceptions[Colonna],2,PersonalExceptions[Dal],"&lt;="&amp;INT(C57),PersonalExceptions[Al],"&gt;="&amp;INT(C57),PersonalExceptions[Active 0/1],1,PersonalExceptions[Effetto],"Rest")</f>
        <v>0</v>
      </c>
      <c r="AQ57">
        <f>COUNTIFS(PersonalExceptions[Colonna],3,PersonalExceptions[Dal],"&lt;="&amp;INT(D57),PersonalExceptions[Al],"&gt;="&amp;INT(D57),PersonalExceptions[Active 0/1],1,PersonalExceptions[Effetto],"Rest")</f>
        <v>0</v>
      </c>
      <c r="AR57">
        <f>COUNTIFS(PersonalExceptions[Colonna],4,PersonalExceptions[Dal],"&lt;="&amp;INT(E57),PersonalExceptions[Al],"&gt;="&amp;INT(E57),PersonalExceptions[Active 0/1],1,PersonalExceptions[Effetto],"Rest")</f>
        <v>0</v>
      </c>
      <c r="AS57">
        <f>COUNTIFS(PersonalExceptions[Colonna],5,PersonalExceptions[Dal],"&lt;="&amp;INT(F57),PersonalExceptions[Al],"&gt;="&amp;INT(F57),PersonalExceptions[Active 0/1],1,PersonalExceptions[Effetto],"Rest")</f>
        <v>0</v>
      </c>
      <c r="AT57">
        <f>COUNTIFS(PersonalExceptions[Colonna],6,PersonalExceptions[Dal],"&lt;="&amp;INT(G57),PersonalExceptions[Al],"&gt;="&amp;INT(G57),PersonalExceptions[Active 0/1],1,PersonalExceptions[Effetto],"Rest")</f>
        <v>0</v>
      </c>
      <c r="AU57">
        <f>COUNTIFS(PersonalExceptions[Colonna],7,PersonalExceptions[Dal],"&lt;="&amp;INT(H57),PersonalExceptions[Al],"&gt;="&amp;INT(H57),PersonalExceptions[Active 0/1],1,PersonalExceptions[Effetto],"Rest")</f>
        <v>0</v>
      </c>
      <c r="AW57">
        <f>COUNTIFS(PersonalExceptions[Colonna],1,PersonalExceptions[Dal],"&lt;="&amp;INT(B57),PersonalExceptions[Al],"&gt;="&amp;INT(B57),PersonalExceptions[Active 0/1],1,PersonalExceptions[Effetto],"Activity")</f>
        <v>0</v>
      </c>
      <c r="AX57">
        <f>COUNTIFS(PersonalExceptions[Colonna],2,PersonalExceptions[Dal],"&lt;="&amp;INT(C57),PersonalExceptions[Al],"&gt;="&amp;INT(C57),PersonalExceptions[Active 0/1],1,PersonalExceptions[Effetto],"Activity")</f>
        <v>0</v>
      </c>
      <c r="AY57">
        <f>COUNTIFS(PersonalExceptions[Colonna],3,PersonalExceptions[Dal],"&lt;="&amp;INT(D57),PersonalExceptions[Al],"&gt;="&amp;INT(D57),PersonalExceptions[Active 0/1],1,PersonalExceptions[Effetto],"Activity")</f>
        <v>0</v>
      </c>
      <c r="AZ57">
        <f>COUNTIFS(PersonalExceptions[Colonna],4,PersonalExceptions[Dal],"&lt;="&amp;INT(E57),PersonalExceptions[Al],"&gt;="&amp;INT(E57),PersonalExceptions[Active 0/1],1,PersonalExceptions[Effetto],"Activity")</f>
        <v>0</v>
      </c>
      <c r="BA57">
        <f>COUNTIFS(PersonalExceptions[Colonna],5,PersonalExceptions[Dal],"&lt;="&amp;INT(F57),PersonalExceptions[Al],"&gt;="&amp;INT(F57),PersonalExceptions[Active 0/1],1,PersonalExceptions[Effetto],"Activity")</f>
        <v>0</v>
      </c>
      <c r="BB57">
        <f>COUNTIFS(PersonalExceptions[Colonna],6,PersonalExceptions[Dal],"&lt;="&amp;INT(G57),PersonalExceptions[Al],"&gt;="&amp;INT(G57),PersonalExceptions[Active 0/1],1,PersonalExceptions[Effetto],"Activity")</f>
        <v>0</v>
      </c>
      <c r="BC57">
        <f>COUNTIFS(PersonalExceptions[Colonna],7,PersonalExceptions[Dal],"&lt;="&amp;INT(H57),PersonalExceptions[Al],"&gt;="&amp;INT(H57),PersonalExceptions[Active 0/1],1,PersonalExceptions[Effetto],"Activity")</f>
        <v>0</v>
      </c>
      <c r="BE57">
        <f>IF(Planner!B$10="Nessuno",0,COUNTIFS(ImportedHolidays[Calendar],Planner!B$10,ImportedHolidays[Date],INT(B57),ImportedHolidays[Active],1,ImportedHolidays[Kind],"WORKDAY"))</f>
        <v>0</v>
      </c>
      <c r="BF57">
        <f>IF(Planner!C$10="Nessuno",0,COUNTIFS(ImportedHolidays[Calendar],Planner!C$10,ImportedHolidays[Date],INT(C57),ImportedHolidays[Active],1,ImportedHolidays[Kind],"WORKDAY"))</f>
        <v>0</v>
      </c>
      <c r="BG57">
        <f>IF(Planner!D$10="Nessuno",0,COUNTIFS(ImportedHolidays[Calendar],Planner!D$10,ImportedHolidays[Date],INT(D57),ImportedHolidays[Active],1,ImportedHolidays[Kind],"WORKDAY"))</f>
        <v>0</v>
      </c>
      <c r="BH57">
        <f>IF(Planner!E$10="Nessuno",0,COUNTIFS(ImportedHolidays[Calendar],Planner!E$10,ImportedHolidays[Date],INT(E57),ImportedHolidays[Active],1,ImportedHolidays[Kind],"WORKDAY"))</f>
        <v>0</v>
      </c>
      <c r="BI57">
        <f>IF(Planner!F$10="Nessuno",0,COUNTIFS(ImportedHolidays[Calendar],Planner!F$10,ImportedHolidays[Date],INT(F57),ImportedHolidays[Active],1,ImportedHolidays[Kind],"WORKDAY"))</f>
        <v>0</v>
      </c>
      <c r="BJ57">
        <f>IF(Planner!G$10="Nessuno",0,COUNTIFS(ImportedHolidays[Calendar],Planner!G$10,ImportedHolidays[Date],INT(G57),ImportedHolidays[Active],1,ImportedHolidays[Kind],"WORKDAY"))</f>
        <v>0</v>
      </c>
      <c r="BK57">
        <f>IF(Planner!H$10="Nessuno",0,COUNTIFS(ImportedHolidays[Calendar],Planner!H$10,ImportedHolidays[Date],INT(H57),ImportedHolidays[Active],1,ImportedHolidays[Kind],"WORKDAY"))</f>
        <v>0</v>
      </c>
      <c r="BM57">
        <f>IF(MOD(J57-B$11,1440)&lt;B$12,2,IF(OR(MOD(J57-B$11,1440)&lt;B$12+ROUND(Planner!$D$5*60,0),MOD(J57-B$11,1440)&gt;=1440-ROUND(Planner!$B$5*60,0)),1,0))</f>
        <v>2</v>
      </c>
      <c r="BN57">
        <f>IF(MOD(K57-C$11,1440)&lt;C$12,2,IF(OR(MOD(K57-C$11,1440)&lt;C$12+ROUND(Planner!$D$5*60,0),MOD(K57-C$11,1440)&gt;=1440-ROUND(Planner!$B$5*60,0)),1,0))</f>
        <v>0</v>
      </c>
      <c r="BO57">
        <f>IF(MOD(L57-D$11,1440)&lt;D$12,2,IF(OR(MOD(L57-D$11,1440)&lt;D$12+ROUND(Planner!$D$5*60,0),MOD(L57-D$11,1440)&gt;=1440-ROUND(Planner!$B$5*60,0)),1,0))</f>
        <v>0</v>
      </c>
      <c r="BP57">
        <f>IF(MOD(M57-E$11,1440)&lt;E$12,2,IF(OR(MOD(M57-E$11,1440)&lt;E$12+ROUND(Planner!$D$5*60,0),MOD(M57-E$11,1440)&gt;=1440-ROUND(Planner!$B$5*60,0)),1,0))</f>
        <v>0</v>
      </c>
      <c r="BQ57">
        <f>IF(MOD(N57-F$11,1440)&lt;F$12,2,IF(OR(MOD(N57-F$11,1440)&lt;F$12+ROUND(Planner!$D$5*60,0),MOD(N57-F$11,1440)&gt;=1440-ROUND(Planner!$B$5*60,0)),1,0))</f>
        <v>0</v>
      </c>
      <c r="BR57">
        <f>IF(MOD(O57-G$11,1440)&lt;G$12,2,IF(OR(MOD(O57-G$11,1440)&lt;G$12+ROUND(Planner!$D$5*60,0),MOD(O57-G$11,1440)&gt;=1440-ROUND(Planner!$B$5*60,0)),1,0))</f>
        <v>0</v>
      </c>
      <c r="BS57">
        <f>IF(MOD(P57-H$11,1440)&lt;H$12,2,IF(OR(MOD(P57-H$11,1440)&lt;H$12+ROUND(Planner!$D$5*60,0),MOD(P57-H$11,1440)&gt;=1440-ROUND(Planner!$B$5*60,0)),1,0))</f>
        <v>1</v>
      </c>
    </row>
    <row r="58" spans="1:71">
      <c r="A58" s="22">
        <f>ROUND(($B$6+17*Planner!$F$4/1440)*1440,0)/1440</f>
        <v>46289.0625</v>
      </c>
      <c r="B58" s="22">
        <f>IF(COUNTIFS(ZonePeriods[Code],Planner!B$9,ZonePeriods[FromUtc],"&lt;="&amp;$A58,ZonePeriods[UntilUtc],"&gt;"&amp;$A58)=1,ROUND(($A58+SUMIFS(ZonePeriods[OffsetHours],ZonePeriods[Code],Planner!B$9,ZonePeriods[FromUtc],"&lt;="&amp;$A58,ZonePeriods[UntilUtc],"&gt;"&amp;$A58)/24)*1440,0)/1440,NA())</f>
        <v>46289.354166666664</v>
      </c>
      <c r="C58" s="22">
        <f>IF(COUNTIFS(ZonePeriods[Code],Planner!C$9,ZonePeriods[FromUtc],"&lt;="&amp;$A58,ZonePeriods[UntilUtc],"&gt;"&amp;$A58)=1,ROUND(($A58+SUMIFS(ZonePeriods[OffsetHours],ZonePeriods[Code],Planner!C$9,ZonePeriods[FromUtc],"&lt;="&amp;$A58,ZonePeriods[UntilUtc],"&gt;"&amp;$A58)/24)*1440,0)/1440,NA())</f>
        <v>46289.291666666664</v>
      </c>
      <c r="D58" s="22">
        <f>IF(COUNTIFS(ZonePeriods[Code],Planner!D$9,ZonePeriods[FromUtc],"&lt;="&amp;$A58,ZonePeriods[UntilUtc],"&gt;"&amp;$A58)=1,ROUND(($A58+SUMIFS(ZonePeriods[OffsetHours],ZonePeriods[Code],Planner!D$9,ZonePeriods[FromUtc],"&lt;="&amp;$A58,ZonePeriods[UntilUtc],"&gt;"&amp;$A58)/24)*1440,0)/1440,NA())</f>
        <v>46289.1875</v>
      </c>
      <c r="E58" s="22">
        <f>IF(COUNTIFS(ZonePeriods[Code],Planner!E$9,ZonePeriods[FromUtc],"&lt;="&amp;$A58,ZonePeriods[UntilUtc],"&gt;"&amp;$A58)=1,ROUND(($A58+SUMIFS(ZonePeriods[OffsetHours],ZonePeriods[Code],Planner!E$9,ZonePeriods[FromUtc],"&lt;="&amp;$A58,ZonePeriods[UntilUtc],"&gt;"&amp;$A58)/24)*1440,0)/1440,NA())</f>
        <v>46289.145833333336</v>
      </c>
      <c r="F58" s="22">
        <f>IF(COUNTIFS(ZonePeriods[Code],Planner!F$9,ZonePeriods[FromUtc],"&lt;="&amp;$A58,ZonePeriods[UntilUtc],"&gt;"&amp;$A58)=1,ROUND(($A58+SUMIFS(ZonePeriods[OffsetHours],ZonePeriods[Code],Planner!F$9,ZonePeriods[FromUtc],"&lt;="&amp;$A58,ZonePeriods[UntilUtc],"&gt;"&amp;$A58)/24)*1440,0)/1440,NA())</f>
        <v>46289.104166666664</v>
      </c>
      <c r="G58" s="22">
        <f>IF(COUNTIFS(ZonePeriods[Code],Planner!G$9,ZonePeriods[FromUtc],"&lt;="&amp;$A58,ZonePeriods[UntilUtc],"&gt;"&amp;$A58)=1,ROUND(($A58+SUMIFS(ZonePeriods[OffsetHours],ZonePeriods[Code],Planner!G$9,ZonePeriods[FromUtc],"&lt;="&amp;$A58,ZonePeriods[UntilUtc],"&gt;"&amp;$A58)/24)*1440,0)/1440,NA())</f>
        <v>46288.895833333336</v>
      </c>
      <c r="H58" s="22">
        <f>IF(COUNTIFS(ZonePeriods[Code],Planner!H$9,ZonePeriods[FromUtc],"&lt;="&amp;$A58,ZonePeriods[UntilUtc],"&gt;"&amp;$A58)=1,ROUND(($A58+SUMIFS(ZonePeriods[OffsetHours],ZonePeriods[Code],Planner!H$9,ZonePeriods[FromUtc],"&lt;="&amp;$A58,ZonePeriods[UntilUtc],"&gt;"&amp;$A58)/24)*1440,0)/1440,NA())</f>
        <v>46288.770833333336</v>
      </c>
      <c r="I58" s="1"/>
      <c r="J58" s="1">
        <f t="shared" si="14"/>
        <v>510</v>
      </c>
      <c r="K58" s="1">
        <f t="shared" si="15"/>
        <v>420</v>
      </c>
      <c r="L58" s="1">
        <f t="shared" si="16"/>
        <v>270</v>
      </c>
      <c r="M58" s="1">
        <f t="shared" si="17"/>
        <v>210</v>
      </c>
      <c r="N58" s="1">
        <f t="shared" si="18"/>
        <v>150</v>
      </c>
      <c r="O58" s="1">
        <f t="shared" si="19"/>
        <v>1290</v>
      </c>
      <c r="P58" s="1">
        <f t="shared" si="20"/>
        <v>1110</v>
      </c>
      <c r="Q58" s="1"/>
      <c r="R58" s="1">
        <f t="shared" si="21"/>
        <v>2</v>
      </c>
      <c r="S58" s="1">
        <f t="shared" si="22"/>
        <v>1</v>
      </c>
      <c r="T58" s="1">
        <f t="shared" si="23"/>
        <v>0</v>
      </c>
      <c r="U58" s="1">
        <f t="shared" si="24"/>
        <v>0</v>
      </c>
      <c r="V58" s="1">
        <f t="shared" si="25"/>
        <v>0</v>
      </c>
      <c r="W58" s="1">
        <f t="shared" si="26"/>
        <v>0</v>
      </c>
      <c r="X58" s="1">
        <f t="shared" si="27"/>
        <v>1</v>
      </c>
      <c r="Y58" s="1"/>
      <c r="Z58" s="1">
        <f>IF(Planner!B$10="Nessuno",0,COUNTIFS(HolidayDates[Calendar],Planner!B$10,HolidayDates[Local date],INT(B58),HolidayDates[Active 0/1],1)+COUNTIFS(ImportedHolidays[Calendar],Planner!B$10,ImportedHolidays[Date],INT(B58),ImportedHolidays[Active],1,ImportedHolidays[Kind],"HOLIDAY"))</f>
        <v>0</v>
      </c>
      <c r="AA58" s="1">
        <f>IF(Planner!C$10="Nessuno",0,COUNTIFS(HolidayDates[Calendar],Planner!C$10,HolidayDates[Local date],INT(C58),HolidayDates[Active 0/1],1)+COUNTIFS(ImportedHolidays[Calendar],Planner!C$10,ImportedHolidays[Date],INT(C58),ImportedHolidays[Active],1,ImportedHolidays[Kind],"HOLIDAY"))</f>
        <v>0</v>
      </c>
      <c r="AB58" s="1">
        <f>IF(Planner!D$10="Nessuno",0,COUNTIFS(HolidayDates[Calendar],Planner!D$10,HolidayDates[Local date],INT(D58),HolidayDates[Active 0/1],1)+COUNTIFS(ImportedHolidays[Calendar],Planner!D$10,ImportedHolidays[Date],INT(D58),ImportedHolidays[Active],1,ImportedHolidays[Kind],"HOLIDAY"))</f>
        <v>0</v>
      </c>
      <c r="AC58" s="1">
        <f>IF(Planner!E$10="Nessuno",0,COUNTIFS(HolidayDates[Calendar],Planner!E$10,HolidayDates[Local date],INT(E58),HolidayDates[Active 0/1],1)+COUNTIFS(ImportedHolidays[Calendar],Planner!E$10,ImportedHolidays[Date],INT(E58),ImportedHolidays[Active],1,ImportedHolidays[Kind],"HOLIDAY"))</f>
        <v>0</v>
      </c>
      <c r="AD58" s="1">
        <f>IF(Planner!F$10="Nessuno",0,COUNTIFS(HolidayDates[Calendar],Planner!F$10,HolidayDates[Local date],INT(F58),HolidayDates[Active 0/1],1)+COUNTIFS(ImportedHolidays[Calendar],Planner!F$10,ImportedHolidays[Date],INT(F58),ImportedHolidays[Active],1,ImportedHolidays[Kind],"HOLIDAY"))</f>
        <v>0</v>
      </c>
      <c r="AE58" s="1">
        <f>IF(Planner!G$10="Nessuno",0,COUNTIFS(HolidayDates[Calendar],Planner!G$10,HolidayDates[Local date],INT(G58),HolidayDates[Active 0/1],1)+COUNTIFS(ImportedHolidays[Calendar],Planner!G$10,ImportedHolidays[Date],INT(G58),ImportedHolidays[Active],1,ImportedHolidays[Kind],"HOLIDAY"))</f>
        <v>0</v>
      </c>
      <c r="AF58" s="1">
        <f>IF(Planner!H$10="Nessuno",0,COUNTIFS(HolidayDates[Calendar],Planner!H$10,HolidayDates[Local date],INT(H58),HolidayDates[Active 0/1],1)+COUNTIFS(ImportedHolidays[Calendar],Planner!H$10,ImportedHolidays[Date],INT(H58),ImportedHolidays[Active],1,ImportedHolidays[Kind],"HOLIDAY"))</f>
        <v>0</v>
      </c>
      <c r="AG58" s="1"/>
      <c r="AH58" s="1" t="b">
        <f>INDEX(Parametri!$G12:$M12,1,WEEKDAY(INT(B58),2))=1</f>
        <v>0</v>
      </c>
      <c r="AI58" s="1" t="b">
        <f>INDEX(Parametri!$G13:$M13,1,WEEKDAY(INT(C58),2))=1</f>
        <v>0</v>
      </c>
      <c r="AJ58" s="1" t="b">
        <f>INDEX(Parametri!$G14:$M14,1,WEEKDAY(INT(D58),2))=1</f>
        <v>0</v>
      </c>
      <c r="AK58" s="1" t="b">
        <f>INDEX(Parametri!$G15:$M15,1,WEEKDAY(INT(E58),2))=1</f>
        <v>0</v>
      </c>
      <c r="AL58" s="1" t="b">
        <f>INDEX(Parametri!$G16:$M16,1,WEEKDAY(INT(F58),2))=1</f>
        <v>0</v>
      </c>
      <c r="AM58" s="1" t="b">
        <f>INDEX(Parametri!$G17:$M17,1,WEEKDAY(INT(G58),2))=1</f>
        <v>0</v>
      </c>
      <c r="AN58" s="1" t="b">
        <f>INDEX(Parametri!$G18:$M18,1,WEEKDAY(INT(H58),2))=1</f>
        <v>0</v>
      </c>
      <c r="AO58">
        <f>COUNTIFS(PersonalExceptions[Colonna],1,PersonalExceptions[Dal],"&lt;="&amp;INT(B58),PersonalExceptions[Al],"&gt;="&amp;INT(B58),PersonalExceptions[Active 0/1],1,PersonalExceptions[Effetto],"Rest")</f>
        <v>0</v>
      </c>
      <c r="AP58">
        <f>COUNTIFS(PersonalExceptions[Colonna],2,PersonalExceptions[Dal],"&lt;="&amp;INT(C58),PersonalExceptions[Al],"&gt;="&amp;INT(C58),PersonalExceptions[Active 0/1],1,PersonalExceptions[Effetto],"Rest")</f>
        <v>0</v>
      </c>
      <c r="AQ58">
        <f>COUNTIFS(PersonalExceptions[Colonna],3,PersonalExceptions[Dal],"&lt;="&amp;INT(D58),PersonalExceptions[Al],"&gt;="&amp;INT(D58),PersonalExceptions[Active 0/1],1,PersonalExceptions[Effetto],"Rest")</f>
        <v>0</v>
      </c>
      <c r="AR58">
        <f>COUNTIFS(PersonalExceptions[Colonna],4,PersonalExceptions[Dal],"&lt;="&amp;INT(E58),PersonalExceptions[Al],"&gt;="&amp;INT(E58),PersonalExceptions[Active 0/1],1,PersonalExceptions[Effetto],"Rest")</f>
        <v>0</v>
      </c>
      <c r="AS58">
        <f>COUNTIFS(PersonalExceptions[Colonna],5,PersonalExceptions[Dal],"&lt;="&amp;INT(F58),PersonalExceptions[Al],"&gt;="&amp;INT(F58),PersonalExceptions[Active 0/1],1,PersonalExceptions[Effetto],"Rest")</f>
        <v>0</v>
      </c>
      <c r="AT58">
        <f>COUNTIFS(PersonalExceptions[Colonna],6,PersonalExceptions[Dal],"&lt;="&amp;INT(G58),PersonalExceptions[Al],"&gt;="&amp;INT(G58),PersonalExceptions[Active 0/1],1,PersonalExceptions[Effetto],"Rest")</f>
        <v>0</v>
      </c>
      <c r="AU58">
        <f>COUNTIFS(PersonalExceptions[Colonna],7,PersonalExceptions[Dal],"&lt;="&amp;INT(H58),PersonalExceptions[Al],"&gt;="&amp;INT(H58),PersonalExceptions[Active 0/1],1,PersonalExceptions[Effetto],"Rest")</f>
        <v>0</v>
      </c>
      <c r="AW58">
        <f>COUNTIFS(PersonalExceptions[Colonna],1,PersonalExceptions[Dal],"&lt;="&amp;INT(B58),PersonalExceptions[Al],"&gt;="&amp;INT(B58),PersonalExceptions[Active 0/1],1,PersonalExceptions[Effetto],"Activity")</f>
        <v>0</v>
      </c>
      <c r="AX58">
        <f>COUNTIFS(PersonalExceptions[Colonna],2,PersonalExceptions[Dal],"&lt;="&amp;INT(C58),PersonalExceptions[Al],"&gt;="&amp;INT(C58),PersonalExceptions[Active 0/1],1,PersonalExceptions[Effetto],"Activity")</f>
        <v>0</v>
      </c>
      <c r="AY58">
        <f>COUNTIFS(PersonalExceptions[Colonna],3,PersonalExceptions[Dal],"&lt;="&amp;INT(D58),PersonalExceptions[Al],"&gt;="&amp;INT(D58),PersonalExceptions[Active 0/1],1,PersonalExceptions[Effetto],"Activity")</f>
        <v>0</v>
      </c>
      <c r="AZ58">
        <f>COUNTIFS(PersonalExceptions[Colonna],4,PersonalExceptions[Dal],"&lt;="&amp;INT(E58),PersonalExceptions[Al],"&gt;="&amp;INT(E58),PersonalExceptions[Active 0/1],1,PersonalExceptions[Effetto],"Activity")</f>
        <v>0</v>
      </c>
      <c r="BA58">
        <f>COUNTIFS(PersonalExceptions[Colonna],5,PersonalExceptions[Dal],"&lt;="&amp;INT(F58),PersonalExceptions[Al],"&gt;="&amp;INT(F58),PersonalExceptions[Active 0/1],1,PersonalExceptions[Effetto],"Activity")</f>
        <v>0</v>
      </c>
      <c r="BB58">
        <f>COUNTIFS(PersonalExceptions[Colonna],6,PersonalExceptions[Dal],"&lt;="&amp;INT(G58),PersonalExceptions[Al],"&gt;="&amp;INT(G58),PersonalExceptions[Active 0/1],1,PersonalExceptions[Effetto],"Activity")</f>
        <v>0</v>
      </c>
      <c r="BC58">
        <f>COUNTIFS(PersonalExceptions[Colonna],7,PersonalExceptions[Dal],"&lt;="&amp;INT(H58),PersonalExceptions[Al],"&gt;="&amp;INT(H58),PersonalExceptions[Active 0/1],1,PersonalExceptions[Effetto],"Activity")</f>
        <v>0</v>
      </c>
      <c r="BE58">
        <f>IF(Planner!B$10="Nessuno",0,COUNTIFS(ImportedHolidays[Calendar],Planner!B$10,ImportedHolidays[Date],INT(B58),ImportedHolidays[Active],1,ImportedHolidays[Kind],"WORKDAY"))</f>
        <v>0</v>
      </c>
      <c r="BF58">
        <f>IF(Planner!C$10="Nessuno",0,COUNTIFS(ImportedHolidays[Calendar],Planner!C$10,ImportedHolidays[Date],INT(C58),ImportedHolidays[Active],1,ImportedHolidays[Kind],"WORKDAY"))</f>
        <v>0</v>
      </c>
      <c r="BG58">
        <f>IF(Planner!D$10="Nessuno",0,COUNTIFS(ImportedHolidays[Calendar],Planner!D$10,ImportedHolidays[Date],INT(D58),ImportedHolidays[Active],1,ImportedHolidays[Kind],"WORKDAY"))</f>
        <v>0</v>
      </c>
      <c r="BH58">
        <f>IF(Planner!E$10="Nessuno",0,COUNTIFS(ImportedHolidays[Calendar],Planner!E$10,ImportedHolidays[Date],INT(E58),ImportedHolidays[Active],1,ImportedHolidays[Kind],"WORKDAY"))</f>
        <v>0</v>
      </c>
      <c r="BI58">
        <f>IF(Planner!F$10="Nessuno",0,COUNTIFS(ImportedHolidays[Calendar],Planner!F$10,ImportedHolidays[Date],INT(F58),ImportedHolidays[Active],1,ImportedHolidays[Kind],"WORKDAY"))</f>
        <v>0</v>
      </c>
      <c r="BJ58">
        <f>IF(Planner!G$10="Nessuno",0,COUNTIFS(ImportedHolidays[Calendar],Planner!G$10,ImportedHolidays[Date],INT(G58),ImportedHolidays[Active],1,ImportedHolidays[Kind],"WORKDAY"))</f>
        <v>0</v>
      </c>
      <c r="BK58">
        <f>IF(Planner!H$10="Nessuno",0,COUNTIFS(ImportedHolidays[Calendar],Planner!H$10,ImportedHolidays[Date],INT(H58),ImportedHolidays[Active],1,ImportedHolidays[Kind],"WORKDAY"))</f>
        <v>0</v>
      </c>
      <c r="BM58">
        <f>IF(MOD(J58-B$11,1440)&lt;B$12,2,IF(OR(MOD(J58-B$11,1440)&lt;B$12+ROUND(Planner!$D$5*60,0),MOD(J58-B$11,1440)&gt;=1440-ROUND(Planner!$B$5*60,0)),1,0))</f>
        <v>2</v>
      </c>
      <c r="BN58">
        <f>IF(MOD(K58-C$11,1440)&lt;C$12,2,IF(OR(MOD(K58-C$11,1440)&lt;C$12+ROUND(Planner!$D$5*60,0),MOD(K58-C$11,1440)&gt;=1440-ROUND(Planner!$B$5*60,0)),1,0))</f>
        <v>1</v>
      </c>
      <c r="BO58">
        <f>IF(MOD(L58-D$11,1440)&lt;D$12,2,IF(OR(MOD(L58-D$11,1440)&lt;D$12+ROUND(Planner!$D$5*60,0),MOD(L58-D$11,1440)&gt;=1440-ROUND(Planner!$B$5*60,0)),1,0))</f>
        <v>0</v>
      </c>
      <c r="BP58">
        <f>IF(MOD(M58-E$11,1440)&lt;E$12,2,IF(OR(MOD(M58-E$11,1440)&lt;E$12+ROUND(Planner!$D$5*60,0),MOD(M58-E$11,1440)&gt;=1440-ROUND(Planner!$B$5*60,0)),1,0))</f>
        <v>0</v>
      </c>
      <c r="BQ58">
        <f>IF(MOD(N58-F$11,1440)&lt;F$12,2,IF(OR(MOD(N58-F$11,1440)&lt;F$12+ROUND(Planner!$D$5*60,0),MOD(N58-F$11,1440)&gt;=1440-ROUND(Planner!$B$5*60,0)),1,0))</f>
        <v>0</v>
      </c>
      <c r="BR58">
        <f>IF(MOD(O58-G$11,1440)&lt;G$12,2,IF(OR(MOD(O58-G$11,1440)&lt;G$12+ROUND(Planner!$D$5*60,0),MOD(O58-G$11,1440)&gt;=1440-ROUND(Planner!$B$5*60,0)),1,0))</f>
        <v>0</v>
      </c>
      <c r="BS58">
        <f>IF(MOD(P58-H$11,1440)&lt;H$12,2,IF(OR(MOD(P58-H$11,1440)&lt;H$12+ROUND(Planner!$D$5*60,0),MOD(P58-H$11,1440)&gt;=1440-ROUND(Planner!$B$5*60,0)),1,0))</f>
        <v>1</v>
      </c>
    </row>
    <row r="59" spans="1:71">
      <c r="A59" s="22">
        <f>ROUND(($B$6+18*Planner!$F$4/1440)*1440,0)/1440</f>
        <v>46289.083333333336</v>
      </c>
      <c r="B59" s="22">
        <f>IF(COUNTIFS(ZonePeriods[Code],Planner!B$9,ZonePeriods[FromUtc],"&lt;="&amp;$A59,ZonePeriods[UntilUtc],"&gt;"&amp;$A59)=1,ROUND(($A59+SUMIFS(ZonePeriods[OffsetHours],ZonePeriods[Code],Planner!B$9,ZonePeriods[FromUtc],"&lt;="&amp;$A59,ZonePeriods[UntilUtc],"&gt;"&amp;$A59)/24)*1440,0)/1440,NA())</f>
        <v>46289.375</v>
      </c>
      <c r="C59" s="22">
        <f>IF(COUNTIFS(ZonePeriods[Code],Planner!C$9,ZonePeriods[FromUtc],"&lt;="&amp;$A59,ZonePeriods[UntilUtc],"&gt;"&amp;$A59)=1,ROUND(($A59+SUMIFS(ZonePeriods[OffsetHours],ZonePeriods[Code],Planner!C$9,ZonePeriods[FromUtc],"&lt;="&amp;$A59,ZonePeriods[UntilUtc],"&gt;"&amp;$A59)/24)*1440,0)/1440,NA())</f>
        <v>46289.3125</v>
      </c>
      <c r="D59" s="22">
        <f>IF(COUNTIFS(ZonePeriods[Code],Planner!D$9,ZonePeriods[FromUtc],"&lt;="&amp;$A59,ZonePeriods[UntilUtc],"&gt;"&amp;$A59)=1,ROUND(($A59+SUMIFS(ZonePeriods[OffsetHours],ZonePeriods[Code],Planner!D$9,ZonePeriods[FromUtc],"&lt;="&amp;$A59,ZonePeriods[UntilUtc],"&gt;"&amp;$A59)/24)*1440,0)/1440,NA())</f>
        <v>46289.208333333336</v>
      </c>
      <c r="E59" s="22">
        <f>IF(COUNTIFS(ZonePeriods[Code],Planner!E$9,ZonePeriods[FromUtc],"&lt;="&amp;$A59,ZonePeriods[UntilUtc],"&gt;"&amp;$A59)=1,ROUND(($A59+SUMIFS(ZonePeriods[OffsetHours],ZonePeriods[Code],Planner!E$9,ZonePeriods[FromUtc],"&lt;="&amp;$A59,ZonePeriods[UntilUtc],"&gt;"&amp;$A59)/24)*1440,0)/1440,NA())</f>
        <v>46289.166666666664</v>
      </c>
      <c r="F59" s="22">
        <f>IF(COUNTIFS(ZonePeriods[Code],Planner!F$9,ZonePeriods[FromUtc],"&lt;="&amp;$A59,ZonePeriods[UntilUtc],"&gt;"&amp;$A59)=1,ROUND(($A59+SUMIFS(ZonePeriods[OffsetHours],ZonePeriods[Code],Planner!F$9,ZonePeriods[FromUtc],"&lt;="&amp;$A59,ZonePeriods[UntilUtc],"&gt;"&amp;$A59)/24)*1440,0)/1440,NA())</f>
        <v>46289.125</v>
      </c>
      <c r="G59" s="22">
        <f>IF(COUNTIFS(ZonePeriods[Code],Planner!G$9,ZonePeriods[FromUtc],"&lt;="&amp;$A59,ZonePeriods[UntilUtc],"&gt;"&amp;$A59)=1,ROUND(($A59+SUMIFS(ZonePeriods[OffsetHours],ZonePeriods[Code],Planner!G$9,ZonePeriods[FromUtc],"&lt;="&amp;$A59,ZonePeriods[UntilUtc],"&gt;"&amp;$A59)/24)*1440,0)/1440,NA())</f>
        <v>46288.916666666664</v>
      </c>
      <c r="H59" s="22">
        <f>IF(COUNTIFS(ZonePeriods[Code],Planner!H$9,ZonePeriods[FromUtc],"&lt;="&amp;$A59,ZonePeriods[UntilUtc],"&gt;"&amp;$A59)=1,ROUND(($A59+SUMIFS(ZonePeriods[OffsetHours],ZonePeriods[Code],Planner!H$9,ZonePeriods[FromUtc],"&lt;="&amp;$A59,ZonePeriods[UntilUtc],"&gt;"&amp;$A59)/24)*1440,0)/1440,NA())</f>
        <v>46288.791666666664</v>
      </c>
      <c r="I59" s="1"/>
      <c r="J59" s="1">
        <f t="shared" si="14"/>
        <v>540</v>
      </c>
      <c r="K59" s="1">
        <f t="shared" si="15"/>
        <v>450</v>
      </c>
      <c r="L59" s="1">
        <f t="shared" si="16"/>
        <v>300</v>
      </c>
      <c r="M59" s="1">
        <f t="shared" si="17"/>
        <v>240</v>
      </c>
      <c r="N59" s="1">
        <f t="shared" si="18"/>
        <v>180</v>
      </c>
      <c r="O59" s="1">
        <f t="shared" si="19"/>
        <v>1320</v>
      </c>
      <c r="P59" s="1">
        <f t="shared" si="20"/>
        <v>1140</v>
      </c>
      <c r="Q59" s="1"/>
      <c r="R59" s="1">
        <f t="shared" si="21"/>
        <v>2</v>
      </c>
      <c r="S59" s="1">
        <f t="shared" si="22"/>
        <v>1</v>
      </c>
      <c r="T59" s="1">
        <f t="shared" si="23"/>
        <v>0</v>
      </c>
      <c r="U59" s="1">
        <f t="shared" si="24"/>
        <v>0</v>
      </c>
      <c r="V59" s="1">
        <f t="shared" si="25"/>
        <v>0</v>
      </c>
      <c r="W59" s="1">
        <f t="shared" si="26"/>
        <v>0</v>
      </c>
      <c r="X59" s="1">
        <f t="shared" si="27"/>
        <v>1</v>
      </c>
      <c r="Y59" s="1"/>
      <c r="Z59" s="1">
        <f>IF(Planner!B$10="Nessuno",0,COUNTIFS(HolidayDates[Calendar],Planner!B$10,HolidayDates[Local date],INT(B59),HolidayDates[Active 0/1],1)+COUNTIFS(ImportedHolidays[Calendar],Planner!B$10,ImportedHolidays[Date],INT(B59),ImportedHolidays[Active],1,ImportedHolidays[Kind],"HOLIDAY"))</f>
        <v>0</v>
      </c>
      <c r="AA59" s="1">
        <f>IF(Planner!C$10="Nessuno",0,COUNTIFS(HolidayDates[Calendar],Planner!C$10,HolidayDates[Local date],INT(C59),HolidayDates[Active 0/1],1)+COUNTIFS(ImportedHolidays[Calendar],Planner!C$10,ImportedHolidays[Date],INT(C59),ImportedHolidays[Active],1,ImportedHolidays[Kind],"HOLIDAY"))</f>
        <v>0</v>
      </c>
      <c r="AB59" s="1">
        <f>IF(Planner!D$10="Nessuno",0,COUNTIFS(HolidayDates[Calendar],Planner!D$10,HolidayDates[Local date],INT(D59),HolidayDates[Active 0/1],1)+COUNTIFS(ImportedHolidays[Calendar],Planner!D$10,ImportedHolidays[Date],INT(D59),ImportedHolidays[Active],1,ImportedHolidays[Kind],"HOLIDAY"))</f>
        <v>0</v>
      </c>
      <c r="AC59" s="1">
        <f>IF(Planner!E$10="Nessuno",0,COUNTIFS(HolidayDates[Calendar],Planner!E$10,HolidayDates[Local date],INT(E59),HolidayDates[Active 0/1],1)+COUNTIFS(ImportedHolidays[Calendar],Planner!E$10,ImportedHolidays[Date],INT(E59),ImportedHolidays[Active],1,ImportedHolidays[Kind],"HOLIDAY"))</f>
        <v>0</v>
      </c>
      <c r="AD59" s="1">
        <f>IF(Planner!F$10="Nessuno",0,COUNTIFS(HolidayDates[Calendar],Planner!F$10,HolidayDates[Local date],INT(F59),HolidayDates[Active 0/1],1)+COUNTIFS(ImportedHolidays[Calendar],Planner!F$10,ImportedHolidays[Date],INT(F59),ImportedHolidays[Active],1,ImportedHolidays[Kind],"HOLIDAY"))</f>
        <v>0</v>
      </c>
      <c r="AE59" s="1">
        <f>IF(Planner!G$10="Nessuno",0,COUNTIFS(HolidayDates[Calendar],Planner!G$10,HolidayDates[Local date],INT(G59),HolidayDates[Active 0/1],1)+COUNTIFS(ImportedHolidays[Calendar],Planner!G$10,ImportedHolidays[Date],INT(G59),ImportedHolidays[Active],1,ImportedHolidays[Kind],"HOLIDAY"))</f>
        <v>0</v>
      </c>
      <c r="AF59" s="1">
        <f>IF(Planner!H$10="Nessuno",0,COUNTIFS(HolidayDates[Calendar],Planner!H$10,HolidayDates[Local date],INT(H59),HolidayDates[Active 0/1],1)+COUNTIFS(ImportedHolidays[Calendar],Planner!H$10,ImportedHolidays[Date],INT(H59),ImportedHolidays[Active],1,ImportedHolidays[Kind],"HOLIDAY"))</f>
        <v>0</v>
      </c>
      <c r="AG59" s="1"/>
      <c r="AH59" s="1" t="b">
        <f>INDEX(Parametri!$G12:$M12,1,WEEKDAY(INT(B59),2))=1</f>
        <v>0</v>
      </c>
      <c r="AI59" s="1" t="b">
        <f>INDEX(Parametri!$G13:$M13,1,WEEKDAY(INT(C59),2))=1</f>
        <v>0</v>
      </c>
      <c r="AJ59" s="1" t="b">
        <f>INDEX(Parametri!$G14:$M14,1,WEEKDAY(INT(D59),2))=1</f>
        <v>0</v>
      </c>
      <c r="AK59" s="1" t="b">
        <f>INDEX(Parametri!$G15:$M15,1,WEEKDAY(INT(E59),2))=1</f>
        <v>0</v>
      </c>
      <c r="AL59" s="1" t="b">
        <f>INDEX(Parametri!$G16:$M16,1,WEEKDAY(INT(F59),2))=1</f>
        <v>0</v>
      </c>
      <c r="AM59" s="1" t="b">
        <f>INDEX(Parametri!$G17:$M17,1,WEEKDAY(INT(G59),2))=1</f>
        <v>0</v>
      </c>
      <c r="AN59" s="1" t="b">
        <f>INDEX(Parametri!$G18:$M18,1,WEEKDAY(INT(H59),2))=1</f>
        <v>0</v>
      </c>
      <c r="AO59">
        <f>COUNTIFS(PersonalExceptions[Colonna],1,PersonalExceptions[Dal],"&lt;="&amp;INT(B59),PersonalExceptions[Al],"&gt;="&amp;INT(B59),PersonalExceptions[Active 0/1],1,PersonalExceptions[Effetto],"Rest")</f>
        <v>0</v>
      </c>
      <c r="AP59">
        <f>COUNTIFS(PersonalExceptions[Colonna],2,PersonalExceptions[Dal],"&lt;="&amp;INT(C59),PersonalExceptions[Al],"&gt;="&amp;INT(C59),PersonalExceptions[Active 0/1],1,PersonalExceptions[Effetto],"Rest")</f>
        <v>0</v>
      </c>
      <c r="AQ59">
        <f>COUNTIFS(PersonalExceptions[Colonna],3,PersonalExceptions[Dal],"&lt;="&amp;INT(D59),PersonalExceptions[Al],"&gt;="&amp;INT(D59),PersonalExceptions[Active 0/1],1,PersonalExceptions[Effetto],"Rest")</f>
        <v>0</v>
      </c>
      <c r="AR59">
        <f>COUNTIFS(PersonalExceptions[Colonna],4,PersonalExceptions[Dal],"&lt;="&amp;INT(E59),PersonalExceptions[Al],"&gt;="&amp;INT(E59),PersonalExceptions[Active 0/1],1,PersonalExceptions[Effetto],"Rest")</f>
        <v>0</v>
      </c>
      <c r="AS59">
        <f>COUNTIFS(PersonalExceptions[Colonna],5,PersonalExceptions[Dal],"&lt;="&amp;INT(F59),PersonalExceptions[Al],"&gt;="&amp;INT(F59),PersonalExceptions[Active 0/1],1,PersonalExceptions[Effetto],"Rest")</f>
        <v>0</v>
      </c>
      <c r="AT59">
        <f>COUNTIFS(PersonalExceptions[Colonna],6,PersonalExceptions[Dal],"&lt;="&amp;INT(G59),PersonalExceptions[Al],"&gt;="&amp;INT(G59),PersonalExceptions[Active 0/1],1,PersonalExceptions[Effetto],"Rest")</f>
        <v>0</v>
      </c>
      <c r="AU59">
        <f>COUNTIFS(PersonalExceptions[Colonna],7,PersonalExceptions[Dal],"&lt;="&amp;INT(H59),PersonalExceptions[Al],"&gt;="&amp;INT(H59),PersonalExceptions[Active 0/1],1,PersonalExceptions[Effetto],"Rest")</f>
        <v>0</v>
      </c>
      <c r="AW59">
        <f>COUNTIFS(PersonalExceptions[Colonna],1,PersonalExceptions[Dal],"&lt;="&amp;INT(B59),PersonalExceptions[Al],"&gt;="&amp;INT(B59),PersonalExceptions[Active 0/1],1,PersonalExceptions[Effetto],"Activity")</f>
        <v>0</v>
      </c>
      <c r="AX59">
        <f>COUNTIFS(PersonalExceptions[Colonna],2,PersonalExceptions[Dal],"&lt;="&amp;INT(C59),PersonalExceptions[Al],"&gt;="&amp;INT(C59),PersonalExceptions[Active 0/1],1,PersonalExceptions[Effetto],"Activity")</f>
        <v>0</v>
      </c>
      <c r="AY59">
        <f>COUNTIFS(PersonalExceptions[Colonna],3,PersonalExceptions[Dal],"&lt;="&amp;INT(D59),PersonalExceptions[Al],"&gt;="&amp;INT(D59),PersonalExceptions[Active 0/1],1,PersonalExceptions[Effetto],"Activity")</f>
        <v>0</v>
      </c>
      <c r="AZ59">
        <f>COUNTIFS(PersonalExceptions[Colonna],4,PersonalExceptions[Dal],"&lt;="&amp;INT(E59),PersonalExceptions[Al],"&gt;="&amp;INT(E59),PersonalExceptions[Active 0/1],1,PersonalExceptions[Effetto],"Activity")</f>
        <v>0</v>
      </c>
      <c r="BA59">
        <f>COUNTIFS(PersonalExceptions[Colonna],5,PersonalExceptions[Dal],"&lt;="&amp;INT(F59),PersonalExceptions[Al],"&gt;="&amp;INT(F59),PersonalExceptions[Active 0/1],1,PersonalExceptions[Effetto],"Activity")</f>
        <v>0</v>
      </c>
      <c r="BB59">
        <f>COUNTIFS(PersonalExceptions[Colonna],6,PersonalExceptions[Dal],"&lt;="&amp;INT(G59),PersonalExceptions[Al],"&gt;="&amp;INT(G59),PersonalExceptions[Active 0/1],1,PersonalExceptions[Effetto],"Activity")</f>
        <v>0</v>
      </c>
      <c r="BC59">
        <f>COUNTIFS(PersonalExceptions[Colonna],7,PersonalExceptions[Dal],"&lt;="&amp;INT(H59),PersonalExceptions[Al],"&gt;="&amp;INT(H59),PersonalExceptions[Active 0/1],1,PersonalExceptions[Effetto],"Activity")</f>
        <v>0</v>
      </c>
      <c r="BE59">
        <f>IF(Planner!B$10="Nessuno",0,COUNTIFS(ImportedHolidays[Calendar],Planner!B$10,ImportedHolidays[Date],INT(B59),ImportedHolidays[Active],1,ImportedHolidays[Kind],"WORKDAY"))</f>
        <v>0</v>
      </c>
      <c r="BF59">
        <f>IF(Planner!C$10="Nessuno",0,COUNTIFS(ImportedHolidays[Calendar],Planner!C$10,ImportedHolidays[Date],INT(C59),ImportedHolidays[Active],1,ImportedHolidays[Kind],"WORKDAY"))</f>
        <v>0</v>
      </c>
      <c r="BG59">
        <f>IF(Planner!D$10="Nessuno",0,COUNTIFS(ImportedHolidays[Calendar],Planner!D$10,ImportedHolidays[Date],INT(D59),ImportedHolidays[Active],1,ImportedHolidays[Kind],"WORKDAY"))</f>
        <v>0</v>
      </c>
      <c r="BH59">
        <f>IF(Planner!E$10="Nessuno",0,COUNTIFS(ImportedHolidays[Calendar],Planner!E$10,ImportedHolidays[Date],INT(E59),ImportedHolidays[Active],1,ImportedHolidays[Kind],"WORKDAY"))</f>
        <v>0</v>
      </c>
      <c r="BI59">
        <f>IF(Planner!F$10="Nessuno",0,COUNTIFS(ImportedHolidays[Calendar],Planner!F$10,ImportedHolidays[Date],INT(F59),ImportedHolidays[Active],1,ImportedHolidays[Kind],"WORKDAY"))</f>
        <v>0</v>
      </c>
      <c r="BJ59">
        <f>IF(Planner!G$10="Nessuno",0,COUNTIFS(ImportedHolidays[Calendar],Planner!G$10,ImportedHolidays[Date],INT(G59),ImportedHolidays[Active],1,ImportedHolidays[Kind],"WORKDAY"))</f>
        <v>0</v>
      </c>
      <c r="BK59">
        <f>IF(Planner!H$10="Nessuno",0,COUNTIFS(ImportedHolidays[Calendar],Planner!H$10,ImportedHolidays[Date],INT(H59),ImportedHolidays[Active],1,ImportedHolidays[Kind],"WORKDAY"))</f>
        <v>0</v>
      </c>
      <c r="BM59">
        <f>IF(MOD(J59-B$11,1440)&lt;B$12,2,IF(OR(MOD(J59-B$11,1440)&lt;B$12+ROUND(Planner!$D$5*60,0),MOD(J59-B$11,1440)&gt;=1440-ROUND(Planner!$B$5*60,0)),1,0))</f>
        <v>2</v>
      </c>
      <c r="BN59">
        <f>IF(MOD(K59-C$11,1440)&lt;C$12,2,IF(OR(MOD(K59-C$11,1440)&lt;C$12+ROUND(Planner!$D$5*60,0),MOD(K59-C$11,1440)&gt;=1440-ROUND(Planner!$B$5*60,0)),1,0))</f>
        <v>1</v>
      </c>
      <c r="BO59">
        <f>IF(MOD(L59-D$11,1440)&lt;D$12,2,IF(OR(MOD(L59-D$11,1440)&lt;D$12+ROUND(Planner!$D$5*60,0),MOD(L59-D$11,1440)&gt;=1440-ROUND(Planner!$B$5*60,0)),1,0))</f>
        <v>0</v>
      </c>
      <c r="BP59">
        <f>IF(MOD(M59-E$11,1440)&lt;E$12,2,IF(OR(MOD(M59-E$11,1440)&lt;E$12+ROUND(Planner!$D$5*60,0),MOD(M59-E$11,1440)&gt;=1440-ROUND(Planner!$B$5*60,0)),1,0))</f>
        <v>0</v>
      </c>
      <c r="BQ59">
        <f>IF(MOD(N59-F$11,1440)&lt;F$12,2,IF(OR(MOD(N59-F$11,1440)&lt;F$12+ROUND(Planner!$D$5*60,0),MOD(N59-F$11,1440)&gt;=1440-ROUND(Planner!$B$5*60,0)),1,0))</f>
        <v>0</v>
      </c>
      <c r="BR59">
        <f>IF(MOD(O59-G$11,1440)&lt;G$12,2,IF(OR(MOD(O59-G$11,1440)&lt;G$12+ROUND(Planner!$D$5*60,0),MOD(O59-G$11,1440)&gt;=1440-ROUND(Planner!$B$5*60,0)),1,0))</f>
        <v>0</v>
      </c>
      <c r="BS59">
        <f>IF(MOD(P59-H$11,1440)&lt;H$12,2,IF(OR(MOD(P59-H$11,1440)&lt;H$12+ROUND(Planner!$D$5*60,0),MOD(P59-H$11,1440)&gt;=1440-ROUND(Planner!$B$5*60,0)),1,0))</f>
        <v>1</v>
      </c>
    </row>
    <row r="60" spans="1:71">
      <c r="A60" s="22">
        <f>ROUND(($B$6+19*Planner!$F$4/1440)*1440,0)/1440</f>
        <v>46289.104166666664</v>
      </c>
      <c r="B60" s="22">
        <f>IF(COUNTIFS(ZonePeriods[Code],Planner!B$9,ZonePeriods[FromUtc],"&lt;="&amp;$A60,ZonePeriods[UntilUtc],"&gt;"&amp;$A60)=1,ROUND(($A60+SUMIFS(ZonePeriods[OffsetHours],ZonePeriods[Code],Planner!B$9,ZonePeriods[FromUtc],"&lt;="&amp;$A60,ZonePeriods[UntilUtc],"&gt;"&amp;$A60)/24)*1440,0)/1440,NA())</f>
        <v>46289.395833333336</v>
      </c>
      <c r="C60" s="22">
        <f>IF(COUNTIFS(ZonePeriods[Code],Planner!C$9,ZonePeriods[FromUtc],"&lt;="&amp;$A60,ZonePeriods[UntilUtc],"&gt;"&amp;$A60)=1,ROUND(($A60+SUMIFS(ZonePeriods[OffsetHours],ZonePeriods[Code],Planner!C$9,ZonePeriods[FromUtc],"&lt;="&amp;$A60,ZonePeriods[UntilUtc],"&gt;"&amp;$A60)/24)*1440,0)/1440,NA())</f>
        <v>46289.333333333336</v>
      </c>
      <c r="D60" s="22">
        <f>IF(COUNTIFS(ZonePeriods[Code],Planner!D$9,ZonePeriods[FromUtc],"&lt;="&amp;$A60,ZonePeriods[UntilUtc],"&gt;"&amp;$A60)=1,ROUND(($A60+SUMIFS(ZonePeriods[OffsetHours],ZonePeriods[Code],Planner!D$9,ZonePeriods[FromUtc],"&lt;="&amp;$A60,ZonePeriods[UntilUtc],"&gt;"&amp;$A60)/24)*1440,0)/1440,NA())</f>
        <v>46289.229166666664</v>
      </c>
      <c r="E60" s="22">
        <f>IF(COUNTIFS(ZonePeriods[Code],Planner!E$9,ZonePeriods[FromUtc],"&lt;="&amp;$A60,ZonePeriods[UntilUtc],"&gt;"&amp;$A60)=1,ROUND(($A60+SUMIFS(ZonePeriods[OffsetHours],ZonePeriods[Code],Planner!E$9,ZonePeriods[FromUtc],"&lt;="&amp;$A60,ZonePeriods[UntilUtc],"&gt;"&amp;$A60)/24)*1440,0)/1440,NA())</f>
        <v>46289.1875</v>
      </c>
      <c r="F60" s="22">
        <f>IF(COUNTIFS(ZonePeriods[Code],Planner!F$9,ZonePeriods[FromUtc],"&lt;="&amp;$A60,ZonePeriods[UntilUtc],"&gt;"&amp;$A60)=1,ROUND(($A60+SUMIFS(ZonePeriods[OffsetHours],ZonePeriods[Code],Planner!F$9,ZonePeriods[FromUtc],"&lt;="&amp;$A60,ZonePeriods[UntilUtc],"&gt;"&amp;$A60)/24)*1440,0)/1440,NA())</f>
        <v>46289.145833333336</v>
      </c>
      <c r="G60" s="22">
        <f>IF(COUNTIFS(ZonePeriods[Code],Planner!G$9,ZonePeriods[FromUtc],"&lt;="&amp;$A60,ZonePeriods[UntilUtc],"&gt;"&amp;$A60)=1,ROUND(($A60+SUMIFS(ZonePeriods[OffsetHours],ZonePeriods[Code],Planner!G$9,ZonePeriods[FromUtc],"&lt;="&amp;$A60,ZonePeriods[UntilUtc],"&gt;"&amp;$A60)/24)*1440,0)/1440,NA())</f>
        <v>46288.9375</v>
      </c>
      <c r="H60" s="22">
        <f>IF(COUNTIFS(ZonePeriods[Code],Planner!H$9,ZonePeriods[FromUtc],"&lt;="&amp;$A60,ZonePeriods[UntilUtc],"&gt;"&amp;$A60)=1,ROUND(($A60+SUMIFS(ZonePeriods[OffsetHours],ZonePeriods[Code],Planner!H$9,ZonePeriods[FromUtc],"&lt;="&amp;$A60,ZonePeriods[UntilUtc],"&gt;"&amp;$A60)/24)*1440,0)/1440,NA())</f>
        <v>46288.8125</v>
      </c>
      <c r="I60" s="1"/>
      <c r="J60" s="1">
        <f t="shared" si="14"/>
        <v>570</v>
      </c>
      <c r="K60" s="1">
        <f t="shared" si="15"/>
        <v>480</v>
      </c>
      <c r="L60" s="1">
        <f t="shared" si="16"/>
        <v>330</v>
      </c>
      <c r="M60" s="1">
        <f t="shared" si="17"/>
        <v>270</v>
      </c>
      <c r="N60" s="1">
        <f t="shared" si="18"/>
        <v>210</v>
      </c>
      <c r="O60" s="1">
        <f t="shared" si="19"/>
        <v>1350</v>
      </c>
      <c r="P60" s="1">
        <f t="shared" si="20"/>
        <v>1170</v>
      </c>
      <c r="Q60" s="1"/>
      <c r="R60" s="1">
        <f t="shared" si="21"/>
        <v>2</v>
      </c>
      <c r="S60" s="1">
        <f t="shared" si="22"/>
        <v>1</v>
      </c>
      <c r="T60" s="1">
        <f t="shared" si="23"/>
        <v>0</v>
      </c>
      <c r="U60" s="1">
        <f t="shared" si="24"/>
        <v>0</v>
      </c>
      <c r="V60" s="1">
        <f t="shared" si="25"/>
        <v>0</v>
      </c>
      <c r="W60" s="1">
        <f t="shared" si="26"/>
        <v>0</v>
      </c>
      <c r="X60" s="1">
        <f t="shared" si="27"/>
        <v>1</v>
      </c>
      <c r="Y60" s="1"/>
      <c r="Z60" s="1">
        <f>IF(Planner!B$10="Nessuno",0,COUNTIFS(HolidayDates[Calendar],Planner!B$10,HolidayDates[Local date],INT(B60),HolidayDates[Active 0/1],1)+COUNTIFS(ImportedHolidays[Calendar],Planner!B$10,ImportedHolidays[Date],INT(B60),ImportedHolidays[Active],1,ImportedHolidays[Kind],"HOLIDAY"))</f>
        <v>0</v>
      </c>
      <c r="AA60" s="1">
        <f>IF(Planner!C$10="Nessuno",0,COUNTIFS(HolidayDates[Calendar],Planner!C$10,HolidayDates[Local date],INT(C60),HolidayDates[Active 0/1],1)+COUNTIFS(ImportedHolidays[Calendar],Planner!C$10,ImportedHolidays[Date],INT(C60),ImportedHolidays[Active],1,ImportedHolidays[Kind],"HOLIDAY"))</f>
        <v>0</v>
      </c>
      <c r="AB60" s="1">
        <f>IF(Planner!D$10="Nessuno",0,COUNTIFS(HolidayDates[Calendar],Planner!D$10,HolidayDates[Local date],INT(D60),HolidayDates[Active 0/1],1)+COUNTIFS(ImportedHolidays[Calendar],Planner!D$10,ImportedHolidays[Date],INT(D60),ImportedHolidays[Active],1,ImportedHolidays[Kind],"HOLIDAY"))</f>
        <v>0</v>
      </c>
      <c r="AC60" s="1">
        <f>IF(Planner!E$10="Nessuno",0,COUNTIFS(HolidayDates[Calendar],Planner!E$10,HolidayDates[Local date],INT(E60),HolidayDates[Active 0/1],1)+COUNTIFS(ImportedHolidays[Calendar],Planner!E$10,ImportedHolidays[Date],INT(E60),ImportedHolidays[Active],1,ImportedHolidays[Kind],"HOLIDAY"))</f>
        <v>0</v>
      </c>
      <c r="AD60" s="1">
        <f>IF(Planner!F$10="Nessuno",0,COUNTIFS(HolidayDates[Calendar],Planner!F$10,HolidayDates[Local date],INT(F60),HolidayDates[Active 0/1],1)+COUNTIFS(ImportedHolidays[Calendar],Planner!F$10,ImportedHolidays[Date],INT(F60),ImportedHolidays[Active],1,ImportedHolidays[Kind],"HOLIDAY"))</f>
        <v>0</v>
      </c>
      <c r="AE60" s="1">
        <f>IF(Planner!G$10="Nessuno",0,COUNTIFS(HolidayDates[Calendar],Planner!G$10,HolidayDates[Local date],INT(G60),HolidayDates[Active 0/1],1)+COUNTIFS(ImportedHolidays[Calendar],Planner!G$10,ImportedHolidays[Date],INT(G60),ImportedHolidays[Active],1,ImportedHolidays[Kind],"HOLIDAY"))</f>
        <v>0</v>
      </c>
      <c r="AF60" s="1">
        <f>IF(Planner!H$10="Nessuno",0,COUNTIFS(HolidayDates[Calendar],Planner!H$10,HolidayDates[Local date],INT(H60),HolidayDates[Active 0/1],1)+COUNTIFS(ImportedHolidays[Calendar],Planner!H$10,ImportedHolidays[Date],INT(H60),ImportedHolidays[Active],1,ImportedHolidays[Kind],"HOLIDAY"))</f>
        <v>0</v>
      </c>
      <c r="AG60" s="1"/>
      <c r="AH60" s="1" t="b">
        <f>INDEX(Parametri!$G12:$M12,1,WEEKDAY(INT(B60),2))=1</f>
        <v>0</v>
      </c>
      <c r="AI60" s="1" t="b">
        <f>INDEX(Parametri!$G13:$M13,1,WEEKDAY(INT(C60),2))=1</f>
        <v>0</v>
      </c>
      <c r="AJ60" s="1" t="b">
        <f>INDEX(Parametri!$G14:$M14,1,WEEKDAY(INT(D60),2))=1</f>
        <v>0</v>
      </c>
      <c r="AK60" s="1" t="b">
        <f>INDEX(Parametri!$G15:$M15,1,WEEKDAY(INT(E60),2))=1</f>
        <v>0</v>
      </c>
      <c r="AL60" s="1" t="b">
        <f>INDEX(Parametri!$G16:$M16,1,WEEKDAY(INT(F60),2))=1</f>
        <v>0</v>
      </c>
      <c r="AM60" s="1" t="b">
        <f>INDEX(Parametri!$G17:$M17,1,WEEKDAY(INT(G60),2))=1</f>
        <v>0</v>
      </c>
      <c r="AN60" s="1" t="b">
        <f>INDEX(Parametri!$G18:$M18,1,WEEKDAY(INT(H60),2))=1</f>
        <v>0</v>
      </c>
      <c r="AO60">
        <f>COUNTIFS(PersonalExceptions[Colonna],1,PersonalExceptions[Dal],"&lt;="&amp;INT(B60),PersonalExceptions[Al],"&gt;="&amp;INT(B60),PersonalExceptions[Active 0/1],1,PersonalExceptions[Effetto],"Rest")</f>
        <v>0</v>
      </c>
      <c r="AP60">
        <f>COUNTIFS(PersonalExceptions[Colonna],2,PersonalExceptions[Dal],"&lt;="&amp;INT(C60),PersonalExceptions[Al],"&gt;="&amp;INT(C60),PersonalExceptions[Active 0/1],1,PersonalExceptions[Effetto],"Rest")</f>
        <v>0</v>
      </c>
      <c r="AQ60">
        <f>COUNTIFS(PersonalExceptions[Colonna],3,PersonalExceptions[Dal],"&lt;="&amp;INT(D60),PersonalExceptions[Al],"&gt;="&amp;INT(D60),PersonalExceptions[Active 0/1],1,PersonalExceptions[Effetto],"Rest")</f>
        <v>0</v>
      </c>
      <c r="AR60">
        <f>COUNTIFS(PersonalExceptions[Colonna],4,PersonalExceptions[Dal],"&lt;="&amp;INT(E60),PersonalExceptions[Al],"&gt;="&amp;INT(E60),PersonalExceptions[Active 0/1],1,PersonalExceptions[Effetto],"Rest")</f>
        <v>0</v>
      </c>
      <c r="AS60">
        <f>COUNTIFS(PersonalExceptions[Colonna],5,PersonalExceptions[Dal],"&lt;="&amp;INT(F60),PersonalExceptions[Al],"&gt;="&amp;INT(F60),PersonalExceptions[Active 0/1],1,PersonalExceptions[Effetto],"Rest")</f>
        <v>0</v>
      </c>
      <c r="AT60">
        <f>COUNTIFS(PersonalExceptions[Colonna],6,PersonalExceptions[Dal],"&lt;="&amp;INT(G60),PersonalExceptions[Al],"&gt;="&amp;INT(G60),PersonalExceptions[Active 0/1],1,PersonalExceptions[Effetto],"Rest")</f>
        <v>0</v>
      </c>
      <c r="AU60">
        <f>COUNTIFS(PersonalExceptions[Colonna],7,PersonalExceptions[Dal],"&lt;="&amp;INT(H60),PersonalExceptions[Al],"&gt;="&amp;INT(H60),PersonalExceptions[Active 0/1],1,PersonalExceptions[Effetto],"Rest")</f>
        <v>0</v>
      </c>
      <c r="AW60">
        <f>COUNTIFS(PersonalExceptions[Colonna],1,PersonalExceptions[Dal],"&lt;="&amp;INT(B60),PersonalExceptions[Al],"&gt;="&amp;INT(B60),PersonalExceptions[Active 0/1],1,PersonalExceptions[Effetto],"Activity")</f>
        <v>0</v>
      </c>
      <c r="AX60">
        <f>COUNTIFS(PersonalExceptions[Colonna],2,PersonalExceptions[Dal],"&lt;="&amp;INT(C60),PersonalExceptions[Al],"&gt;="&amp;INT(C60),PersonalExceptions[Active 0/1],1,PersonalExceptions[Effetto],"Activity")</f>
        <v>0</v>
      </c>
      <c r="AY60">
        <f>COUNTIFS(PersonalExceptions[Colonna],3,PersonalExceptions[Dal],"&lt;="&amp;INT(D60),PersonalExceptions[Al],"&gt;="&amp;INT(D60),PersonalExceptions[Active 0/1],1,PersonalExceptions[Effetto],"Activity")</f>
        <v>0</v>
      </c>
      <c r="AZ60">
        <f>COUNTIFS(PersonalExceptions[Colonna],4,PersonalExceptions[Dal],"&lt;="&amp;INT(E60),PersonalExceptions[Al],"&gt;="&amp;INT(E60),PersonalExceptions[Active 0/1],1,PersonalExceptions[Effetto],"Activity")</f>
        <v>0</v>
      </c>
      <c r="BA60">
        <f>COUNTIFS(PersonalExceptions[Colonna],5,PersonalExceptions[Dal],"&lt;="&amp;INT(F60),PersonalExceptions[Al],"&gt;="&amp;INT(F60),PersonalExceptions[Active 0/1],1,PersonalExceptions[Effetto],"Activity")</f>
        <v>0</v>
      </c>
      <c r="BB60">
        <f>COUNTIFS(PersonalExceptions[Colonna],6,PersonalExceptions[Dal],"&lt;="&amp;INT(G60),PersonalExceptions[Al],"&gt;="&amp;INT(G60),PersonalExceptions[Active 0/1],1,PersonalExceptions[Effetto],"Activity")</f>
        <v>0</v>
      </c>
      <c r="BC60">
        <f>COUNTIFS(PersonalExceptions[Colonna],7,PersonalExceptions[Dal],"&lt;="&amp;INT(H60),PersonalExceptions[Al],"&gt;="&amp;INT(H60),PersonalExceptions[Active 0/1],1,PersonalExceptions[Effetto],"Activity")</f>
        <v>0</v>
      </c>
      <c r="BE60">
        <f>IF(Planner!B$10="Nessuno",0,COUNTIFS(ImportedHolidays[Calendar],Planner!B$10,ImportedHolidays[Date],INT(B60),ImportedHolidays[Active],1,ImportedHolidays[Kind],"WORKDAY"))</f>
        <v>0</v>
      </c>
      <c r="BF60">
        <f>IF(Planner!C$10="Nessuno",0,COUNTIFS(ImportedHolidays[Calendar],Planner!C$10,ImportedHolidays[Date],INT(C60),ImportedHolidays[Active],1,ImportedHolidays[Kind],"WORKDAY"))</f>
        <v>0</v>
      </c>
      <c r="BG60">
        <f>IF(Planner!D$10="Nessuno",0,COUNTIFS(ImportedHolidays[Calendar],Planner!D$10,ImportedHolidays[Date],INT(D60),ImportedHolidays[Active],1,ImportedHolidays[Kind],"WORKDAY"))</f>
        <v>0</v>
      </c>
      <c r="BH60">
        <f>IF(Planner!E$10="Nessuno",0,COUNTIFS(ImportedHolidays[Calendar],Planner!E$10,ImportedHolidays[Date],INT(E60),ImportedHolidays[Active],1,ImportedHolidays[Kind],"WORKDAY"))</f>
        <v>0</v>
      </c>
      <c r="BI60">
        <f>IF(Planner!F$10="Nessuno",0,COUNTIFS(ImportedHolidays[Calendar],Planner!F$10,ImportedHolidays[Date],INT(F60),ImportedHolidays[Active],1,ImportedHolidays[Kind],"WORKDAY"))</f>
        <v>0</v>
      </c>
      <c r="BJ60">
        <f>IF(Planner!G$10="Nessuno",0,COUNTIFS(ImportedHolidays[Calendar],Planner!G$10,ImportedHolidays[Date],INT(G60),ImportedHolidays[Active],1,ImportedHolidays[Kind],"WORKDAY"))</f>
        <v>0</v>
      </c>
      <c r="BK60">
        <f>IF(Planner!H$10="Nessuno",0,COUNTIFS(ImportedHolidays[Calendar],Planner!H$10,ImportedHolidays[Date],INT(H60),ImportedHolidays[Active],1,ImportedHolidays[Kind],"WORKDAY"))</f>
        <v>0</v>
      </c>
      <c r="BM60">
        <f>IF(MOD(J60-B$11,1440)&lt;B$12,2,IF(OR(MOD(J60-B$11,1440)&lt;B$12+ROUND(Planner!$D$5*60,0),MOD(J60-B$11,1440)&gt;=1440-ROUND(Planner!$B$5*60,0)),1,0))</f>
        <v>2</v>
      </c>
      <c r="BN60">
        <f>IF(MOD(K60-C$11,1440)&lt;C$12,2,IF(OR(MOD(K60-C$11,1440)&lt;C$12+ROUND(Planner!$D$5*60,0),MOD(K60-C$11,1440)&gt;=1440-ROUND(Planner!$B$5*60,0)),1,0))</f>
        <v>1</v>
      </c>
      <c r="BO60">
        <f>IF(MOD(L60-D$11,1440)&lt;D$12,2,IF(OR(MOD(L60-D$11,1440)&lt;D$12+ROUND(Planner!$D$5*60,0),MOD(L60-D$11,1440)&gt;=1440-ROUND(Planner!$B$5*60,0)),1,0))</f>
        <v>0</v>
      </c>
      <c r="BP60">
        <f>IF(MOD(M60-E$11,1440)&lt;E$12,2,IF(OR(MOD(M60-E$11,1440)&lt;E$12+ROUND(Planner!$D$5*60,0),MOD(M60-E$11,1440)&gt;=1440-ROUND(Planner!$B$5*60,0)),1,0))</f>
        <v>0</v>
      </c>
      <c r="BQ60">
        <f>IF(MOD(N60-F$11,1440)&lt;F$12,2,IF(OR(MOD(N60-F$11,1440)&lt;F$12+ROUND(Planner!$D$5*60,0),MOD(N60-F$11,1440)&gt;=1440-ROUND(Planner!$B$5*60,0)),1,0))</f>
        <v>0</v>
      </c>
      <c r="BR60">
        <f>IF(MOD(O60-G$11,1440)&lt;G$12,2,IF(OR(MOD(O60-G$11,1440)&lt;G$12+ROUND(Planner!$D$5*60,0),MOD(O60-G$11,1440)&gt;=1440-ROUND(Planner!$B$5*60,0)),1,0))</f>
        <v>0</v>
      </c>
      <c r="BS60">
        <f>IF(MOD(P60-H$11,1440)&lt;H$12,2,IF(OR(MOD(P60-H$11,1440)&lt;H$12+ROUND(Planner!$D$5*60,0),MOD(P60-H$11,1440)&gt;=1440-ROUND(Planner!$B$5*60,0)),1,0))</f>
        <v>1</v>
      </c>
    </row>
    <row r="61" spans="1:71">
      <c r="A61" s="22">
        <f>ROUND(($B$6+20*Planner!$F$4/1440)*1440,0)/1440</f>
        <v>46289.125</v>
      </c>
      <c r="B61" s="22">
        <f>IF(COUNTIFS(ZonePeriods[Code],Planner!B$9,ZonePeriods[FromUtc],"&lt;="&amp;$A61,ZonePeriods[UntilUtc],"&gt;"&amp;$A61)=1,ROUND(($A61+SUMIFS(ZonePeriods[OffsetHours],ZonePeriods[Code],Planner!B$9,ZonePeriods[FromUtc],"&lt;="&amp;$A61,ZonePeriods[UntilUtc],"&gt;"&amp;$A61)/24)*1440,0)/1440,NA())</f>
        <v>46289.416666666664</v>
      </c>
      <c r="C61" s="22">
        <f>IF(COUNTIFS(ZonePeriods[Code],Planner!C$9,ZonePeriods[FromUtc],"&lt;="&amp;$A61,ZonePeriods[UntilUtc],"&gt;"&amp;$A61)=1,ROUND(($A61+SUMIFS(ZonePeriods[OffsetHours],ZonePeriods[Code],Planner!C$9,ZonePeriods[FromUtc],"&lt;="&amp;$A61,ZonePeriods[UntilUtc],"&gt;"&amp;$A61)/24)*1440,0)/1440,NA())</f>
        <v>46289.354166666664</v>
      </c>
      <c r="D61" s="22">
        <f>IF(COUNTIFS(ZonePeriods[Code],Planner!D$9,ZonePeriods[FromUtc],"&lt;="&amp;$A61,ZonePeriods[UntilUtc],"&gt;"&amp;$A61)=1,ROUND(($A61+SUMIFS(ZonePeriods[OffsetHours],ZonePeriods[Code],Planner!D$9,ZonePeriods[FromUtc],"&lt;="&amp;$A61,ZonePeriods[UntilUtc],"&gt;"&amp;$A61)/24)*1440,0)/1440,NA())</f>
        <v>46289.25</v>
      </c>
      <c r="E61" s="22">
        <f>IF(COUNTIFS(ZonePeriods[Code],Planner!E$9,ZonePeriods[FromUtc],"&lt;="&amp;$A61,ZonePeriods[UntilUtc],"&gt;"&amp;$A61)=1,ROUND(($A61+SUMIFS(ZonePeriods[OffsetHours],ZonePeriods[Code],Planner!E$9,ZonePeriods[FromUtc],"&lt;="&amp;$A61,ZonePeriods[UntilUtc],"&gt;"&amp;$A61)/24)*1440,0)/1440,NA())</f>
        <v>46289.208333333336</v>
      </c>
      <c r="F61" s="22">
        <f>IF(COUNTIFS(ZonePeriods[Code],Planner!F$9,ZonePeriods[FromUtc],"&lt;="&amp;$A61,ZonePeriods[UntilUtc],"&gt;"&amp;$A61)=1,ROUND(($A61+SUMIFS(ZonePeriods[OffsetHours],ZonePeriods[Code],Planner!F$9,ZonePeriods[FromUtc],"&lt;="&amp;$A61,ZonePeriods[UntilUtc],"&gt;"&amp;$A61)/24)*1440,0)/1440,NA())</f>
        <v>46289.166666666664</v>
      </c>
      <c r="G61" s="22">
        <f>IF(COUNTIFS(ZonePeriods[Code],Planner!G$9,ZonePeriods[FromUtc],"&lt;="&amp;$A61,ZonePeriods[UntilUtc],"&gt;"&amp;$A61)=1,ROUND(($A61+SUMIFS(ZonePeriods[OffsetHours],ZonePeriods[Code],Planner!G$9,ZonePeriods[FromUtc],"&lt;="&amp;$A61,ZonePeriods[UntilUtc],"&gt;"&amp;$A61)/24)*1440,0)/1440,NA())</f>
        <v>46288.958333333336</v>
      </c>
      <c r="H61" s="22">
        <f>IF(COUNTIFS(ZonePeriods[Code],Planner!H$9,ZonePeriods[FromUtc],"&lt;="&amp;$A61,ZonePeriods[UntilUtc],"&gt;"&amp;$A61)=1,ROUND(($A61+SUMIFS(ZonePeriods[OffsetHours],ZonePeriods[Code],Planner!H$9,ZonePeriods[FromUtc],"&lt;="&amp;$A61,ZonePeriods[UntilUtc],"&gt;"&amp;$A61)/24)*1440,0)/1440,NA())</f>
        <v>46288.833333333336</v>
      </c>
      <c r="I61" s="1"/>
      <c r="J61" s="1">
        <f t="shared" si="14"/>
        <v>600</v>
      </c>
      <c r="K61" s="1">
        <f t="shared" si="15"/>
        <v>510</v>
      </c>
      <c r="L61" s="1">
        <f t="shared" si="16"/>
        <v>360</v>
      </c>
      <c r="M61" s="1">
        <f t="shared" si="17"/>
        <v>300</v>
      </c>
      <c r="N61" s="1">
        <f t="shared" si="18"/>
        <v>240</v>
      </c>
      <c r="O61" s="1">
        <f t="shared" si="19"/>
        <v>1380</v>
      </c>
      <c r="P61" s="1">
        <f t="shared" si="20"/>
        <v>1200</v>
      </c>
      <c r="Q61" s="1"/>
      <c r="R61" s="1">
        <f t="shared" si="21"/>
        <v>2</v>
      </c>
      <c r="S61" s="1">
        <f t="shared" si="22"/>
        <v>1</v>
      </c>
      <c r="T61" s="1">
        <f t="shared" si="23"/>
        <v>0</v>
      </c>
      <c r="U61" s="1">
        <f t="shared" si="24"/>
        <v>0</v>
      </c>
      <c r="V61" s="1">
        <f t="shared" si="25"/>
        <v>0</v>
      </c>
      <c r="W61" s="1">
        <f t="shared" si="26"/>
        <v>0</v>
      </c>
      <c r="X61" s="1">
        <f t="shared" si="27"/>
        <v>0</v>
      </c>
      <c r="Y61" s="1"/>
      <c r="Z61" s="1">
        <f>IF(Planner!B$10="Nessuno",0,COUNTIFS(HolidayDates[Calendar],Planner!B$10,HolidayDates[Local date],INT(B61),HolidayDates[Active 0/1],1)+COUNTIFS(ImportedHolidays[Calendar],Planner!B$10,ImportedHolidays[Date],INT(B61),ImportedHolidays[Active],1,ImportedHolidays[Kind],"HOLIDAY"))</f>
        <v>0</v>
      </c>
      <c r="AA61" s="1">
        <f>IF(Planner!C$10="Nessuno",0,COUNTIFS(HolidayDates[Calendar],Planner!C$10,HolidayDates[Local date],INT(C61),HolidayDates[Active 0/1],1)+COUNTIFS(ImportedHolidays[Calendar],Planner!C$10,ImportedHolidays[Date],INT(C61),ImportedHolidays[Active],1,ImportedHolidays[Kind],"HOLIDAY"))</f>
        <v>0</v>
      </c>
      <c r="AB61" s="1">
        <f>IF(Planner!D$10="Nessuno",0,COUNTIFS(HolidayDates[Calendar],Planner!D$10,HolidayDates[Local date],INT(D61),HolidayDates[Active 0/1],1)+COUNTIFS(ImportedHolidays[Calendar],Planner!D$10,ImportedHolidays[Date],INT(D61),ImportedHolidays[Active],1,ImportedHolidays[Kind],"HOLIDAY"))</f>
        <v>0</v>
      </c>
      <c r="AC61" s="1">
        <f>IF(Planner!E$10="Nessuno",0,COUNTIFS(HolidayDates[Calendar],Planner!E$10,HolidayDates[Local date],INT(E61),HolidayDates[Active 0/1],1)+COUNTIFS(ImportedHolidays[Calendar],Planner!E$10,ImportedHolidays[Date],INT(E61),ImportedHolidays[Active],1,ImportedHolidays[Kind],"HOLIDAY"))</f>
        <v>0</v>
      </c>
      <c r="AD61" s="1">
        <f>IF(Planner!F$10="Nessuno",0,COUNTIFS(HolidayDates[Calendar],Planner!F$10,HolidayDates[Local date],INT(F61),HolidayDates[Active 0/1],1)+COUNTIFS(ImportedHolidays[Calendar],Planner!F$10,ImportedHolidays[Date],INT(F61),ImportedHolidays[Active],1,ImportedHolidays[Kind],"HOLIDAY"))</f>
        <v>0</v>
      </c>
      <c r="AE61" s="1">
        <f>IF(Planner!G$10="Nessuno",0,COUNTIFS(HolidayDates[Calendar],Planner!G$10,HolidayDates[Local date],INT(G61),HolidayDates[Active 0/1],1)+COUNTIFS(ImportedHolidays[Calendar],Planner!G$10,ImportedHolidays[Date],INT(G61),ImportedHolidays[Active],1,ImportedHolidays[Kind],"HOLIDAY"))</f>
        <v>0</v>
      </c>
      <c r="AF61" s="1">
        <f>IF(Planner!H$10="Nessuno",0,COUNTIFS(HolidayDates[Calendar],Planner!H$10,HolidayDates[Local date],INT(H61),HolidayDates[Active 0/1],1)+COUNTIFS(ImportedHolidays[Calendar],Planner!H$10,ImportedHolidays[Date],INT(H61),ImportedHolidays[Active],1,ImportedHolidays[Kind],"HOLIDAY"))</f>
        <v>0</v>
      </c>
      <c r="AG61" s="1"/>
      <c r="AH61" s="1" t="b">
        <f>INDEX(Parametri!$G12:$M12,1,WEEKDAY(INT(B61),2))=1</f>
        <v>0</v>
      </c>
      <c r="AI61" s="1" t="b">
        <f>INDEX(Parametri!$G13:$M13,1,WEEKDAY(INT(C61),2))=1</f>
        <v>0</v>
      </c>
      <c r="AJ61" s="1" t="b">
        <f>INDEX(Parametri!$G14:$M14,1,WEEKDAY(INT(D61),2))=1</f>
        <v>0</v>
      </c>
      <c r="AK61" s="1" t="b">
        <f>INDEX(Parametri!$G15:$M15,1,WEEKDAY(INT(E61),2))=1</f>
        <v>0</v>
      </c>
      <c r="AL61" s="1" t="b">
        <f>INDEX(Parametri!$G16:$M16,1,WEEKDAY(INT(F61),2))=1</f>
        <v>0</v>
      </c>
      <c r="AM61" s="1" t="b">
        <f>INDEX(Parametri!$G17:$M17,1,WEEKDAY(INT(G61),2))=1</f>
        <v>0</v>
      </c>
      <c r="AN61" s="1" t="b">
        <f>INDEX(Parametri!$G18:$M18,1,WEEKDAY(INT(H61),2))=1</f>
        <v>0</v>
      </c>
      <c r="AO61">
        <f>COUNTIFS(PersonalExceptions[Colonna],1,PersonalExceptions[Dal],"&lt;="&amp;INT(B61),PersonalExceptions[Al],"&gt;="&amp;INT(B61),PersonalExceptions[Active 0/1],1,PersonalExceptions[Effetto],"Rest")</f>
        <v>0</v>
      </c>
      <c r="AP61">
        <f>COUNTIFS(PersonalExceptions[Colonna],2,PersonalExceptions[Dal],"&lt;="&amp;INT(C61),PersonalExceptions[Al],"&gt;="&amp;INT(C61),PersonalExceptions[Active 0/1],1,PersonalExceptions[Effetto],"Rest")</f>
        <v>0</v>
      </c>
      <c r="AQ61">
        <f>COUNTIFS(PersonalExceptions[Colonna],3,PersonalExceptions[Dal],"&lt;="&amp;INT(D61),PersonalExceptions[Al],"&gt;="&amp;INT(D61),PersonalExceptions[Active 0/1],1,PersonalExceptions[Effetto],"Rest")</f>
        <v>0</v>
      </c>
      <c r="AR61">
        <f>COUNTIFS(PersonalExceptions[Colonna],4,PersonalExceptions[Dal],"&lt;="&amp;INT(E61),PersonalExceptions[Al],"&gt;="&amp;INT(E61),PersonalExceptions[Active 0/1],1,PersonalExceptions[Effetto],"Rest")</f>
        <v>0</v>
      </c>
      <c r="AS61">
        <f>COUNTIFS(PersonalExceptions[Colonna],5,PersonalExceptions[Dal],"&lt;="&amp;INT(F61),PersonalExceptions[Al],"&gt;="&amp;INT(F61),PersonalExceptions[Active 0/1],1,PersonalExceptions[Effetto],"Rest")</f>
        <v>0</v>
      </c>
      <c r="AT61">
        <f>COUNTIFS(PersonalExceptions[Colonna],6,PersonalExceptions[Dal],"&lt;="&amp;INT(G61),PersonalExceptions[Al],"&gt;="&amp;INT(G61),PersonalExceptions[Active 0/1],1,PersonalExceptions[Effetto],"Rest")</f>
        <v>0</v>
      </c>
      <c r="AU61">
        <f>COUNTIFS(PersonalExceptions[Colonna],7,PersonalExceptions[Dal],"&lt;="&amp;INT(H61),PersonalExceptions[Al],"&gt;="&amp;INT(H61),PersonalExceptions[Active 0/1],1,PersonalExceptions[Effetto],"Rest")</f>
        <v>0</v>
      </c>
      <c r="AW61">
        <f>COUNTIFS(PersonalExceptions[Colonna],1,PersonalExceptions[Dal],"&lt;="&amp;INT(B61),PersonalExceptions[Al],"&gt;="&amp;INT(B61),PersonalExceptions[Active 0/1],1,PersonalExceptions[Effetto],"Activity")</f>
        <v>0</v>
      </c>
      <c r="AX61">
        <f>COUNTIFS(PersonalExceptions[Colonna],2,PersonalExceptions[Dal],"&lt;="&amp;INT(C61),PersonalExceptions[Al],"&gt;="&amp;INT(C61),PersonalExceptions[Active 0/1],1,PersonalExceptions[Effetto],"Activity")</f>
        <v>0</v>
      </c>
      <c r="AY61">
        <f>COUNTIFS(PersonalExceptions[Colonna],3,PersonalExceptions[Dal],"&lt;="&amp;INT(D61),PersonalExceptions[Al],"&gt;="&amp;INT(D61),PersonalExceptions[Active 0/1],1,PersonalExceptions[Effetto],"Activity")</f>
        <v>0</v>
      </c>
      <c r="AZ61">
        <f>COUNTIFS(PersonalExceptions[Colonna],4,PersonalExceptions[Dal],"&lt;="&amp;INT(E61),PersonalExceptions[Al],"&gt;="&amp;INT(E61),PersonalExceptions[Active 0/1],1,PersonalExceptions[Effetto],"Activity")</f>
        <v>0</v>
      </c>
      <c r="BA61">
        <f>COUNTIFS(PersonalExceptions[Colonna],5,PersonalExceptions[Dal],"&lt;="&amp;INT(F61),PersonalExceptions[Al],"&gt;="&amp;INT(F61),PersonalExceptions[Active 0/1],1,PersonalExceptions[Effetto],"Activity")</f>
        <v>0</v>
      </c>
      <c r="BB61">
        <f>COUNTIFS(PersonalExceptions[Colonna],6,PersonalExceptions[Dal],"&lt;="&amp;INT(G61),PersonalExceptions[Al],"&gt;="&amp;INT(G61),PersonalExceptions[Active 0/1],1,PersonalExceptions[Effetto],"Activity")</f>
        <v>0</v>
      </c>
      <c r="BC61">
        <f>COUNTIFS(PersonalExceptions[Colonna],7,PersonalExceptions[Dal],"&lt;="&amp;INT(H61),PersonalExceptions[Al],"&gt;="&amp;INT(H61),PersonalExceptions[Active 0/1],1,PersonalExceptions[Effetto],"Activity")</f>
        <v>0</v>
      </c>
      <c r="BE61">
        <f>IF(Planner!B$10="Nessuno",0,COUNTIFS(ImportedHolidays[Calendar],Planner!B$10,ImportedHolidays[Date],INT(B61),ImportedHolidays[Active],1,ImportedHolidays[Kind],"WORKDAY"))</f>
        <v>0</v>
      </c>
      <c r="BF61">
        <f>IF(Planner!C$10="Nessuno",0,COUNTIFS(ImportedHolidays[Calendar],Planner!C$10,ImportedHolidays[Date],INT(C61),ImportedHolidays[Active],1,ImportedHolidays[Kind],"WORKDAY"))</f>
        <v>0</v>
      </c>
      <c r="BG61">
        <f>IF(Planner!D$10="Nessuno",0,COUNTIFS(ImportedHolidays[Calendar],Planner!D$10,ImportedHolidays[Date],INT(D61),ImportedHolidays[Active],1,ImportedHolidays[Kind],"WORKDAY"))</f>
        <v>0</v>
      </c>
      <c r="BH61">
        <f>IF(Planner!E$10="Nessuno",0,COUNTIFS(ImportedHolidays[Calendar],Planner!E$10,ImportedHolidays[Date],INT(E61),ImportedHolidays[Active],1,ImportedHolidays[Kind],"WORKDAY"))</f>
        <v>0</v>
      </c>
      <c r="BI61">
        <f>IF(Planner!F$10="Nessuno",0,COUNTIFS(ImportedHolidays[Calendar],Planner!F$10,ImportedHolidays[Date],INT(F61),ImportedHolidays[Active],1,ImportedHolidays[Kind],"WORKDAY"))</f>
        <v>0</v>
      </c>
      <c r="BJ61">
        <f>IF(Planner!G$10="Nessuno",0,COUNTIFS(ImportedHolidays[Calendar],Planner!G$10,ImportedHolidays[Date],INT(G61),ImportedHolidays[Active],1,ImportedHolidays[Kind],"WORKDAY"))</f>
        <v>0</v>
      </c>
      <c r="BK61">
        <f>IF(Planner!H$10="Nessuno",0,COUNTIFS(ImportedHolidays[Calendar],Planner!H$10,ImportedHolidays[Date],INT(H61),ImportedHolidays[Active],1,ImportedHolidays[Kind],"WORKDAY"))</f>
        <v>0</v>
      </c>
      <c r="BM61">
        <f>IF(MOD(J61-B$11,1440)&lt;B$12,2,IF(OR(MOD(J61-B$11,1440)&lt;B$12+ROUND(Planner!$D$5*60,0),MOD(J61-B$11,1440)&gt;=1440-ROUND(Planner!$B$5*60,0)),1,0))</f>
        <v>2</v>
      </c>
      <c r="BN61">
        <f>IF(MOD(K61-C$11,1440)&lt;C$12,2,IF(OR(MOD(K61-C$11,1440)&lt;C$12+ROUND(Planner!$D$5*60,0),MOD(K61-C$11,1440)&gt;=1440-ROUND(Planner!$B$5*60,0)),1,0))</f>
        <v>1</v>
      </c>
      <c r="BO61">
        <f>IF(MOD(L61-D$11,1440)&lt;D$12,2,IF(OR(MOD(L61-D$11,1440)&lt;D$12+ROUND(Planner!$D$5*60,0),MOD(L61-D$11,1440)&gt;=1440-ROUND(Planner!$B$5*60,0)),1,0))</f>
        <v>0</v>
      </c>
      <c r="BP61">
        <f>IF(MOD(M61-E$11,1440)&lt;E$12,2,IF(OR(MOD(M61-E$11,1440)&lt;E$12+ROUND(Planner!$D$5*60,0),MOD(M61-E$11,1440)&gt;=1440-ROUND(Planner!$B$5*60,0)),1,0))</f>
        <v>0</v>
      </c>
      <c r="BQ61">
        <f>IF(MOD(N61-F$11,1440)&lt;F$12,2,IF(OR(MOD(N61-F$11,1440)&lt;F$12+ROUND(Planner!$D$5*60,0),MOD(N61-F$11,1440)&gt;=1440-ROUND(Planner!$B$5*60,0)),1,0))</f>
        <v>0</v>
      </c>
      <c r="BR61">
        <f>IF(MOD(O61-G$11,1440)&lt;G$12,2,IF(OR(MOD(O61-G$11,1440)&lt;G$12+ROUND(Planner!$D$5*60,0),MOD(O61-G$11,1440)&gt;=1440-ROUND(Planner!$B$5*60,0)),1,0))</f>
        <v>0</v>
      </c>
      <c r="BS61">
        <f>IF(MOD(P61-H$11,1440)&lt;H$12,2,IF(OR(MOD(P61-H$11,1440)&lt;H$12+ROUND(Planner!$D$5*60,0),MOD(P61-H$11,1440)&gt;=1440-ROUND(Planner!$B$5*60,0)),1,0))</f>
        <v>0</v>
      </c>
    </row>
    <row r="62" spans="1:71">
      <c r="A62" s="22">
        <f>ROUND(($B$6+21*Planner!$F$4/1440)*1440,0)/1440</f>
        <v>46289.145833333336</v>
      </c>
      <c r="B62" s="22">
        <f>IF(COUNTIFS(ZonePeriods[Code],Planner!B$9,ZonePeriods[FromUtc],"&lt;="&amp;$A62,ZonePeriods[UntilUtc],"&gt;"&amp;$A62)=1,ROUND(($A62+SUMIFS(ZonePeriods[OffsetHours],ZonePeriods[Code],Planner!B$9,ZonePeriods[FromUtc],"&lt;="&amp;$A62,ZonePeriods[UntilUtc],"&gt;"&amp;$A62)/24)*1440,0)/1440,NA())</f>
        <v>46289.4375</v>
      </c>
      <c r="C62" s="22">
        <f>IF(COUNTIFS(ZonePeriods[Code],Planner!C$9,ZonePeriods[FromUtc],"&lt;="&amp;$A62,ZonePeriods[UntilUtc],"&gt;"&amp;$A62)=1,ROUND(($A62+SUMIFS(ZonePeriods[OffsetHours],ZonePeriods[Code],Planner!C$9,ZonePeriods[FromUtc],"&lt;="&amp;$A62,ZonePeriods[UntilUtc],"&gt;"&amp;$A62)/24)*1440,0)/1440,NA())</f>
        <v>46289.375</v>
      </c>
      <c r="D62" s="22">
        <f>IF(COUNTIFS(ZonePeriods[Code],Planner!D$9,ZonePeriods[FromUtc],"&lt;="&amp;$A62,ZonePeriods[UntilUtc],"&gt;"&amp;$A62)=1,ROUND(($A62+SUMIFS(ZonePeriods[OffsetHours],ZonePeriods[Code],Planner!D$9,ZonePeriods[FromUtc],"&lt;="&amp;$A62,ZonePeriods[UntilUtc],"&gt;"&amp;$A62)/24)*1440,0)/1440,NA())</f>
        <v>46289.270833333336</v>
      </c>
      <c r="E62" s="22">
        <f>IF(COUNTIFS(ZonePeriods[Code],Planner!E$9,ZonePeriods[FromUtc],"&lt;="&amp;$A62,ZonePeriods[UntilUtc],"&gt;"&amp;$A62)=1,ROUND(($A62+SUMIFS(ZonePeriods[OffsetHours],ZonePeriods[Code],Planner!E$9,ZonePeriods[FromUtc],"&lt;="&amp;$A62,ZonePeriods[UntilUtc],"&gt;"&amp;$A62)/24)*1440,0)/1440,NA())</f>
        <v>46289.229166666664</v>
      </c>
      <c r="F62" s="22">
        <f>IF(COUNTIFS(ZonePeriods[Code],Planner!F$9,ZonePeriods[FromUtc],"&lt;="&amp;$A62,ZonePeriods[UntilUtc],"&gt;"&amp;$A62)=1,ROUND(($A62+SUMIFS(ZonePeriods[OffsetHours],ZonePeriods[Code],Planner!F$9,ZonePeriods[FromUtc],"&lt;="&amp;$A62,ZonePeriods[UntilUtc],"&gt;"&amp;$A62)/24)*1440,0)/1440,NA())</f>
        <v>46289.1875</v>
      </c>
      <c r="G62" s="22">
        <f>IF(COUNTIFS(ZonePeriods[Code],Planner!G$9,ZonePeriods[FromUtc],"&lt;="&amp;$A62,ZonePeriods[UntilUtc],"&gt;"&amp;$A62)=1,ROUND(($A62+SUMIFS(ZonePeriods[OffsetHours],ZonePeriods[Code],Planner!G$9,ZonePeriods[FromUtc],"&lt;="&amp;$A62,ZonePeriods[UntilUtc],"&gt;"&amp;$A62)/24)*1440,0)/1440,NA())</f>
        <v>46288.979166666664</v>
      </c>
      <c r="H62" s="22">
        <f>IF(COUNTIFS(ZonePeriods[Code],Planner!H$9,ZonePeriods[FromUtc],"&lt;="&amp;$A62,ZonePeriods[UntilUtc],"&gt;"&amp;$A62)=1,ROUND(($A62+SUMIFS(ZonePeriods[OffsetHours],ZonePeriods[Code],Planner!H$9,ZonePeriods[FromUtc],"&lt;="&amp;$A62,ZonePeriods[UntilUtc],"&gt;"&amp;$A62)/24)*1440,0)/1440,NA())</f>
        <v>46288.854166666664</v>
      </c>
      <c r="I62" s="1"/>
      <c r="J62" s="1">
        <f t="shared" si="14"/>
        <v>630</v>
      </c>
      <c r="K62" s="1">
        <f t="shared" si="15"/>
        <v>540</v>
      </c>
      <c r="L62" s="1">
        <f t="shared" si="16"/>
        <v>390</v>
      </c>
      <c r="M62" s="1">
        <f t="shared" si="17"/>
        <v>330</v>
      </c>
      <c r="N62" s="1">
        <f t="shared" si="18"/>
        <v>270</v>
      </c>
      <c r="O62" s="1">
        <f t="shared" si="19"/>
        <v>1410</v>
      </c>
      <c r="P62" s="1">
        <f t="shared" si="20"/>
        <v>1230</v>
      </c>
      <c r="Q62" s="1"/>
      <c r="R62" s="1">
        <f t="shared" si="21"/>
        <v>2</v>
      </c>
      <c r="S62" s="1">
        <f t="shared" si="22"/>
        <v>2</v>
      </c>
      <c r="T62" s="1">
        <f t="shared" si="23"/>
        <v>0</v>
      </c>
      <c r="U62" s="1">
        <f t="shared" si="24"/>
        <v>0</v>
      </c>
      <c r="V62" s="1">
        <f t="shared" si="25"/>
        <v>0</v>
      </c>
      <c r="W62" s="1">
        <f t="shared" si="26"/>
        <v>0</v>
      </c>
      <c r="X62" s="1">
        <f t="shared" si="27"/>
        <v>0</v>
      </c>
      <c r="Y62" s="1"/>
      <c r="Z62" s="1">
        <f>IF(Planner!B$10="Nessuno",0,COUNTIFS(HolidayDates[Calendar],Planner!B$10,HolidayDates[Local date],INT(B62),HolidayDates[Active 0/1],1)+COUNTIFS(ImportedHolidays[Calendar],Planner!B$10,ImportedHolidays[Date],INT(B62),ImportedHolidays[Active],1,ImportedHolidays[Kind],"HOLIDAY"))</f>
        <v>0</v>
      </c>
      <c r="AA62" s="1">
        <f>IF(Planner!C$10="Nessuno",0,COUNTIFS(HolidayDates[Calendar],Planner!C$10,HolidayDates[Local date],INT(C62),HolidayDates[Active 0/1],1)+COUNTIFS(ImportedHolidays[Calendar],Planner!C$10,ImportedHolidays[Date],INT(C62),ImportedHolidays[Active],1,ImportedHolidays[Kind],"HOLIDAY"))</f>
        <v>0</v>
      </c>
      <c r="AB62" s="1">
        <f>IF(Planner!D$10="Nessuno",0,COUNTIFS(HolidayDates[Calendar],Planner!D$10,HolidayDates[Local date],INT(D62),HolidayDates[Active 0/1],1)+COUNTIFS(ImportedHolidays[Calendar],Planner!D$10,ImportedHolidays[Date],INT(D62),ImportedHolidays[Active],1,ImportedHolidays[Kind],"HOLIDAY"))</f>
        <v>0</v>
      </c>
      <c r="AC62" s="1">
        <f>IF(Planner!E$10="Nessuno",0,COUNTIFS(HolidayDates[Calendar],Planner!E$10,HolidayDates[Local date],INT(E62),HolidayDates[Active 0/1],1)+COUNTIFS(ImportedHolidays[Calendar],Planner!E$10,ImportedHolidays[Date],INT(E62),ImportedHolidays[Active],1,ImportedHolidays[Kind],"HOLIDAY"))</f>
        <v>0</v>
      </c>
      <c r="AD62" s="1">
        <f>IF(Planner!F$10="Nessuno",0,COUNTIFS(HolidayDates[Calendar],Planner!F$10,HolidayDates[Local date],INT(F62),HolidayDates[Active 0/1],1)+COUNTIFS(ImportedHolidays[Calendar],Planner!F$10,ImportedHolidays[Date],INT(F62),ImportedHolidays[Active],1,ImportedHolidays[Kind],"HOLIDAY"))</f>
        <v>0</v>
      </c>
      <c r="AE62" s="1">
        <f>IF(Planner!G$10="Nessuno",0,COUNTIFS(HolidayDates[Calendar],Planner!G$10,HolidayDates[Local date],INT(G62),HolidayDates[Active 0/1],1)+COUNTIFS(ImportedHolidays[Calendar],Planner!G$10,ImportedHolidays[Date],INT(G62),ImportedHolidays[Active],1,ImportedHolidays[Kind],"HOLIDAY"))</f>
        <v>0</v>
      </c>
      <c r="AF62" s="1">
        <f>IF(Planner!H$10="Nessuno",0,COUNTIFS(HolidayDates[Calendar],Planner!H$10,HolidayDates[Local date],INT(H62),HolidayDates[Active 0/1],1)+COUNTIFS(ImportedHolidays[Calendar],Planner!H$10,ImportedHolidays[Date],INT(H62),ImportedHolidays[Active],1,ImportedHolidays[Kind],"HOLIDAY"))</f>
        <v>0</v>
      </c>
      <c r="AG62" s="1"/>
      <c r="AH62" s="1" t="b">
        <f>INDEX(Parametri!$G12:$M12,1,WEEKDAY(INT(B62),2))=1</f>
        <v>0</v>
      </c>
      <c r="AI62" s="1" t="b">
        <f>INDEX(Parametri!$G13:$M13,1,WEEKDAY(INT(C62),2))=1</f>
        <v>0</v>
      </c>
      <c r="AJ62" s="1" t="b">
        <f>INDEX(Parametri!$G14:$M14,1,WEEKDAY(INT(D62),2))=1</f>
        <v>0</v>
      </c>
      <c r="AK62" s="1" t="b">
        <f>INDEX(Parametri!$G15:$M15,1,WEEKDAY(INT(E62),2))=1</f>
        <v>0</v>
      </c>
      <c r="AL62" s="1" t="b">
        <f>INDEX(Parametri!$G16:$M16,1,WEEKDAY(INT(F62),2))=1</f>
        <v>0</v>
      </c>
      <c r="AM62" s="1" t="b">
        <f>INDEX(Parametri!$G17:$M17,1,WEEKDAY(INT(G62),2))=1</f>
        <v>0</v>
      </c>
      <c r="AN62" s="1" t="b">
        <f>INDEX(Parametri!$G18:$M18,1,WEEKDAY(INT(H62),2))=1</f>
        <v>0</v>
      </c>
      <c r="AO62">
        <f>COUNTIFS(PersonalExceptions[Colonna],1,PersonalExceptions[Dal],"&lt;="&amp;INT(B62),PersonalExceptions[Al],"&gt;="&amp;INT(B62),PersonalExceptions[Active 0/1],1,PersonalExceptions[Effetto],"Rest")</f>
        <v>0</v>
      </c>
      <c r="AP62">
        <f>COUNTIFS(PersonalExceptions[Colonna],2,PersonalExceptions[Dal],"&lt;="&amp;INT(C62),PersonalExceptions[Al],"&gt;="&amp;INT(C62),PersonalExceptions[Active 0/1],1,PersonalExceptions[Effetto],"Rest")</f>
        <v>0</v>
      </c>
      <c r="AQ62">
        <f>COUNTIFS(PersonalExceptions[Colonna],3,PersonalExceptions[Dal],"&lt;="&amp;INT(D62),PersonalExceptions[Al],"&gt;="&amp;INT(D62),PersonalExceptions[Active 0/1],1,PersonalExceptions[Effetto],"Rest")</f>
        <v>0</v>
      </c>
      <c r="AR62">
        <f>COUNTIFS(PersonalExceptions[Colonna],4,PersonalExceptions[Dal],"&lt;="&amp;INT(E62),PersonalExceptions[Al],"&gt;="&amp;INT(E62),PersonalExceptions[Active 0/1],1,PersonalExceptions[Effetto],"Rest")</f>
        <v>0</v>
      </c>
      <c r="AS62">
        <f>COUNTIFS(PersonalExceptions[Colonna],5,PersonalExceptions[Dal],"&lt;="&amp;INT(F62),PersonalExceptions[Al],"&gt;="&amp;INT(F62),PersonalExceptions[Active 0/1],1,PersonalExceptions[Effetto],"Rest")</f>
        <v>0</v>
      </c>
      <c r="AT62">
        <f>COUNTIFS(PersonalExceptions[Colonna],6,PersonalExceptions[Dal],"&lt;="&amp;INT(G62),PersonalExceptions[Al],"&gt;="&amp;INT(G62),PersonalExceptions[Active 0/1],1,PersonalExceptions[Effetto],"Rest")</f>
        <v>0</v>
      </c>
      <c r="AU62">
        <f>COUNTIFS(PersonalExceptions[Colonna],7,PersonalExceptions[Dal],"&lt;="&amp;INT(H62),PersonalExceptions[Al],"&gt;="&amp;INT(H62),PersonalExceptions[Active 0/1],1,PersonalExceptions[Effetto],"Rest")</f>
        <v>0</v>
      </c>
      <c r="AW62">
        <f>COUNTIFS(PersonalExceptions[Colonna],1,PersonalExceptions[Dal],"&lt;="&amp;INT(B62),PersonalExceptions[Al],"&gt;="&amp;INT(B62),PersonalExceptions[Active 0/1],1,PersonalExceptions[Effetto],"Activity")</f>
        <v>0</v>
      </c>
      <c r="AX62">
        <f>COUNTIFS(PersonalExceptions[Colonna],2,PersonalExceptions[Dal],"&lt;="&amp;INT(C62),PersonalExceptions[Al],"&gt;="&amp;INT(C62),PersonalExceptions[Active 0/1],1,PersonalExceptions[Effetto],"Activity")</f>
        <v>0</v>
      </c>
      <c r="AY62">
        <f>COUNTIFS(PersonalExceptions[Colonna],3,PersonalExceptions[Dal],"&lt;="&amp;INT(D62),PersonalExceptions[Al],"&gt;="&amp;INT(D62),PersonalExceptions[Active 0/1],1,PersonalExceptions[Effetto],"Activity")</f>
        <v>0</v>
      </c>
      <c r="AZ62">
        <f>COUNTIFS(PersonalExceptions[Colonna],4,PersonalExceptions[Dal],"&lt;="&amp;INT(E62),PersonalExceptions[Al],"&gt;="&amp;INT(E62),PersonalExceptions[Active 0/1],1,PersonalExceptions[Effetto],"Activity")</f>
        <v>0</v>
      </c>
      <c r="BA62">
        <f>COUNTIFS(PersonalExceptions[Colonna],5,PersonalExceptions[Dal],"&lt;="&amp;INT(F62),PersonalExceptions[Al],"&gt;="&amp;INT(F62),PersonalExceptions[Active 0/1],1,PersonalExceptions[Effetto],"Activity")</f>
        <v>0</v>
      </c>
      <c r="BB62">
        <f>COUNTIFS(PersonalExceptions[Colonna],6,PersonalExceptions[Dal],"&lt;="&amp;INT(G62),PersonalExceptions[Al],"&gt;="&amp;INT(G62),PersonalExceptions[Active 0/1],1,PersonalExceptions[Effetto],"Activity")</f>
        <v>0</v>
      </c>
      <c r="BC62">
        <f>COUNTIFS(PersonalExceptions[Colonna],7,PersonalExceptions[Dal],"&lt;="&amp;INT(H62),PersonalExceptions[Al],"&gt;="&amp;INT(H62),PersonalExceptions[Active 0/1],1,PersonalExceptions[Effetto],"Activity")</f>
        <v>0</v>
      </c>
      <c r="BE62">
        <f>IF(Planner!B$10="Nessuno",0,COUNTIFS(ImportedHolidays[Calendar],Planner!B$10,ImportedHolidays[Date],INT(B62),ImportedHolidays[Active],1,ImportedHolidays[Kind],"WORKDAY"))</f>
        <v>0</v>
      </c>
      <c r="BF62">
        <f>IF(Planner!C$10="Nessuno",0,COUNTIFS(ImportedHolidays[Calendar],Planner!C$10,ImportedHolidays[Date],INT(C62),ImportedHolidays[Active],1,ImportedHolidays[Kind],"WORKDAY"))</f>
        <v>0</v>
      </c>
      <c r="BG62">
        <f>IF(Planner!D$10="Nessuno",0,COUNTIFS(ImportedHolidays[Calendar],Planner!D$10,ImportedHolidays[Date],INT(D62),ImportedHolidays[Active],1,ImportedHolidays[Kind],"WORKDAY"))</f>
        <v>0</v>
      </c>
      <c r="BH62">
        <f>IF(Planner!E$10="Nessuno",0,COUNTIFS(ImportedHolidays[Calendar],Planner!E$10,ImportedHolidays[Date],INT(E62),ImportedHolidays[Active],1,ImportedHolidays[Kind],"WORKDAY"))</f>
        <v>0</v>
      </c>
      <c r="BI62">
        <f>IF(Planner!F$10="Nessuno",0,COUNTIFS(ImportedHolidays[Calendar],Planner!F$10,ImportedHolidays[Date],INT(F62),ImportedHolidays[Active],1,ImportedHolidays[Kind],"WORKDAY"))</f>
        <v>0</v>
      </c>
      <c r="BJ62">
        <f>IF(Planner!G$10="Nessuno",0,COUNTIFS(ImportedHolidays[Calendar],Planner!G$10,ImportedHolidays[Date],INT(G62),ImportedHolidays[Active],1,ImportedHolidays[Kind],"WORKDAY"))</f>
        <v>0</v>
      </c>
      <c r="BK62">
        <f>IF(Planner!H$10="Nessuno",0,COUNTIFS(ImportedHolidays[Calendar],Planner!H$10,ImportedHolidays[Date],INT(H62),ImportedHolidays[Active],1,ImportedHolidays[Kind],"WORKDAY"))</f>
        <v>0</v>
      </c>
      <c r="BM62">
        <f>IF(MOD(J62-B$11,1440)&lt;B$12,2,IF(OR(MOD(J62-B$11,1440)&lt;B$12+ROUND(Planner!$D$5*60,0),MOD(J62-B$11,1440)&gt;=1440-ROUND(Planner!$B$5*60,0)),1,0))</f>
        <v>2</v>
      </c>
      <c r="BN62">
        <f>IF(MOD(K62-C$11,1440)&lt;C$12,2,IF(OR(MOD(K62-C$11,1440)&lt;C$12+ROUND(Planner!$D$5*60,0),MOD(K62-C$11,1440)&gt;=1440-ROUND(Planner!$B$5*60,0)),1,0))</f>
        <v>2</v>
      </c>
      <c r="BO62">
        <f>IF(MOD(L62-D$11,1440)&lt;D$12,2,IF(OR(MOD(L62-D$11,1440)&lt;D$12+ROUND(Planner!$D$5*60,0),MOD(L62-D$11,1440)&gt;=1440-ROUND(Planner!$B$5*60,0)),1,0))</f>
        <v>0</v>
      </c>
      <c r="BP62">
        <f>IF(MOD(M62-E$11,1440)&lt;E$12,2,IF(OR(MOD(M62-E$11,1440)&lt;E$12+ROUND(Planner!$D$5*60,0),MOD(M62-E$11,1440)&gt;=1440-ROUND(Planner!$B$5*60,0)),1,0))</f>
        <v>0</v>
      </c>
      <c r="BQ62">
        <f>IF(MOD(N62-F$11,1440)&lt;F$12,2,IF(OR(MOD(N62-F$11,1440)&lt;F$12+ROUND(Planner!$D$5*60,0),MOD(N62-F$11,1440)&gt;=1440-ROUND(Planner!$B$5*60,0)),1,0))</f>
        <v>0</v>
      </c>
      <c r="BR62">
        <f>IF(MOD(O62-G$11,1440)&lt;G$12,2,IF(OR(MOD(O62-G$11,1440)&lt;G$12+ROUND(Planner!$D$5*60,0),MOD(O62-G$11,1440)&gt;=1440-ROUND(Planner!$B$5*60,0)),1,0))</f>
        <v>0</v>
      </c>
      <c r="BS62">
        <f>IF(MOD(P62-H$11,1440)&lt;H$12,2,IF(OR(MOD(P62-H$11,1440)&lt;H$12+ROUND(Planner!$D$5*60,0),MOD(P62-H$11,1440)&gt;=1440-ROUND(Planner!$B$5*60,0)),1,0))</f>
        <v>0</v>
      </c>
    </row>
    <row r="63" spans="1:71">
      <c r="A63" s="22">
        <f>ROUND(($B$6+22*Planner!$F$4/1440)*1440,0)/1440</f>
        <v>46289.166666666664</v>
      </c>
      <c r="B63" s="22">
        <f>IF(COUNTIFS(ZonePeriods[Code],Planner!B$9,ZonePeriods[FromUtc],"&lt;="&amp;$A63,ZonePeriods[UntilUtc],"&gt;"&amp;$A63)=1,ROUND(($A63+SUMIFS(ZonePeriods[OffsetHours],ZonePeriods[Code],Planner!B$9,ZonePeriods[FromUtc],"&lt;="&amp;$A63,ZonePeriods[UntilUtc],"&gt;"&amp;$A63)/24)*1440,0)/1440,NA())</f>
        <v>46289.458333333336</v>
      </c>
      <c r="C63" s="22">
        <f>IF(COUNTIFS(ZonePeriods[Code],Planner!C$9,ZonePeriods[FromUtc],"&lt;="&amp;$A63,ZonePeriods[UntilUtc],"&gt;"&amp;$A63)=1,ROUND(($A63+SUMIFS(ZonePeriods[OffsetHours],ZonePeriods[Code],Planner!C$9,ZonePeriods[FromUtc],"&lt;="&amp;$A63,ZonePeriods[UntilUtc],"&gt;"&amp;$A63)/24)*1440,0)/1440,NA())</f>
        <v>46289.395833333336</v>
      </c>
      <c r="D63" s="22">
        <f>IF(COUNTIFS(ZonePeriods[Code],Planner!D$9,ZonePeriods[FromUtc],"&lt;="&amp;$A63,ZonePeriods[UntilUtc],"&gt;"&amp;$A63)=1,ROUND(($A63+SUMIFS(ZonePeriods[OffsetHours],ZonePeriods[Code],Planner!D$9,ZonePeriods[FromUtc],"&lt;="&amp;$A63,ZonePeriods[UntilUtc],"&gt;"&amp;$A63)/24)*1440,0)/1440,NA())</f>
        <v>46289.291666666664</v>
      </c>
      <c r="E63" s="22">
        <f>IF(COUNTIFS(ZonePeriods[Code],Planner!E$9,ZonePeriods[FromUtc],"&lt;="&amp;$A63,ZonePeriods[UntilUtc],"&gt;"&amp;$A63)=1,ROUND(($A63+SUMIFS(ZonePeriods[OffsetHours],ZonePeriods[Code],Planner!E$9,ZonePeriods[FromUtc],"&lt;="&amp;$A63,ZonePeriods[UntilUtc],"&gt;"&amp;$A63)/24)*1440,0)/1440,NA())</f>
        <v>46289.25</v>
      </c>
      <c r="F63" s="22">
        <f>IF(COUNTIFS(ZonePeriods[Code],Planner!F$9,ZonePeriods[FromUtc],"&lt;="&amp;$A63,ZonePeriods[UntilUtc],"&gt;"&amp;$A63)=1,ROUND(($A63+SUMIFS(ZonePeriods[OffsetHours],ZonePeriods[Code],Planner!F$9,ZonePeriods[FromUtc],"&lt;="&amp;$A63,ZonePeriods[UntilUtc],"&gt;"&amp;$A63)/24)*1440,0)/1440,NA())</f>
        <v>46289.208333333336</v>
      </c>
      <c r="G63" s="22">
        <f>IF(COUNTIFS(ZonePeriods[Code],Planner!G$9,ZonePeriods[FromUtc],"&lt;="&amp;$A63,ZonePeriods[UntilUtc],"&gt;"&amp;$A63)=1,ROUND(($A63+SUMIFS(ZonePeriods[OffsetHours],ZonePeriods[Code],Planner!G$9,ZonePeriods[FromUtc],"&lt;="&amp;$A63,ZonePeriods[UntilUtc],"&gt;"&amp;$A63)/24)*1440,0)/1440,NA())</f>
        <v>46289</v>
      </c>
      <c r="H63" s="22">
        <f>IF(COUNTIFS(ZonePeriods[Code],Planner!H$9,ZonePeriods[FromUtc],"&lt;="&amp;$A63,ZonePeriods[UntilUtc],"&gt;"&amp;$A63)=1,ROUND(($A63+SUMIFS(ZonePeriods[OffsetHours],ZonePeriods[Code],Planner!H$9,ZonePeriods[FromUtc],"&lt;="&amp;$A63,ZonePeriods[UntilUtc],"&gt;"&amp;$A63)/24)*1440,0)/1440,NA())</f>
        <v>46288.875</v>
      </c>
      <c r="I63" s="1"/>
      <c r="J63" s="1">
        <f t="shared" si="14"/>
        <v>660</v>
      </c>
      <c r="K63" s="1">
        <f t="shared" si="15"/>
        <v>570</v>
      </c>
      <c r="L63" s="1">
        <f t="shared" si="16"/>
        <v>420</v>
      </c>
      <c r="M63" s="1">
        <f t="shared" si="17"/>
        <v>360</v>
      </c>
      <c r="N63" s="1">
        <f t="shared" si="18"/>
        <v>300</v>
      </c>
      <c r="O63" s="1">
        <f t="shared" si="19"/>
        <v>0</v>
      </c>
      <c r="P63" s="1">
        <f t="shared" si="20"/>
        <v>1260</v>
      </c>
      <c r="Q63" s="1"/>
      <c r="R63" s="1">
        <f t="shared" si="21"/>
        <v>2</v>
      </c>
      <c r="S63" s="1">
        <f t="shared" si="22"/>
        <v>2</v>
      </c>
      <c r="T63" s="1">
        <f t="shared" si="23"/>
        <v>1</v>
      </c>
      <c r="U63" s="1">
        <f t="shared" si="24"/>
        <v>0</v>
      </c>
      <c r="V63" s="1">
        <f t="shared" si="25"/>
        <v>0</v>
      </c>
      <c r="W63" s="1">
        <f t="shared" si="26"/>
        <v>0</v>
      </c>
      <c r="X63" s="1">
        <f t="shared" si="27"/>
        <v>0</v>
      </c>
      <c r="Y63" s="1"/>
      <c r="Z63" s="1">
        <f>IF(Planner!B$10="Nessuno",0,COUNTIFS(HolidayDates[Calendar],Planner!B$10,HolidayDates[Local date],INT(B63),HolidayDates[Active 0/1],1)+COUNTIFS(ImportedHolidays[Calendar],Planner!B$10,ImportedHolidays[Date],INT(B63),ImportedHolidays[Active],1,ImportedHolidays[Kind],"HOLIDAY"))</f>
        <v>0</v>
      </c>
      <c r="AA63" s="1">
        <f>IF(Planner!C$10="Nessuno",0,COUNTIFS(HolidayDates[Calendar],Planner!C$10,HolidayDates[Local date],INT(C63),HolidayDates[Active 0/1],1)+COUNTIFS(ImportedHolidays[Calendar],Planner!C$10,ImportedHolidays[Date],INT(C63),ImportedHolidays[Active],1,ImportedHolidays[Kind],"HOLIDAY"))</f>
        <v>0</v>
      </c>
      <c r="AB63" s="1">
        <f>IF(Planner!D$10="Nessuno",0,COUNTIFS(HolidayDates[Calendar],Planner!D$10,HolidayDates[Local date],INT(D63),HolidayDates[Active 0/1],1)+COUNTIFS(ImportedHolidays[Calendar],Planner!D$10,ImportedHolidays[Date],INT(D63),ImportedHolidays[Active],1,ImportedHolidays[Kind],"HOLIDAY"))</f>
        <v>0</v>
      </c>
      <c r="AC63" s="1">
        <f>IF(Planner!E$10="Nessuno",0,COUNTIFS(HolidayDates[Calendar],Planner!E$10,HolidayDates[Local date],INT(E63),HolidayDates[Active 0/1],1)+COUNTIFS(ImportedHolidays[Calendar],Planner!E$10,ImportedHolidays[Date],INT(E63),ImportedHolidays[Active],1,ImportedHolidays[Kind],"HOLIDAY"))</f>
        <v>0</v>
      </c>
      <c r="AD63" s="1">
        <f>IF(Planner!F$10="Nessuno",0,COUNTIFS(HolidayDates[Calendar],Planner!F$10,HolidayDates[Local date],INT(F63),HolidayDates[Active 0/1],1)+COUNTIFS(ImportedHolidays[Calendar],Planner!F$10,ImportedHolidays[Date],INT(F63),ImportedHolidays[Active],1,ImportedHolidays[Kind],"HOLIDAY"))</f>
        <v>0</v>
      </c>
      <c r="AE63" s="1">
        <f>IF(Planner!G$10="Nessuno",0,COUNTIFS(HolidayDates[Calendar],Planner!G$10,HolidayDates[Local date],INT(G63),HolidayDates[Active 0/1],1)+COUNTIFS(ImportedHolidays[Calendar],Planner!G$10,ImportedHolidays[Date],INT(G63),ImportedHolidays[Active],1,ImportedHolidays[Kind],"HOLIDAY"))</f>
        <v>0</v>
      </c>
      <c r="AF63" s="1">
        <f>IF(Planner!H$10="Nessuno",0,COUNTIFS(HolidayDates[Calendar],Planner!H$10,HolidayDates[Local date],INT(H63),HolidayDates[Active 0/1],1)+COUNTIFS(ImportedHolidays[Calendar],Planner!H$10,ImportedHolidays[Date],INT(H63),ImportedHolidays[Active],1,ImportedHolidays[Kind],"HOLIDAY"))</f>
        <v>0</v>
      </c>
      <c r="AG63" s="1"/>
      <c r="AH63" s="1" t="b">
        <f>INDEX(Parametri!$G12:$M12,1,WEEKDAY(INT(B63),2))=1</f>
        <v>0</v>
      </c>
      <c r="AI63" s="1" t="b">
        <f>INDEX(Parametri!$G13:$M13,1,WEEKDAY(INT(C63),2))=1</f>
        <v>0</v>
      </c>
      <c r="AJ63" s="1" t="b">
        <f>INDEX(Parametri!$G14:$M14,1,WEEKDAY(INT(D63),2))=1</f>
        <v>0</v>
      </c>
      <c r="AK63" s="1" t="b">
        <f>INDEX(Parametri!$G15:$M15,1,WEEKDAY(INT(E63),2))=1</f>
        <v>0</v>
      </c>
      <c r="AL63" s="1" t="b">
        <f>INDEX(Parametri!$G16:$M16,1,WEEKDAY(INT(F63),2))=1</f>
        <v>0</v>
      </c>
      <c r="AM63" s="1" t="b">
        <f>INDEX(Parametri!$G17:$M17,1,WEEKDAY(INT(G63),2))=1</f>
        <v>0</v>
      </c>
      <c r="AN63" s="1" t="b">
        <f>INDEX(Parametri!$G18:$M18,1,WEEKDAY(INT(H63),2))=1</f>
        <v>0</v>
      </c>
      <c r="AO63">
        <f>COUNTIFS(PersonalExceptions[Colonna],1,PersonalExceptions[Dal],"&lt;="&amp;INT(B63),PersonalExceptions[Al],"&gt;="&amp;INT(B63),PersonalExceptions[Active 0/1],1,PersonalExceptions[Effetto],"Rest")</f>
        <v>0</v>
      </c>
      <c r="AP63">
        <f>COUNTIFS(PersonalExceptions[Colonna],2,PersonalExceptions[Dal],"&lt;="&amp;INT(C63),PersonalExceptions[Al],"&gt;="&amp;INT(C63),PersonalExceptions[Active 0/1],1,PersonalExceptions[Effetto],"Rest")</f>
        <v>0</v>
      </c>
      <c r="AQ63">
        <f>COUNTIFS(PersonalExceptions[Colonna],3,PersonalExceptions[Dal],"&lt;="&amp;INT(D63),PersonalExceptions[Al],"&gt;="&amp;INT(D63),PersonalExceptions[Active 0/1],1,PersonalExceptions[Effetto],"Rest")</f>
        <v>0</v>
      </c>
      <c r="AR63">
        <f>COUNTIFS(PersonalExceptions[Colonna],4,PersonalExceptions[Dal],"&lt;="&amp;INT(E63),PersonalExceptions[Al],"&gt;="&amp;INT(E63),PersonalExceptions[Active 0/1],1,PersonalExceptions[Effetto],"Rest")</f>
        <v>0</v>
      </c>
      <c r="AS63">
        <f>COUNTIFS(PersonalExceptions[Colonna],5,PersonalExceptions[Dal],"&lt;="&amp;INT(F63),PersonalExceptions[Al],"&gt;="&amp;INT(F63),PersonalExceptions[Active 0/1],1,PersonalExceptions[Effetto],"Rest")</f>
        <v>0</v>
      </c>
      <c r="AT63">
        <f>COUNTIFS(PersonalExceptions[Colonna],6,PersonalExceptions[Dal],"&lt;="&amp;INT(G63),PersonalExceptions[Al],"&gt;="&amp;INT(G63),PersonalExceptions[Active 0/1],1,PersonalExceptions[Effetto],"Rest")</f>
        <v>0</v>
      </c>
      <c r="AU63">
        <f>COUNTIFS(PersonalExceptions[Colonna],7,PersonalExceptions[Dal],"&lt;="&amp;INT(H63),PersonalExceptions[Al],"&gt;="&amp;INT(H63),PersonalExceptions[Active 0/1],1,PersonalExceptions[Effetto],"Rest")</f>
        <v>0</v>
      </c>
      <c r="AW63">
        <f>COUNTIFS(PersonalExceptions[Colonna],1,PersonalExceptions[Dal],"&lt;="&amp;INT(B63),PersonalExceptions[Al],"&gt;="&amp;INT(B63),PersonalExceptions[Active 0/1],1,PersonalExceptions[Effetto],"Activity")</f>
        <v>0</v>
      </c>
      <c r="AX63">
        <f>COUNTIFS(PersonalExceptions[Colonna],2,PersonalExceptions[Dal],"&lt;="&amp;INT(C63),PersonalExceptions[Al],"&gt;="&amp;INT(C63),PersonalExceptions[Active 0/1],1,PersonalExceptions[Effetto],"Activity")</f>
        <v>0</v>
      </c>
      <c r="AY63">
        <f>COUNTIFS(PersonalExceptions[Colonna],3,PersonalExceptions[Dal],"&lt;="&amp;INT(D63),PersonalExceptions[Al],"&gt;="&amp;INT(D63),PersonalExceptions[Active 0/1],1,PersonalExceptions[Effetto],"Activity")</f>
        <v>0</v>
      </c>
      <c r="AZ63">
        <f>COUNTIFS(PersonalExceptions[Colonna],4,PersonalExceptions[Dal],"&lt;="&amp;INT(E63),PersonalExceptions[Al],"&gt;="&amp;INT(E63),PersonalExceptions[Active 0/1],1,PersonalExceptions[Effetto],"Activity")</f>
        <v>0</v>
      </c>
      <c r="BA63">
        <f>COUNTIFS(PersonalExceptions[Colonna],5,PersonalExceptions[Dal],"&lt;="&amp;INT(F63),PersonalExceptions[Al],"&gt;="&amp;INT(F63),PersonalExceptions[Active 0/1],1,PersonalExceptions[Effetto],"Activity")</f>
        <v>0</v>
      </c>
      <c r="BB63">
        <f>COUNTIFS(PersonalExceptions[Colonna],6,PersonalExceptions[Dal],"&lt;="&amp;INT(G63),PersonalExceptions[Al],"&gt;="&amp;INT(G63),PersonalExceptions[Active 0/1],1,PersonalExceptions[Effetto],"Activity")</f>
        <v>0</v>
      </c>
      <c r="BC63">
        <f>COUNTIFS(PersonalExceptions[Colonna],7,PersonalExceptions[Dal],"&lt;="&amp;INT(H63),PersonalExceptions[Al],"&gt;="&amp;INT(H63),PersonalExceptions[Active 0/1],1,PersonalExceptions[Effetto],"Activity")</f>
        <v>0</v>
      </c>
      <c r="BE63">
        <f>IF(Planner!B$10="Nessuno",0,COUNTIFS(ImportedHolidays[Calendar],Planner!B$10,ImportedHolidays[Date],INT(B63),ImportedHolidays[Active],1,ImportedHolidays[Kind],"WORKDAY"))</f>
        <v>0</v>
      </c>
      <c r="BF63">
        <f>IF(Planner!C$10="Nessuno",0,COUNTIFS(ImportedHolidays[Calendar],Planner!C$10,ImportedHolidays[Date],INT(C63),ImportedHolidays[Active],1,ImportedHolidays[Kind],"WORKDAY"))</f>
        <v>0</v>
      </c>
      <c r="BG63">
        <f>IF(Planner!D$10="Nessuno",0,COUNTIFS(ImportedHolidays[Calendar],Planner!D$10,ImportedHolidays[Date],INT(D63),ImportedHolidays[Active],1,ImportedHolidays[Kind],"WORKDAY"))</f>
        <v>0</v>
      </c>
      <c r="BH63">
        <f>IF(Planner!E$10="Nessuno",0,COUNTIFS(ImportedHolidays[Calendar],Planner!E$10,ImportedHolidays[Date],INT(E63),ImportedHolidays[Active],1,ImportedHolidays[Kind],"WORKDAY"))</f>
        <v>0</v>
      </c>
      <c r="BI63">
        <f>IF(Planner!F$10="Nessuno",0,COUNTIFS(ImportedHolidays[Calendar],Planner!F$10,ImportedHolidays[Date],INT(F63),ImportedHolidays[Active],1,ImportedHolidays[Kind],"WORKDAY"))</f>
        <v>0</v>
      </c>
      <c r="BJ63">
        <f>IF(Planner!G$10="Nessuno",0,COUNTIFS(ImportedHolidays[Calendar],Planner!G$10,ImportedHolidays[Date],INT(G63),ImportedHolidays[Active],1,ImportedHolidays[Kind],"WORKDAY"))</f>
        <v>0</v>
      </c>
      <c r="BK63">
        <f>IF(Planner!H$10="Nessuno",0,COUNTIFS(ImportedHolidays[Calendar],Planner!H$10,ImportedHolidays[Date],INT(H63),ImportedHolidays[Active],1,ImportedHolidays[Kind],"WORKDAY"))</f>
        <v>0</v>
      </c>
      <c r="BM63">
        <f>IF(MOD(J63-B$11,1440)&lt;B$12,2,IF(OR(MOD(J63-B$11,1440)&lt;B$12+ROUND(Planner!$D$5*60,0),MOD(J63-B$11,1440)&gt;=1440-ROUND(Planner!$B$5*60,0)),1,0))</f>
        <v>2</v>
      </c>
      <c r="BN63">
        <f>IF(MOD(K63-C$11,1440)&lt;C$12,2,IF(OR(MOD(K63-C$11,1440)&lt;C$12+ROUND(Planner!$D$5*60,0),MOD(K63-C$11,1440)&gt;=1440-ROUND(Planner!$B$5*60,0)),1,0))</f>
        <v>2</v>
      </c>
      <c r="BO63">
        <f>IF(MOD(L63-D$11,1440)&lt;D$12,2,IF(OR(MOD(L63-D$11,1440)&lt;D$12+ROUND(Planner!$D$5*60,0),MOD(L63-D$11,1440)&gt;=1440-ROUND(Planner!$B$5*60,0)),1,0))</f>
        <v>1</v>
      </c>
      <c r="BP63">
        <f>IF(MOD(M63-E$11,1440)&lt;E$12,2,IF(OR(MOD(M63-E$11,1440)&lt;E$12+ROUND(Planner!$D$5*60,0),MOD(M63-E$11,1440)&gt;=1440-ROUND(Planner!$B$5*60,0)),1,0))</f>
        <v>0</v>
      </c>
      <c r="BQ63">
        <f>IF(MOD(N63-F$11,1440)&lt;F$12,2,IF(OR(MOD(N63-F$11,1440)&lt;F$12+ROUND(Planner!$D$5*60,0),MOD(N63-F$11,1440)&gt;=1440-ROUND(Planner!$B$5*60,0)),1,0))</f>
        <v>0</v>
      </c>
      <c r="BR63">
        <f>IF(MOD(O63-G$11,1440)&lt;G$12,2,IF(OR(MOD(O63-G$11,1440)&lt;G$12+ROUND(Planner!$D$5*60,0),MOD(O63-G$11,1440)&gt;=1440-ROUND(Planner!$B$5*60,0)),1,0))</f>
        <v>0</v>
      </c>
      <c r="BS63">
        <f>IF(MOD(P63-H$11,1440)&lt;H$12,2,IF(OR(MOD(P63-H$11,1440)&lt;H$12+ROUND(Planner!$D$5*60,0),MOD(P63-H$11,1440)&gt;=1440-ROUND(Planner!$B$5*60,0)),1,0))</f>
        <v>0</v>
      </c>
    </row>
    <row r="64" spans="1:71">
      <c r="A64" s="22">
        <f>ROUND(($B$6+23*Planner!$F$4/1440)*1440,0)/1440</f>
        <v>46289.1875</v>
      </c>
      <c r="B64" s="22">
        <f>IF(COUNTIFS(ZonePeriods[Code],Planner!B$9,ZonePeriods[FromUtc],"&lt;="&amp;$A64,ZonePeriods[UntilUtc],"&gt;"&amp;$A64)=1,ROUND(($A64+SUMIFS(ZonePeriods[OffsetHours],ZonePeriods[Code],Planner!B$9,ZonePeriods[FromUtc],"&lt;="&amp;$A64,ZonePeriods[UntilUtc],"&gt;"&amp;$A64)/24)*1440,0)/1440,NA())</f>
        <v>46289.479166666664</v>
      </c>
      <c r="C64" s="22">
        <f>IF(COUNTIFS(ZonePeriods[Code],Planner!C$9,ZonePeriods[FromUtc],"&lt;="&amp;$A64,ZonePeriods[UntilUtc],"&gt;"&amp;$A64)=1,ROUND(($A64+SUMIFS(ZonePeriods[OffsetHours],ZonePeriods[Code],Planner!C$9,ZonePeriods[FromUtc],"&lt;="&amp;$A64,ZonePeriods[UntilUtc],"&gt;"&amp;$A64)/24)*1440,0)/1440,NA())</f>
        <v>46289.416666666664</v>
      </c>
      <c r="D64" s="22">
        <f>IF(COUNTIFS(ZonePeriods[Code],Planner!D$9,ZonePeriods[FromUtc],"&lt;="&amp;$A64,ZonePeriods[UntilUtc],"&gt;"&amp;$A64)=1,ROUND(($A64+SUMIFS(ZonePeriods[OffsetHours],ZonePeriods[Code],Planner!D$9,ZonePeriods[FromUtc],"&lt;="&amp;$A64,ZonePeriods[UntilUtc],"&gt;"&amp;$A64)/24)*1440,0)/1440,NA())</f>
        <v>46289.3125</v>
      </c>
      <c r="E64" s="22">
        <f>IF(COUNTIFS(ZonePeriods[Code],Planner!E$9,ZonePeriods[FromUtc],"&lt;="&amp;$A64,ZonePeriods[UntilUtc],"&gt;"&amp;$A64)=1,ROUND(($A64+SUMIFS(ZonePeriods[OffsetHours],ZonePeriods[Code],Planner!E$9,ZonePeriods[FromUtc],"&lt;="&amp;$A64,ZonePeriods[UntilUtc],"&gt;"&amp;$A64)/24)*1440,0)/1440,NA())</f>
        <v>46289.270833333336</v>
      </c>
      <c r="F64" s="22">
        <f>IF(COUNTIFS(ZonePeriods[Code],Planner!F$9,ZonePeriods[FromUtc],"&lt;="&amp;$A64,ZonePeriods[UntilUtc],"&gt;"&amp;$A64)=1,ROUND(($A64+SUMIFS(ZonePeriods[OffsetHours],ZonePeriods[Code],Planner!F$9,ZonePeriods[FromUtc],"&lt;="&amp;$A64,ZonePeriods[UntilUtc],"&gt;"&amp;$A64)/24)*1440,0)/1440,NA())</f>
        <v>46289.229166666664</v>
      </c>
      <c r="G64" s="22">
        <f>IF(COUNTIFS(ZonePeriods[Code],Planner!G$9,ZonePeriods[FromUtc],"&lt;="&amp;$A64,ZonePeriods[UntilUtc],"&gt;"&amp;$A64)=1,ROUND(($A64+SUMIFS(ZonePeriods[OffsetHours],ZonePeriods[Code],Planner!G$9,ZonePeriods[FromUtc],"&lt;="&amp;$A64,ZonePeriods[UntilUtc],"&gt;"&amp;$A64)/24)*1440,0)/1440,NA())</f>
        <v>46289.020833333336</v>
      </c>
      <c r="H64" s="22">
        <f>IF(COUNTIFS(ZonePeriods[Code],Planner!H$9,ZonePeriods[FromUtc],"&lt;="&amp;$A64,ZonePeriods[UntilUtc],"&gt;"&amp;$A64)=1,ROUND(($A64+SUMIFS(ZonePeriods[OffsetHours],ZonePeriods[Code],Planner!H$9,ZonePeriods[FromUtc],"&lt;="&amp;$A64,ZonePeriods[UntilUtc],"&gt;"&amp;$A64)/24)*1440,0)/1440,NA())</f>
        <v>46288.895833333336</v>
      </c>
      <c r="I64" s="1"/>
      <c r="J64" s="1">
        <f t="shared" si="14"/>
        <v>690</v>
      </c>
      <c r="K64" s="1">
        <f t="shared" si="15"/>
        <v>600</v>
      </c>
      <c r="L64" s="1">
        <f t="shared" si="16"/>
        <v>450</v>
      </c>
      <c r="M64" s="1">
        <f t="shared" si="17"/>
        <v>390</v>
      </c>
      <c r="N64" s="1">
        <f t="shared" si="18"/>
        <v>330</v>
      </c>
      <c r="O64" s="1">
        <f t="shared" si="19"/>
        <v>30</v>
      </c>
      <c r="P64" s="1">
        <f t="shared" si="20"/>
        <v>1290</v>
      </c>
      <c r="Q64" s="1"/>
      <c r="R64" s="1">
        <f t="shared" si="21"/>
        <v>2</v>
      </c>
      <c r="S64" s="1">
        <f t="shared" si="22"/>
        <v>2</v>
      </c>
      <c r="T64" s="1">
        <f t="shared" si="23"/>
        <v>1</v>
      </c>
      <c r="U64" s="1">
        <f t="shared" si="24"/>
        <v>0</v>
      </c>
      <c r="V64" s="1">
        <f t="shared" si="25"/>
        <v>0</v>
      </c>
      <c r="W64" s="1">
        <f t="shared" si="26"/>
        <v>0</v>
      </c>
      <c r="X64" s="1">
        <f t="shared" si="27"/>
        <v>0</v>
      </c>
      <c r="Y64" s="1"/>
      <c r="Z64" s="1">
        <f>IF(Planner!B$10="Nessuno",0,COUNTIFS(HolidayDates[Calendar],Planner!B$10,HolidayDates[Local date],INT(B64),HolidayDates[Active 0/1],1)+COUNTIFS(ImportedHolidays[Calendar],Planner!B$10,ImportedHolidays[Date],INT(B64),ImportedHolidays[Active],1,ImportedHolidays[Kind],"HOLIDAY"))</f>
        <v>0</v>
      </c>
      <c r="AA64" s="1">
        <f>IF(Planner!C$10="Nessuno",0,COUNTIFS(HolidayDates[Calendar],Planner!C$10,HolidayDates[Local date],INT(C64),HolidayDates[Active 0/1],1)+COUNTIFS(ImportedHolidays[Calendar],Planner!C$10,ImportedHolidays[Date],INT(C64),ImportedHolidays[Active],1,ImportedHolidays[Kind],"HOLIDAY"))</f>
        <v>0</v>
      </c>
      <c r="AB64" s="1">
        <f>IF(Planner!D$10="Nessuno",0,COUNTIFS(HolidayDates[Calendar],Planner!D$10,HolidayDates[Local date],INT(D64),HolidayDates[Active 0/1],1)+COUNTIFS(ImportedHolidays[Calendar],Planner!D$10,ImportedHolidays[Date],INT(D64),ImportedHolidays[Active],1,ImportedHolidays[Kind],"HOLIDAY"))</f>
        <v>0</v>
      </c>
      <c r="AC64" s="1">
        <f>IF(Planner!E$10="Nessuno",0,COUNTIFS(HolidayDates[Calendar],Planner!E$10,HolidayDates[Local date],INT(E64),HolidayDates[Active 0/1],1)+COUNTIFS(ImportedHolidays[Calendar],Planner!E$10,ImportedHolidays[Date],INT(E64),ImportedHolidays[Active],1,ImportedHolidays[Kind],"HOLIDAY"))</f>
        <v>0</v>
      </c>
      <c r="AD64" s="1">
        <f>IF(Planner!F$10="Nessuno",0,COUNTIFS(HolidayDates[Calendar],Planner!F$10,HolidayDates[Local date],INT(F64),HolidayDates[Active 0/1],1)+COUNTIFS(ImportedHolidays[Calendar],Planner!F$10,ImportedHolidays[Date],INT(F64),ImportedHolidays[Active],1,ImportedHolidays[Kind],"HOLIDAY"))</f>
        <v>0</v>
      </c>
      <c r="AE64" s="1">
        <f>IF(Planner!G$10="Nessuno",0,COUNTIFS(HolidayDates[Calendar],Planner!G$10,HolidayDates[Local date],INT(G64),HolidayDates[Active 0/1],1)+COUNTIFS(ImportedHolidays[Calendar],Planner!G$10,ImportedHolidays[Date],INT(G64),ImportedHolidays[Active],1,ImportedHolidays[Kind],"HOLIDAY"))</f>
        <v>0</v>
      </c>
      <c r="AF64" s="1">
        <f>IF(Planner!H$10="Nessuno",0,COUNTIFS(HolidayDates[Calendar],Planner!H$10,HolidayDates[Local date],INT(H64),HolidayDates[Active 0/1],1)+COUNTIFS(ImportedHolidays[Calendar],Planner!H$10,ImportedHolidays[Date],INT(H64),ImportedHolidays[Active],1,ImportedHolidays[Kind],"HOLIDAY"))</f>
        <v>0</v>
      </c>
      <c r="AG64" s="1"/>
      <c r="AH64" s="1" t="b">
        <f>INDEX(Parametri!$G12:$M12,1,WEEKDAY(INT(B64),2))=1</f>
        <v>0</v>
      </c>
      <c r="AI64" s="1" t="b">
        <f>INDEX(Parametri!$G13:$M13,1,WEEKDAY(INT(C64),2))=1</f>
        <v>0</v>
      </c>
      <c r="AJ64" s="1" t="b">
        <f>INDEX(Parametri!$G14:$M14,1,WEEKDAY(INT(D64),2))=1</f>
        <v>0</v>
      </c>
      <c r="AK64" s="1" t="b">
        <f>INDEX(Parametri!$G15:$M15,1,WEEKDAY(INT(E64),2))=1</f>
        <v>0</v>
      </c>
      <c r="AL64" s="1" t="b">
        <f>INDEX(Parametri!$G16:$M16,1,WEEKDAY(INT(F64),2))=1</f>
        <v>0</v>
      </c>
      <c r="AM64" s="1" t="b">
        <f>INDEX(Parametri!$G17:$M17,1,WEEKDAY(INT(G64),2))=1</f>
        <v>0</v>
      </c>
      <c r="AN64" s="1" t="b">
        <f>INDEX(Parametri!$G18:$M18,1,WEEKDAY(INT(H64),2))=1</f>
        <v>0</v>
      </c>
      <c r="AO64">
        <f>COUNTIFS(PersonalExceptions[Colonna],1,PersonalExceptions[Dal],"&lt;="&amp;INT(B64),PersonalExceptions[Al],"&gt;="&amp;INT(B64),PersonalExceptions[Active 0/1],1,PersonalExceptions[Effetto],"Rest")</f>
        <v>0</v>
      </c>
      <c r="AP64">
        <f>COUNTIFS(PersonalExceptions[Colonna],2,PersonalExceptions[Dal],"&lt;="&amp;INT(C64),PersonalExceptions[Al],"&gt;="&amp;INT(C64),PersonalExceptions[Active 0/1],1,PersonalExceptions[Effetto],"Rest")</f>
        <v>0</v>
      </c>
      <c r="AQ64">
        <f>COUNTIFS(PersonalExceptions[Colonna],3,PersonalExceptions[Dal],"&lt;="&amp;INT(D64),PersonalExceptions[Al],"&gt;="&amp;INT(D64),PersonalExceptions[Active 0/1],1,PersonalExceptions[Effetto],"Rest")</f>
        <v>0</v>
      </c>
      <c r="AR64">
        <f>COUNTIFS(PersonalExceptions[Colonna],4,PersonalExceptions[Dal],"&lt;="&amp;INT(E64),PersonalExceptions[Al],"&gt;="&amp;INT(E64),PersonalExceptions[Active 0/1],1,PersonalExceptions[Effetto],"Rest")</f>
        <v>0</v>
      </c>
      <c r="AS64">
        <f>COUNTIFS(PersonalExceptions[Colonna],5,PersonalExceptions[Dal],"&lt;="&amp;INT(F64),PersonalExceptions[Al],"&gt;="&amp;INT(F64),PersonalExceptions[Active 0/1],1,PersonalExceptions[Effetto],"Rest")</f>
        <v>0</v>
      </c>
      <c r="AT64">
        <f>COUNTIFS(PersonalExceptions[Colonna],6,PersonalExceptions[Dal],"&lt;="&amp;INT(G64),PersonalExceptions[Al],"&gt;="&amp;INT(G64),PersonalExceptions[Active 0/1],1,PersonalExceptions[Effetto],"Rest")</f>
        <v>0</v>
      </c>
      <c r="AU64">
        <f>COUNTIFS(PersonalExceptions[Colonna],7,PersonalExceptions[Dal],"&lt;="&amp;INT(H64),PersonalExceptions[Al],"&gt;="&amp;INT(H64),PersonalExceptions[Active 0/1],1,PersonalExceptions[Effetto],"Rest")</f>
        <v>0</v>
      </c>
      <c r="AW64">
        <f>COUNTIFS(PersonalExceptions[Colonna],1,PersonalExceptions[Dal],"&lt;="&amp;INT(B64),PersonalExceptions[Al],"&gt;="&amp;INT(B64),PersonalExceptions[Active 0/1],1,PersonalExceptions[Effetto],"Activity")</f>
        <v>0</v>
      </c>
      <c r="AX64">
        <f>COUNTIFS(PersonalExceptions[Colonna],2,PersonalExceptions[Dal],"&lt;="&amp;INT(C64),PersonalExceptions[Al],"&gt;="&amp;INT(C64),PersonalExceptions[Active 0/1],1,PersonalExceptions[Effetto],"Activity")</f>
        <v>0</v>
      </c>
      <c r="AY64">
        <f>COUNTIFS(PersonalExceptions[Colonna],3,PersonalExceptions[Dal],"&lt;="&amp;INT(D64),PersonalExceptions[Al],"&gt;="&amp;INT(D64),PersonalExceptions[Active 0/1],1,PersonalExceptions[Effetto],"Activity")</f>
        <v>0</v>
      </c>
      <c r="AZ64">
        <f>COUNTIFS(PersonalExceptions[Colonna],4,PersonalExceptions[Dal],"&lt;="&amp;INT(E64),PersonalExceptions[Al],"&gt;="&amp;INT(E64),PersonalExceptions[Active 0/1],1,PersonalExceptions[Effetto],"Activity")</f>
        <v>0</v>
      </c>
      <c r="BA64">
        <f>COUNTIFS(PersonalExceptions[Colonna],5,PersonalExceptions[Dal],"&lt;="&amp;INT(F64),PersonalExceptions[Al],"&gt;="&amp;INT(F64),PersonalExceptions[Active 0/1],1,PersonalExceptions[Effetto],"Activity")</f>
        <v>0</v>
      </c>
      <c r="BB64">
        <f>COUNTIFS(PersonalExceptions[Colonna],6,PersonalExceptions[Dal],"&lt;="&amp;INT(G64),PersonalExceptions[Al],"&gt;="&amp;INT(G64),PersonalExceptions[Active 0/1],1,PersonalExceptions[Effetto],"Activity")</f>
        <v>0</v>
      </c>
      <c r="BC64">
        <f>COUNTIFS(PersonalExceptions[Colonna],7,PersonalExceptions[Dal],"&lt;="&amp;INT(H64),PersonalExceptions[Al],"&gt;="&amp;INT(H64),PersonalExceptions[Active 0/1],1,PersonalExceptions[Effetto],"Activity")</f>
        <v>0</v>
      </c>
      <c r="BE64">
        <f>IF(Planner!B$10="Nessuno",0,COUNTIFS(ImportedHolidays[Calendar],Planner!B$10,ImportedHolidays[Date],INT(B64),ImportedHolidays[Active],1,ImportedHolidays[Kind],"WORKDAY"))</f>
        <v>0</v>
      </c>
      <c r="BF64">
        <f>IF(Planner!C$10="Nessuno",0,COUNTIFS(ImportedHolidays[Calendar],Planner!C$10,ImportedHolidays[Date],INT(C64),ImportedHolidays[Active],1,ImportedHolidays[Kind],"WORKDAY"))</f>
        <v>0</v>
      </c>
      <c r="BG64">
        <f>IF(Planner!D$10="Nessuno",0,COUNTIFS(ImportedHolidays[Calendar],Planner!D$10,ImportedHolidays[Date],INT(D64),ImportedHolidays[Active],1,ImportedHolidays[Kind],"WORKDAY"))</f>
        <v>0</v>
      </c>
      <c r="BH64">
        <f>IF(Planner!E$10="Nessuno",0,COUNTIFS(ImportedHolidays[Calendar],Planner!E$10,ImportedHolidays[Date],INT(E64),ImportedHolidays[Active],1,ImportedHolidays[Kind],"WORKDAY"))</f>
        <v>0</v>
      </c>
      <c r="BI64">
        <f>IF(Planner!F$10="Nessuno",0,COUNTIFS(ImportedHolidays[Calendar],Planner!F$10,ImportedHolidays[Date],INT(F64),ImportedHolidays[Active],1,ImportedHolidays[Kind],"WORKDAY"))</f>
        <v>0</v>
      </c>
      <c r="BJ64">
        <f>IF(Planner!G$10="Nessuno",0,COUNTIFS(ImportedHolidays[Calendar],Planner!G$10,ImportedHolidays[Date],INT(G64),ImportedHolidays[Active],1,ImportedHolidays[Kind],"WORKDAY"))</f>
        <v>0</v>
      </c>
      <c r="BK64">
        <f>IF(Planner!H$10="Nessuno",0,COUNTIFS(ImportedHolidays[Calendar],Planner!H$10,ImportedHolidays[Date],INT(H64),ImportedHolidays[Active],1,ImportedHolidays[Kind],"WORKDAY"))</f>
        <v>0</v>
      </c>
      <c r="BM64">
        <f>IF(MOD(J64-B$11,1440)&lt;B$12,2,IF(OR(MOD(J64-B$11,1440)&lt;B$12+ROUND(Planner!$D$5*60,0),MOD(J64-B$11,1440)&gt;=1440-ROUND(Planner!$B$5*60,0)),1,0))</f>
        <v>2</v>
      </c>
      <c r="BN64">
        <f>IF(MOD(K64-C$11,1440)&lt;C$12,2,IF(OR(MOD(K64-C$11,1440)&lt;C$12+ROUND(Planner!$D$5*60,0),MOD(K64-C$11,1440)&gt;=1440-ROUND(Planner!$B$5*60,0)),1,0))</f>
        <v>2</v>
      </c>
      <c r="BO64">
        <f>IF(MOD(L64-D$11,1440)&lt;D$12,2,IF(OR(MOD(L64-D$11,1440)&lt;D$12+ROUND(Planner!$D$5*60,0),MOD(L64-D$11,1440)&gt;=1440-ROUND(Planner!$B$5*60,0)),1,0))</f>
        <v>1</v>
      </c>
      <c r="BP64">
        <f>IF(MOD(M64-E$11,1440)&lt;E$12,2,IF(OR(MOD(M64-E$11,1440)&lt;E$12+ROUND(Planner!$D$5*60,0),MOD(M64-E$11,1440)&gt;=1440-ROUND(Planner!$B$5*60,0)),1,0))</f>
        <v>0</v>
      </c>
      <c r="BQ64">
        <f>IF(MOD(N64-F$11,1440)&lt;F$12,2,IF(OR(MOD(N64-F$11,1440)&lt;F$12+ROUND(Planner!$D$5*60,0),MOD(N64-F$11,1440)&gt;=1440-ROUND(Planner!$B$5*60,0)),1,0))</f>
        <v>0</v>
      </c>
      <c r="BR64">
        <f>IF(MOD(O64-G$11,1440)&lt;G$12,2,IF(OR(MOD(O64-G$11,1440)&lt;G$12+ROUND(Planner!$D$5*60,0),MOD(O64-G$11,1440)&gt;=1440-ROUND(Planner!$B$5*60,0)),1,0))</f>
        <v>0</v>
      </c>
      <c r="BS64">
        <f>IF(MOD(P64-H$11,1440)&lt;H$12,2,IF(OR(MOD(P64-H$11,1440)&lt;H$12+ROUND(Planner!$D$5*60,0),MOD(P64-H$11,1440)&gt;=1440-ROUND(Planner!$B$5*60,0)),1,0))</f>
        <v>0</v>
      </c>
    </row>
    <row r="65" spans="1:71">
      <c r="A65" s="22">
        <f>ROUND(($B$6+24*Planner!$F$4/1440)*1440,0)/1440</f>
        <v>46289.208333333336</v>
      </c>
      <c r="B65" s="22">
        <f>IF(COUNTIFS(ZonePeriods[Code],Planner!B$9,ZonePeriods[FromUtc],"&lt;="&amp;$A65,ZonePeriods[UntilUtc],"&gt;"&amp;$A65)=1,ROUND(($A65+SUMIFS(ZonePeriods[OffsetHours],ZonePeriods[Code],Planner!B$9,ZonePeriods[FromUtc],"&lt;="&amp;$A65,ZonePeriods[UntilUtc],"&gt;"&amp;$A65)/24)*1440,0)/1440,NA())</f>
        <v>46289.5</v>
      </c>
      <c r="C65" s="22">
        <f>IF(COUNTIFS(ZonePeriods[Code],Planner!C$9,ZonePeriods[FromUtc],"&lt;="&amp;$A65,ZonePeriods[UntilUtc],"&gt;"&amp;$A65)=1,ROUND(($A65+SUMIFS(ZonePeriods[OffsetHours],ZonePeriods[Code],Planner!C$9,ZonePeriods[FromUtc],"&lt;="&amp;$A65,ZonePeriods[UntilUtc],"&gt;"&amp;$A65)/24)*1440,0)/1440,NA())</f>
        <v>46289.4375</v>
      </c>
      <c r="D65" s="22">
        <f>IF(COUNTIFS(ZonePeriods[Code],Planner!D$9,ZonePeriods[FromUtc],"&lt;="&amp;$A65,ZonePeriods[UntilUtc],"&gt;"&amp;$A65)=1,ROUND(($A65+SUMIFS(ZonePeriods[OffsetHours],ZonePeriods[Code],Planner!D$9,ZonePeriods[FromUtc],"&lt;="&amp;$A65,ZonePeriods[UntilUtc],"&gt;"&amp;$A65)/24)*1440,0)/1440,NA())</f>
        <v>46289.333333333336</v>
      </c>
      <c r="E65" s="22">
        <f>IF(COUNTIFS(ZonePeriods[Code],Planner!E$9,ZonePeriods[FromUtc],"&lt;="&amp;$A65,ZonePeriods[UntilUtc],"&gt;"&amp;$A65)=1,ROUND(($A65+SUMIFS(ZonePeriods[OffsetHours],ZonePeriods[Code],Planner!E$9,ZonePeriods[FromUtc],"&lt;="&amp;$A65,ZonePeriods[UntilUtc],"&gt;"&amp;$A65)/24)*1440,0)/1440,NA())</f>
        <v>46289.291666666664</v>
      </c>
      <c r="F65" s="22">
        <f>IF(COUNTIFS(ZonePeriods[Code],Planner!F$9,ZonePeriods[FromUtc],"&lt;="&amp;$A65,ZonePeriods[UntilUtc],"&gt;"&amp;$A65)=1,ROUND(($A65+SUMIFS(ZonePeriods[OffsetHours],ZonePeriods[Code],Planner!F$9,ZonePeriods[FromUtc],"&lt;="&amp;$A65,ZonePeriods[UntilUtc],"&gt;"&amp;$A65)/24)*1440,0)/1440,NA())</f>
        <v>46289.25</v>
      </c>
      <c r="G65" s="22">
        <f>IF(COUNTIFS(ZonePeriods[Code],Planner!G$9,ZonePeriods[FromUtc],"&lt;="&amp;$A65,ZonePeriods[UntilUtc],"&gt;"&amp;$A65)=1,ROUND(($A65+SUMIFS(ZonePeriods[OffsetHours],ZonePeriods[Code],Planner!G$9,ZonePeriods[FromUtc],"&lt;="&amp;$A65,ZonePeriods[UntilUtc],"&gt;"&amp;$A65)/24)*1440,0)/1440,NA())</f>
        <v>46289.041666666664</v>
      </c>
      <c r="H65" s="22">
        <f>IF(COUNTIFS(ZonePeriods[Code],Planner!H$9,ZonePeriods[FromUtc],"&lt;="&amp;$A65,ZonePeriods[UntilUtc],"&gt;"&amp;$A65)=1,ROUND(($A65+SUMIFS(ZonePeriods[OffsetHours],ZonePeriods[Code],Planner!H$9,ZonePeriods[FromUtc],"&lt;="&amp;$A65,ZonePeriods[UntilUtc],"&gt;"&amp;$A65)/24)*1440,0)/1440,NA())</f>
        <v>46288.916666666664</v>
      </c>
      <c r="I65" s="1"/>
      <c r="J65" s="1">
        <f t="shared" si="14"/>
        <v>720</v>
      </c>
      <c r="K65" s="1">
        <f t="shared" si="15"/>
        <v>630</v>
      </c>
      <c r="L65" s="1">
        <f t="shared" si="16"/>
        <v>480</v>
      </c>
      <c r="M65" s="1">
        <f t="shared" si="17"/>
        <v>420</v>
      </c>
      <c r="N65" s="1">
        <f t="shared" si="18"/>
        <v>360</v>
      </c>
      <c r="O65" s="1">
        <f t="shared" si="19"/>
        <v>60</v>
      </c>
      <c r="P65" s="1">
        <f t="shared" si="20"/>
        <v>1320</v>
      </c>
      <c r="Q65" s="1"/>
      <c r="R65" s="1">
        <f t="shared" si="21"/>
        <v>2</v>
      </c>
      <c r="S65" s="1">
        <f t="shared" si="22"/>
        <v>2</v>
      </c>
      <c r="T65" s="1">
        <f t="shared" si="23"/>
        <v>1</v>
      </c>
      <c r="U65" s="1">
        <f t="shared" si="24"/>
        <v>1</v>
      </c>
      <c r="V65" s="1">
        <f t="shared" si="25"/>
        <v>0</v>
      </c>
      <c r="W65" s="1">
        <f t="shared" si="26"/>
        <v>0</v>
      </c>
      <c r="X65" s="1">
        <f t="shared" si="27"/>
        <v>0</v>
      </c>
      <c r="Y65" s="1"/>
      <c r="Z65" s="1">
        <f>IF(Planner!B$10="Nessuno",0,COUNTIFS(HolidayDates[Calendar],Planner!B$10,HolidayDates[Local date],INT(B65),HolidayDates[Active 0/1],1)+COUNTIFS(ImportedHolidays[Calendar],Planner!B$10,ImportedHolidays[Date],INT(B65),ImportedHolidays[Active],1,ImportedHolidays[Kind],"HOLIDAY"))</f>
        <v>0</v>
      </c>
      <c r="AA65" s="1">
        <f>IF(Planner!C$10="Nessuno",0,COUNTIFS(HolidayDates[Calendar],Planner!C$10,HolidayDates[Local date],INT(C65),HolidayDates[Active 0/1],1)+COUNTIFS(ImportedHolidays[Calendar],Planner!C$10,ImportedHolidays[Date],INT(C65),ImportedHolidays[Active],1,ImportedHolidays[Kind],"HOLIDAY"))</f>
        <v>0</v>
      </c>
      <c r="AB65" s="1">
        <f>IF(Planner!D$10="Nessuno",0,COUNTIFS(HolidayDates[Calendar],Planner!D$10,HolidayDates[Local date],INT(D65),HolidayDates[Active 0/1],1)+COUNTIFS(ImportedHolidays[Calendar],Planner!D$10,ImportedHolidays[Date],INT(D65),ImportedHolidays[Active],1,ImportedHolidays[Kind],"HOLIDAY"))</f>
        <v>0</v>
      </c>
      <c r="AC65" s="1">
        <f>IF(Planner!E$10="Nessuno",0,COUNTIFS(HolidayDates[Calendar],Planner!E$10,HolidayDates[Local date],INT(E65),HolidayDates[Active 0/1],1)+COUNTIFS(ImportedHolidays[Calendar],Planner!E$10,ImportedHolidays[Date],INT(E65),ImportedHolidays[Active],1,ImportedHolidays[Kind],"HOLIDAY"))</f>
        <v>0</v>
      </c>
      <c r="AD65" s="1">
        <f>IF(Planner!F$10="Nessuno",0,COUNTIFS(HolidayDates[Calendar],Planner!F$10,HolidayDates[Local date],INT(F65),HolidayDates[Active 0/1],1)+COUNTIFS(ImportedHolidays[Calendar],Planner!F$10,ImportedHolidays[Date],INT(F65),ImportedHolidays[Active],1,ImportedHolidays[Kind],"HOLIDAY"))</f>
        <v>0</v>
      </c>
      <c r="AE65" s="1">
        <f>IF(Planner!G$10="Nessuno",0,COUNTIFS(HolidayDates[Calendar],Planner!G$10,HolidayDates[Local date],INT(G65),HolidayDates[Active 0/1],1)+COUNTIFS(ImportedHolidays[Calendar],Planner!G$10,ImportedHolidays[Date],INT(G65),ImportedHolidays[Active],1,ImportedHolidays[Kind],"HOLIDAY"))</f>
        <v>0</v>
      </c>
      <c r="AF65" s="1">
        <f>IF(Planner!H$10="Nessuno",0,COUNTIFS(HolidayDates[Calendar],Planner!H$10,HolidayDates[Local date],INT(H65),HolidayDates[Active 0/1],1)+COUNTIFS(ImportedHolidays[Calendar],Planner!H$10,ImportedHolidays[Date],INT(H65),ImportedHolidays[Active],1,ImportedHolidays[Kind],"HOLIDAY"))</f>
        <v>0</v>
      </c>
      <c r="AG65" s="1"/>
      <c r="AH65" s="1" t="b">
        <f>INDEX(Parametri!$G12:$M12,1,WEEKDAY(INT(B65),2))=1</f>
        <v>0</v>
      </c>
      <c r="AI65" s="1" t="b">
        <f>INDEX(Parametri!$G13:$M13,1,WEEKDAY(INT(C65),2))=1</f>
        <v>0</v>
      </c>
      <c r="AJ65" s="1" t="b">
        <f>INDEX(Parametri!$G14:$M14,1,WEEKDAY(INT(D65),2))=1</f>
        <v>0</v>
      </c>
      <c r="AK65" s="1" t="b">
        <f>INDEX(Parametri!$G15:$M15,1,WEEKDAY(INT(E65),2))=1</f>
        <v>0</v>
      </c>
      <c r="AL65" s="1" t="b">
        <f>INDEX(Parametri!$G16:$M16,1,WEEKDAY(INT(F65),2))=1</f>
        <v>0</v>
      </c>
      <c r="AM65" s="1" t="b">
        <f>INDEX(Parametri!$G17:$M17,1,WEEKDAY(INT(G65),2))=1</f>
        <v>0</v>
      </c>
      <c r="AN65" s="1" t="b">
        <f>INDEX(Parametri!$G18:$M18,1,WEEKDAY(INT(H65),2))=1</f>
        <v>0</v>
      </c>
      <c r="AO65">
        <f>COUNTIFS(PersonalExceptions[Colonna],1,PersonalExceptions[Dal],"&lt;="&amp;INT(B65),PersonalExceptions[Al],"&gt;="&amp;INT(B65),PersonalExceptions[Active 0/1],1,PersonalExceptions[Effetto],"Rest")</f>
        <v>0</v>
      </c>
      <c r="AP65">
        <f>COUNTIFS(PersonalExceptions[Colonna],2,PersonalExceptions[Dal],"&lt;="&amp;INT(C65),PersonalExceptions[Al],"&gt;="&amp;INT(C65),PersonalExceptions[Active 0/1],1,PersonalExceptions[Effetto],"Rest")</f>
        <v>0</v>
      </c>
      <c r="AQ65">
        <f>COUNTIFS(PersonalExceptions[Colonna],3,PersonalExceptions[Dal],"&lt;="&amp;INT(D65),PersonalExceptions[Al],"&gt;="&amp;INT(D65),PersonalExceptions[Active 0/1],1,PersonalExceptions[Effetto],"Rest")</f>
        <v>0</v>
      </c>
      <c r="AR65">
        <f>COUNTIFS(PersonalExceptions[Colonna],4,PersonalExceptions[Dal],"&lt;="&amp;INT(E65),PersonalExceptions[Al],"&gt;="&amp;INT(E65),PersonalExceptions[Active 0/1],1,PersonalExceptions[Effetto],"Rest")</f>
        <v>0</v>
      </c>
      <c r="AS65">
        <f>COUNTIFS(PersonalExceptions[Colonna],5,PersonalExceptions[Dal],"&lt;="&amp;INT(F65),PersonalExceptions[Al],"&gt;="&amp;INT(F65),PersonalExceptions[Active 0/1],1,PersonalExceptions[Effetto],"Rest")</f>
        <v>0</v>
      </c>
      <c r="AT65">
        <f>COUNTIFS(PersonalExceptions[Colonna],6,PersonalExceptions[Dal],"&lt;="&amp;INT(G65),PersonalExceptions[Al],"&gt;="&amp;INT(G65),PersonalExceptions[Active 0/1],1,PersonalExceptions[Effetto],"Rest")</f>
        <v>0</v>
      </c>
      <c r="AU65">
        <f>COUNTIFS(PersonalExceptions[Colonna],7,PersonalExceptions[Dal],"&lt;="&amp;INT(H65),PersonalExceptions[Al],"&gt;="&amp;INT(H65),PersonalExceptions[Active 0/1],1,PersonalExceptions[Effetto],"Rest")</f>
        <v>0</v>
      </c>
      <c r="AW65">
        <f>COUNTIFS(PersonalExceptions[Colonna],1,PersonalExceptions[Dal],"&lt;="&amp;INT(B65),PersonalExceptions[Al],"&gt;="&amp;INT(B65),PersonalExceptions[Active 0/1],1,PersonalExceptions[Effetto],"Activity")</f>
        <v>0</v>
      </c>
      <c r="AX65">
        <f>COUNTIFS(PersonalExceptions[Colonna],2,PersonalExceptions[Dal],"&lt;="&amp;INT(C65),PersonalExceptions[Al],"&gt;="&amp;INT(C65),PersonalExceptions[Active 0/1],1,PersonalExceptions[Effetto],"Activity")</f>
        <v>0</v>
      </c>
      <c r="AY65">
        <f>COUNTIFS(PersonalExceptions[Colonna],3,PersonalExceptions[Dal],"&lt;="&amp;INT(D65),PersonalExceptions[Al],"&gt;="&amp;INT(D65),PersonalExceptions[Active 0/1],1,PersonalExceptions[Effetto],"Activity")</f>
        <v>0</v>
      </c>
      <c r="AZ65">
        <f>COUNTIFS(PersonalExceptions[Colonna],4,PersonalExceptions[Dal],"&lt;="&amp;INT(E65),PersonalExceptions[Al],"&gt;="&amp;INT(E65),PersonalExceptions[Active 0/1],1,PersonalExceptions[Effetto],"Activity")</f>
        <v>0</v>
      </c>
      <c r="BA65">
        <f>COUNTIFS(PersonalExceptions[Colonna],5,PersonalExceptions[Dal],"&lt;="&amp;INT(F65),PersonalExceptions[Al],"&gt;="&amp;INT(F65),PersonalExceptions[Active 0/1],1,PersonalExceptions[Effetto],"Activity")</f>
        <v>0</v>
      </c>
      <c r="BB65">
        <f>COUNTIFS(PersonalExceptions[Colonna],6,PersonalExceptions[Dal],"&lt;="&amp;INT(G65),PersonalExceptions[Al],"&gt;="&amp;INT(G65),PersonalExceptions[Active 0/1],1,PersonalExceptions[Effetto],"Activity")</f>
        <v>0</v>
      </c>
      <c r="BC65">
        <f>COUNTIFS(PersonalExceptions[Colonna],7,PersonalExceptions[Dal],"&lt;="&amp;INT(H65),PersonalExceptions[Al],"&gt;="&amp;INT(H65),PersonalExceptions[Active 0/1],1,PersonalExceptions[Effetto],"Activity")</f>
        <v>0</v>
      </c>
      <c r="BE65">
        <f>IF(Planner!B$10="Nessuno",0,COUNTIFS(ImportedHolidays[Calendar],Planner!B$10,ImportedHolidays[Date],INT(B65),ImportedHolidays[Active],1,ImportedHolidays[Kind],"WORKDAY"))</f>
        <v>0</v>
      </c>
      <c r="BF65">
        <f>IF(Planner!C$10="Nessuno",0,COUNTIFS(ImportedHolidays[Calendar],Planner!C$10,ImportedHolidays[Date],INT(C65),ImportedHolidays[Active],1,ImportedHolidays[Kind],"WORKDAY"))</f>
        <v>0</v>
      </c>
      <c r="BG65">
        <f>IF(Planner!D$10="Nessuno",0,COUNTIFS(ImportedHolidays[Calendar],Planner!D$10,ImportedHolidays[Date],INT(D65),ImportedHolidays[Active],1,ImportedHolidays[Kind],"WORKDAY"))</f>
        <v>0</v>
      </c>
      <c r="BH65">
        <f>IF(Planner!E$10="Nessuno",0,COUNTIFS(ImportedHolidays[Calendar],Planner!E$10,ImportedHolidays[Date],INT(E65),ImportedHolidays[Active],1,ImportedHolidays[Kind],"WORKDAY"))</f>
        <v>0</v>
      </c>
      <c r="BI65">
        <f>IF(Planner!F$10="Nessuno",0,COUNTIFS(ImportedHolidays[Calendar],Planner!F$10,ImportedHolidays[Date],INT(F65),ImportedHolidays[Active],1,ImportedHolidays[Kind],"WORKDAY"))</f>
        <v>0</v>
      </c>
      <c r="BJ65">
        <f>IF(Planner!G$10="Nessuno",0,COUNTIFS(ImportedHolidays[Calendar],Planner!G$10,ImportedHolidays[Date],INT(G65),ImportedHolidays[Active],1,ImportedHolidays[Kind],"WORKDAY"))</f>
        <v>0</v>
      </c>
      <c r="BK65">
        <f>IF(Planner!H$10="Nessuno",0,COUNTIFS(ImportedHolidays[Calendar],Planner!H$10,ImportedHolidays[Date],INT(H65),ImportedHolidays[Active],1,ImportedHolidays[Kind],"WORKDAY"))</f>
        <v>0</v>
      </c>
      <c r="BM65">
        <f>IF(MOD(J65-B$11,1440)&lt;B$12,2,IF(OR(MOD(J65-B$11,1440)&lt;B$12+ROUND(Planner!$D$5*60,0),MOD(J65-B$11,1440)&gt;=1440-ROUND(Planner!$B$5*60,0)),1,0))</f>
        <v>2</v>
      </c>
      <c r="BN65">
        <f>IF(MOD(K65-C$11,1440)&lt;C$12,2,IF(OR(MOD(K65-C$11,1440)&lt;C$12+ROUND(Planner!$D$5*60,0),MOD(K65-C$11,1440)&gt;=1440-ROUND(Planner!$B$5*60,0)),1,0))</f>
        <v>2</v>
      </c>
      <c r="BO65">
        <f>IF(MOD(L65-D$11,1440)&lt;D$12,2,IF(OR(MOD(L65-D$11,1440)&lt;D$12+ROUND(Planner!$D$5*60,0),MOD(L65-D$11,1440)&gt;=1440-ROUND(Planner!$B$5*60,0)),1,0))</f>
        <v>1</v>
      </c>
      <c r="BP65">
        <f>IF(MOD(M65-E$11,1440)&lt;E$12,2,IF(OR(MOD(M65-E$11,1440)&lt;E$12+ROUND(Planner!$D$5*60,0),MOD(M65-E$11,1440)&gt;=1440-ROUND(Planner!$B$5*60,0)),1,0))</f>
        <v>1</v>
      </c>
      <c r="BQ65">
        <f>IF(MOD(N65-F$11,1440)&lt;F$12,2,IF(OR(MOD(N65-F$11,1440)&lt;F$12+ROUND(Planner!$D$5*60,0),MOD(N65-F$11,1440)&gt;=1440-ROUND(Planner!$B$5*60,0)),1,0))</f>
        <v>0</v>
      </c>
      <c r="BR65">
        <f>IF(MOD(O65-G$11,1440)&lt;G$12,2,IF(OR(MOD(O65-G$11,1440)&lt;G$12+ROUND(Planner!$D$5*60,0),MOD(O65-G$11,1440)&gt;=1440-ROUND(Planner!$B$5*60,0)),1,0))</f>
        <v>0</v>
      </c>
      <c r="BS65">
        <f>IF(MOD(P65-H$11,1440)&lt;H$12,2,IF(OR(MOD(P65-H$11,1440)&lt;H$12+ROUND(Planner!$D$5*60,0),MOD(P65-H$11,1440)&gt;=1440-ROUND(Planner!$B$5*60,0)),1,0))</f>
        <v>0</v>
      </c>
    </row>
    <row r="66" spans="1:71">
      <c r="A66" s="22">
        <f>ROUND(($B$6+25*Planner!$F$4/1440)*1440,0)/1440</f>
        <v>46289.229166666664</v>
      </c>
      <c r="B66" s="22">
        <f>IF(COUNTIFS(ZonePeriods[Code],Planner!B$9,ZonePeriods[FromUtc],"&lt;="&amp;$A66,ZonePeriods[UntilUtc],"&gt;"&amp;$A66)=1,ROUND(($A66+SUMIFS(ZonePeriods[OffsetHours],ZonePeriods[Code],Planner!B$9,ZonePeriods[FromUtc],"&lt;="&amp;$A66,ZonePeriods[UntilUtc],"&gt;"&amp;$A66)/24)*1440,0)/1440,NA())</f>
        <v>46289.520833333336</v>
      </c>
      <c r="C66" s="22">
        <f>IF(COUNTIFS(ZonePeriods[Code],Planner!C$9,ZonePeriods[FromUtc],"&lt;="&amp;$A66,ZonePeriods[UntilUtc],"&gt;"&amp;$A66)=1,ROUND(($A66+SUMIFS(ZonePeriods[OffsetHours],ZonePeriods[Code],Planner!C$9,ZonePeriods[FromUtc],"&lt;="&amp;$A66,ZonePeriods[UntilUtc],"&gt;"&amp;$A66)/24)*1440,0)/1440,NA())</f>
        <v>46289.458333333336</v>
      </c>
      <c r="D66" s="22">
        <f>IF(COUNTIFS(ZonePeriods[Code],Planner!D$9,ZonePeriods[FromUtc],"&lt;="&amp;$A66,ZonePeriods[UntilUtc],"&gt;"&amp;$A66)=1,ROUND(($A66+SUMIFS(ZonePeriods[OffsetHours],ZonePeriods[Code],Planner!D$9,ZonePeriods[FromUtc],"&lt;="&amp;$A66,ZonePeriods[UntilUtc],"&gt;"&amp;$A66)/24)*1440,0)/1440,NA())</f>
        <v>46289.354166666664</v>
      </c>
      <c r="E66" s="22">
        <f>IF(COUNTIFS(ZonePeriods[Code],Planner!E$9,ZonePeriods[FromUtc],"&lt;="&amp;$A66,ZonePeriods[UntilUtc],"&gt;"&amp;$A66)=1,ROUND(($A66+SUMIFS(ZonePeriods[OffsetHours],ZonePeriods[Code],Planner!E$9,ZonePeriods[FromUtc],"&lt;="&amp;$A66,ZonePeriods[UntilUtc],"&gt;"&amp;$A66)/24)*1440,0)/1440,NA())</f>
        <v>46289.3125</v>
      </c>
      <c r="F66" s="22">
        <f>IF(COUNTIFS(ZonePeriods[Code],Planner!F$9,ZonePeriods[FromUtc],"&lt;="&amp;$A66,ZonePeriods[UntilUtc],"&gt;"&amp;$A66)=1,ROUND(($A66+SUMIFS(ZonePeriods[OffsetHours],ZonePeriods[Code],Planner!F$9,ZonePeriods[FromUtc],"&lt;="&amp;$A66,ZonePeriods[UntilUtc],"&gt;"&amp;$A66)/24)*1440,0)/1440,NA())</f>
        <v>46289.270833333336</v>
      </c>
      <c r="G66" s="22">
        <f>IF(COUNTIFS(ZonePeriods[Code],Planner!G$9,ZonePeriods[FromUtc],"&lt;="&amp;$A66,ZonePeriods[UntilUtc],"&gt;"&amp;$A66)=1,ROUND(($A66+SUMIFS(ZonePeriods[OffsetHours],ZonePeriods[Code],Planner!G$9,ZonePeriods[FromUtc],"&lt;="&amp;$A66,ZonePeriods[UntilUtc],"&gt;"&amp;$A66)/24)*1440,0)/1440,NA())</f>
        <v>46289.0625</v>
      </c>
      <c r="H66" s="22">
        <f>IF(COUNTIFS(ZonePeriods[Code],Planner!H$9,ZonePeriods[FromUtc],"&lt;="&amp;$A66,ZonePeriods[UntilUtc],"&gt;"&amp;$A66)=1,ROUND(($A66+SUMIFS(ZonePeriods[OffsetHours],ZonePeriods[Code],Planner!H$9,ZonePeriods[FromUtc],"&lt;="&amp;$A66,ZonePeriods[UntilUtc],"&gt;"&amp;$A66)/24)*1440,0)/1440,NA())</f>
        <v>46288.9375</v>
      </c>
      <c r="I66" s="1"/>
      <c r="J66" s="1">
        <f t="shared" si="14"/>
        <v>750</v>
      </c>
      <c r="K66" s="1">
        <f t="shared" si="15"/>
        <v>660</v>
      </c>
      <c r="L66" s="1">
        <f t="shared" si="16"/>
        <v>510</v>
      </c>
      <c r="M66" s="1">
        <f t="shared" si="17"/>
        <v>450</v>
      </c>
      <c r="N66" s="1">
        <f t="shared" si="18"/>
        <v>390</v>
      </c>
      <c r="O66" s="1">
        <f t="shared" si="19"/>
        <v>90</v>
      </c>
      <c r="P66" s="1">
        <f t="shared" si="20"/>
        <v>1350</v>
      </c>
      <c r="Q66" s="1"/>
      <c r="R66" s="1">
        <f t="shared" si="21"/>
        <v>2</v>
      </c>
      <c r="S66" s="1">
        <f t="shared" si="22"/>
        <v>2</v>
      </c>
      <c r="T66" s="1">
        <f t="shared" si="23"/>
        <v>1</v>
      </c>
      <c r="U66" s="1">
        <f t="shared" si="24"/>
        <v>1</v>
      </c>
      <c r="V66" s="1">
        <f t="shared" si="25"/>
        <v>0</v>
      </c>
      <c r="W66" s="1">
        <f t="shared" si="26"/>
        <v>0</v>
      </c>
      <c r="X66" s="1">
        <f t="shared" si="27"/>
        <v>0</v>
      </c>
      <c r="Y66" s="1"/>
      <c r="Z66" s="1">
        <f>IF(Planner!B$10="Nessuno",0,COUNTIFS(HolidayDates[Calendar],Planner!B$10,HolidayDates[Local date],INT(B66),HolidayDates[Active 0/1],1)+COUNTIFS(ImportedHolidays[Calendar],Planner!B$10,ImportedHolidays[Date],INT(B66),ImportedHolidays[Active],1,ImportedHolidays[Kind],"HOLIDAY"))</f>
        <v>0</v>
      </c>
      <c r="AA66" s="1">
        <f>IF(Planner!C$10="Nessuno",0,COUNTIFS(HolidayDates[Calendar],Planner!C$10,HolidayDates[Local date],INT(C66),HolidayDates[Active 0/1],1)+COUNTIFS(ImportedHolidays[Calendar],Planner!C$10,ImportedHolidays[Date],INT(C66),ImportedHolidays[Active],1,ImportedHolidays[Kind],"HOLIDAY"))</f>
        <v>0</v>
      </c>
      <c r="AB66" s="1">
        <f>IF(Planner!D$10="Nessuno",0,COUNTIFS(HolidayDates[Calendar],Planner!D$10,HolidayDates[Local date],INT(D66),HolidayDates[Active 0/1],1)+COUNTIFS(ImportedHolidays[Calendar],Planner!D$10,ImportedHolidays[Date],INT(D66),ImportedHolidays[Active],1,ImportedHolidays[Kind],"HOLIDAY"))</f>
        <v>0</v>
      </c>
      <c r="AC66" s="1">
        <f>IF(Planner!E$10="Nessuno",0,COUNTIFS(HolidayDates[Calendar],Planner!E$10,HolidayDates[Local date],INT(E66),HolidayDates[Active 0/1],1)+COUNTIFS(ImportedHolidays[Calendar],Planner!E$10,ImportedHolidays[Date],INT(E66),ImportedHolidays[Active],1,ImportedHolidays[Kind],"HOLIDAY"))</f>
        <v>0</v>
      </c>
      <c r="AD66" s="1">
        <f>IF(Planner!F$10="Nessuno",0,COUNTIFS(HolidayDates[Calendar],Planner!F$10,HolidayDates[Local date],INT(F66),HolidayDates[Active 0/1],1)+COUNTIFS(ImportedHolidays[Calendar],Planner!F$10,ImportedHolidays[Date],INT(F66),ImportedHolidays[Active],1,ImportedHolidays[Kind],"HOLIDAY"))</f>
        <v>0</v>
      </c>
      <c r="AE66" s="1">
        <f>IF(Planner!G$10="Nessuno",0,COUNTIFS(HolidayDates[Calendar],Planner!G$10,HolidayDates[Local date],INT(G66),HolidayDates[Active 0/1],1)+COUNTIFS(ImportedHolidays[Calendar],Planner!G$10,ImportedHolidays[Date],INT(G66),ImportedHolidays[Active],1,ImportedHolidays[Kind],"HOLIDAY"))</f>
        <v>0</v>
      </c>
      <c r="AF66" s="1">
        <f>IF(Planner!H$10="Nessuno",0,COUNTIFS(HolidayDates[Calendar],Planner!H$10,HolidayDates[Local date],INT(H66),HolidayDates[Active 0/1],1)+COUNTIFS(ImportedHolidays[Calendar],Planner!H$10,ImportedHolidays[Date],INT(H66),ImportedHolidays[Active],1,ImportedHolidays[Kind],"HOLIDAY"))</f>
        <v>0</v>
      </c>
      <c r="AG66" s="1"/>
      <c r="AH66" s="1" t="b">
        <f>INDEX(Parametri!$G12:$M12,1,WEEKDAY(INT(B66),2))=1</f>
        <v>0</v>
      </c>
      <c r="AI66" s="1" t="b">
        <f>INDEX(Parametri!$G13:$M13,1,WEEKDAY(INT(C66),2))=1</f>
        <v>0</v>
      </c>
      <c r="AJ66" s="1" t="b">
        <f>INDEX(Parametri!$G14:$M14,1,WEEKDAY(INT(D66),2))=1</f>
        <v>0</v>
      </c>
      <c r="AK66" s="1" t="b">
        <f>INDEX(Parametri!$G15:$M15,1,WEEKDAY(INT(E66),2))=1</f>
        <v>0</v>
      </c>
      <c r="AL66" s="1" t="b">
        <f>INDEX(Parametri!$G16:$M16,1,WEEKDAY(INT(F66),2))=1</f>
        <v>0</v>
      </c>
      <c r="AM66" s="1" t="b">
        <f>INDEX(Parametri!$G17:$M17,1,WEEKDAY(INT(G66),2))=1</f>
        <v>0</v>
      </c>
      <c r="AN66" s="1" t="b">
        <f>INDEX(Parametri!$G18:$M18,1,WEEKDAY(INT(H66),2))=1</f>
        <v>0</v>
      </c>
      <c r="AO66">
        <f>COUNTIFS(PersonalExceptions[Colonna],1,PersonalExceptions[Dal],"&lt;="&amp;INT(B66),PersonalExceptions[Al],"&gt;="&amp;INT(B66),PersonalExceptions[Active 0/1],1,PersonalExceptions[Effetto],"Rest")</f>
        <v>0</v>
      </c>
      <c r="AP66">
        <f>COUNTIFS(PersonalExceptions[Colonna],2,PersonalExceptions[Dal],"&lt;="&amp;INT(C66),PersonalExceptions[Al],"&gt;="&amp;INT(C66),PersonalExceptions[Active 0/1],1,PersonalExceptions[Effetto],"Rest")</f>
        <v>0</v>
      </c>
      <c r="AQ66">
        <f>COUNTIFS(PersonalExceptions[Colonna],3,PersonalExceptions[Dal],"&lt;="&amp;INT(D66),PersonalExceptions[Al],"&gt;="&amp;INT(D66),PersonalExceptions[Active 0/1],1,PersonalExceptions[Effetto],"Rest")</f>
        <v>0</v>
      </c>
      <c r="AR66">
        <f>COUNTIFS(PersonalExceptions[Colonna],4,PersonalExceptions[Dal],"&lt;="&amp;INT(E66),PersonalExceptions[Al],"&gt;="&amp;INT(E66),PersonalExceptions[Active 0/1],1,PersonalExceptions[Effetto],"Rest")</f>
        <v>0</v>
      </c>
      <c r="AS66">
        <f>COUNTIFS(PersonalExceptions[Colonna],5,PersonalExceptions[Dal],"&lt;="&amp;INT(F66),PersonalExceptions[Al],"&gt;="&amp;INT(F66),PersonalExceptions[Active 0/1],1,PersonalExceptions[Effetto],"Rest")</f>
        <v>0</v>
      </c>
      <c r="AT66">
        <f>COUNTIFS(PersonalExceptions[Colonna],6,PersonalExceptions[Dal],"&lt;="&amp;INT(G66),PersonalExceptions[Al],"&gt;="&amp;INT(G66),PersonalExceptions[Active 0/1],1,PersonalExceptions[Effetto],"Rest")</f>
        <v>0</v>
      </c>
      <c r="AU66">
        <f>COUNTIFS(PersonalExceptions[Colonna],7,PersonalExceptions[Dal],"&lt;="&amp;INT(H66),PersonalExceptions[Al],"&gt;="&amp;INT(H66),PersonalExceptions[Active 0/1],1,PersonalExceptions[Effetto],"Rest")</f>
        <v>0</v>
      </c>
      <c r="AW66">
        <f>COUNTIFS(PersonalExceptions[Colonna],1,PersonalExceptions[Dal],"&lt;="&amp;INT(B66),PersonalExceptions[Al],"&gt;="&amp;INT(B66),PersonalExceptions[Active 0/1],1,PersonalExceptions[Effetto],"Activity")</f>
        <v>0</v>
      </c>
      <c r="AX66">
        <f>COUNTIFS(PersonalExceptions[Colonna],2,PersonalExceptions[Dal],"&lt;="&amp;INT(C66),PersonalExceptions[Al],"&gt;="&amp;INT(C66),PersonalExceptions[Active 0/1],1,PersonalExceptions[Effetto],"Activity")</f>
        <v>0</v>
      </c>
      <c r="AY66">
        <f>COUNTIFS(PersonalExceptions[Colonna],3,PersonalExceptions[Dal],"&lt;="&amp;INT(D66),PersonalExceptions[Al],"&gt;="&amp;INT(D66),PersonalExceptions[Active 0/1],1,PersonalExceptions[Effetto],"Activity")</f>
        <v>0</v>
      </c>
      <c r="AZ66">
        <f>COUNTIFS(PersonalExceptions[Colonna],4,PersonalExceptions[Dal],"&lt;="&amp;INT(E66),PersonalExceptions[Al],"&gt;="&amp;INT(E66),PersonalExceptions[Active 0/1],1,PersonalExceptions[Effetto],"Activity")</f>
        <v>0</v>
      </c>
      <c r="BA66">
        <f>COUNTIFS(PersonalExceptions[Colonna],5,PersonalExceptions[Dal],"&lt;="&amp;INT(F66),PersonalExceptions[Al],"&gt;="&amp;INT(F66),PersonalExceptions[Active 0/1],1,PersonalExceptions[Effetto],"Activity")</f>
        <v>0</v>
      </c>
      <c r="BB66">
        <f>COUNTIFS(PersonalExceptions[Colonna],6,PersonalExceptions[Dal],"&lt;="&amp;INT(G66),PersonalExceptions[Al],"&gt;="&amp;INT(G66),PersonalExceptions[Active 0/1],1,PersonalExceptions[Effetto],"Activity")</f>
        <v>0</v>
      </c>
      <c r="BC66">
        <f>COUNTIFS(PersonalExceptions[Colonna],7,PersonalExceptions[Dal],"&lt;="&amp;INT(H66),PersonalExceptions[Al],"&gt;="&amp;INT(H66),PersonalExceptions[Active 0/1],1,PersonalExceptions[Effetto],"Activity")</f>
        <v>0</v>
      </c>
      <c r="BE66">
        <f>IF(Planner!B$10="Nessuno",0,COUNTIFS(ImportedHolidays[Calendar],Planner!B$10,ImportedHolidays[Date],INT(B66),ImportedHolidays[Active],1,ImportedHolidays[Kind],"WORKDAY"))</f>
        <v>0</v>
      </c>
      <c r="BF66">
        <f>IF(Planner!C$10="Nessuno",0,COUNTIFS(ImportedHolidays[Calendar],Planner!C$10,ImportedHolidays[Date],INT(C66),ImportedHolidays[Active],1,ImportedHolidays[Kind],"WORKDAY"))</f>
        <v>0</v>
      </c>
      <c r="BG66">
        <f>IF(Planner!D$10="Nessuno",0,COUNTIFS(ImportedHolidays[Calendar],Planner!D$10,ImportedHolidays[Date],INT(D66),ImportedHolidays[Active],1,ImportedHolidays[Kind],"WORKDAY"))</f>
        <v>0</v>
      </c>
      <c r="BH66">
        <f>IF(Planner!E$10="Nessuno",0,COUNTIFS(ImportedHolidays[Calendar],Planner!E$10,ImportedHolidays[Date],INT(E66),ImportedHolidays[Active],1,ImportedHolidays[Kind],"WORKDAY"))</f>
        <v>0</v>
      </c>
      <c r="BI66">
        <f>IF(Planner!F$10="Nessuno",0,COUNTIFS(ImportedHolidays[Calendar],Planner!F$10,ImportedHolidays[Date],INT(F66),ImportedHolidays[Active],1,ImportedHolidays[Kind],"WORKDAY"))</f>
        <v>0</v>
      </c>
      <c r="BJ66">
        <f>IF(Planner!G$10="Nessuno",0,COUNTIFS(ImportedHolidays[Calendar],Planner!G$10,ImportedHolidays[Date],INT(G66),ImportedHolidays[Active],1,ImportedHolidays[Kind],"WORKDAY"))</f>
        <v>0</v>
      </c>
      <c r="BK66">
        <f>IF(Planner!H$10="Nessuno",0,COUNTIFS(ImportedHolidays[Calendar],Planner!H$10,ImportedHolidays[Date],INT(H66),ImportedHolidays[Active],1,ImportedHolidays[Kind],"WORKDAY"))</f>
        <v>0</v>
      </c>
      <c r="BM66">
        <f>IF(MOD(J66-B$11,1440)&lt;B$12,2,IF(OR(MOD(J66-B$11,1440)&lt;B$12+ROUND(Planner!$D$5*60,0),MOD(J66-B$11,1440)&gt;=1440-ROUND(Planner!$B$5*60,0)),1,0))</f>
        <v>2</v>
      </c>
      <c r="BN66">
        <f>IF(MOD(K66-C$11,1440)&lt;C$12,2,IF(OR(MOD(K66-C$11,1440)&lt;C$12+ROUND(Planner!$D$5*60,0),MOD(K66-C$11,1440)&gt;=1440-ROUND(Planner!$B$5*60,0)),1,0))</f>
        <v>2</v>
      </c>
      <c r="BO66">
        <f>IF(MOD(L66-D$11,1440)&lt;D$12,2,IF(OR(MOD(L66-D$11,1440)&lt;D$12+ROUND(Planner!$D$5*60,0),MOD(L66-D$11,1440)&gt;=1440-ROUND(Planner!$B$5*60,0)),1,0))</f>
        <v>1</v>
      </c>
      <c r="BP66">
        <f>IF(MOD(M66-E$11,1440)&lt;E$12,2,IF(OR(MOD(M66-E$11,1440)&lt;E$12+ROUND(Planner!$D$5*60,0),MOD(M66-E$11,1440)&gt;=1440-ROUND(Planner!$B$5*60,0)),1,0))</f>
        <v>1</v>
      </c>
      <c r="BQ66">
        <f>IF(MOD(N66-F$11,1440)&lt;F$12,2,IF(OR(MOD(N66-F$11,1440)&lt;F$12+ROUND(Planner!$D$5*60,0),MOD(N66-F$11,1440)&gt;=1440-ROUND(Planner!$B$5*60,0)),1,0))</f>
        <v>0</v>
      </c>
      <c r="BR66">
        <f>IF(MOD(O66-G$11,1440)&lt;G$12,2,IF(OR(MOD(O66-G$11,1440)&lt;G$12+ROUND(Planner!$D$5*60,0),MOD(O66-G$11,1440)&gt;=1440-ROUND(Planner!$B$5*60,0)),1,0))</f>
        <v>0</v>
      </c>
      <c r="BS66">
        <f>IF(MOD(P66-H$11,1440)&lt;H$12,2,IF(OR(MOD(P66-H$11,1440)&lt;H$12+ROUND(Planner!$D$5*60,0),MOD(P66-H$11,1440)&gt;=1440-ROUND(Planner!$B$5*60,0)),1,0))</f>
        <v>0</v>
      </c>
    </row>
    <row r="67" spans="1:71">
      <c r="A67" s="22">
        <f>ROUND(($B$6+26*Planner!$F$4/1440)*1440,0)/1440</f>
        <v>46289.25</v>
      </c>
      <c r="B67" s="22">
        <f>IF(COUNTIFS(ZonePeriods[Code],Planner!B$9,ZonePeriods[FromUtc],"&lt;="&amp;$A67,ZonePeriods[UntilUtc],"&gt;"&amp;$A67)=1,ROUND(($A67+SUMIFS(ZonePeriods[OffsetHours],ZonePeriods[Code],Planner!B$9,ZonePeriods[FromUtc],"&lt;="&amp;$A67,ZonePeriods[UntilUtc],"&gt;"&amp;$A67)/24)*1440,0)/1440,NA())</f>
        <v>46289.541666666664</v>
      </c>
      <c r="C67" s="22">
        <f>IF(COUNTIFS(ZonePeriods[Code],Planner!C$9,ZonePeriods[FromUtc],"&lt;="&amp;$A67,ZonePeriods[UntilUtc],"&gt;"&amp;$A67)=1,ROUND(($A67+SUMIFS(ZonePeriods[OffsetHours],ZonePeriods[Code],Planner!C$9,ZonePeriods[FromUtc],"&lt;="&amp;$A67,ZonePeriods[UntilUtc],"&gt;"&amp;$A67)/24)*1440,0)/1440,NA())</f>
        <v>46289.479166666664</v>
      </c>
      <c r="D67" s="22">
        <f>IF(COUNTIFS(ZonePeriods[Code],Planner!D$9,ZonePeriods[FromUtc],"&lt;="&amp;$A67,ZonePeriods[UntilUtc],"&gt;"&amp;$A67)=1,ROUND(($A67+SUMIFS(ZonePeriods[OffsetHours],ZonePeriods[Code],Planner!D$9,ZonePeriods[FromUtc],"&lt;="&amp;$A67,ZonePeriods[UntilUtc],"&gt;"&amp;$A67)/24)*1440,0)/1440,NA())</f>
        <v>46289.375</v>
      </c>
      <c r="E67" s="22">
        <f>IF(COUNTIFS(ZonePeriods[Code],Planner!E$9,ZonePeriods[FromUtc],"&lt;="&amp;$A67,ZonePeriods[UntilUtc],"&gt;"&amp;$A67)=1,ROUND(($A67+SUMIFS(ZonePeriods[OffsetHours],ZonePeriods[Code],Planner!E$9,ZonePeriods[FromUtc],"&lt;="&amp;$A67,ZonePeriods[UntilUtc],"&gt;"&amp;$A67)/24)*1440,0)/1440,NA())</f>
        <v>46289.333333333336</v>
      </c>
      <c r="F67" s="22">
        <f>IF(COUNTIFS(ZonePeriods[Code],Planner!F$9,ZonePeriods[FromUtc],"&lt;="&amp;$A67,ZonePeriods[UntilUtc],"&gt;"&amp;$A67)=1,ROUND(($A67+SUMIFS(ZonePeriods[OffsetHours],ZonePeriods[Code],Planner!F$9,ZonePeriods[FromUtc],"&lt;="&amp;$A67,ZonePeriods[UntilUtc],"&gt;"&amp;$A67)/24)*1440,0)/1440,NA())</f>
        <v>46289.291666666664</v>
      </c>
      <c r="G67" s="22">
        <f>IF(COUNTIFS(ZonePeriods[Code],Planner!G$9,ZonePeriods[FromUtc],"&lt;="&amp;$A67,ZonePeriods[UntilUtc],"&gt;"&amp;$A67)=1,ROUND(($A67+SUMIFS(ZonePeriods[OffsetHours],ZonePeriods[Code],Planner!G$9,ZonePeriods[FromUtc],"&lt;="&amp;$A67,ZonePeriods[UntilUtc],"&gt;"&amp;$A67)/24)*1440,0)/1440,NA())</f>
        <v>46289.083333333336</v>
      </c>
      <c r="H67" s="22">
        <f>IF(COUNTIFS(ZonePeriods[Code],Planner!H$9,ZonePeriods[FromUtc],"&lt;="&amp;$A67,ZonePeriods[UntilUtc],"&gt;"&amp;$A67)=1,ROUND(($A67+SUMIFS(ZonePeriods[OffsetHours],ZonePeriods[Code],Planner!H$9,ZonePeriods[FromUtc],"&lt;="&amp;$A67,ZonePeriods[UntilUtc],"&gt;"&amp;$A67)/24)*1440,0)/1440,NA())</f>
        <v>46288.958333333336</v>
      </c>
      <c r="I67" s="1"/>
      <c r="J67" s="1">
        <f t="shared" si="14"/>
        <v>780</v>
      </c>
      <c r="K67" s="1">
        <f t="shared" si="15"/>
        <v>690</v>
      </c>
      <c r="L67" s="1">
        <f t="shared" si="16"/>
        <v>540</v>
      </c>
      <c r="M67" s="1">
        <f t="shared" si="17"/>
        <v>480</v>
      </c>
      <c r="N67" s="1">
        <f t="shared" si="18"/>
        <v>420</v>
      </c>
      <c r="O67" s="1">
        <f t="shared" si="19"/>
        <v>120</v>
      </c>
      <c r="P67" s="1">
        <f t="shared" si="20"/>
        <v>1380</v>
      </c>
      <c r="Q67" s="1"/>
      <c r="R67" s="1">
        <f t="shared" si="21"/>
        <v>2</v>
      </c>
      <c r="S67" s="1">
        <f t="shared" si="22"/>
        <v>2</v>
      </c>
      <c r="T67" s="1">
        <f t="shared" si="23"/>
        <v>2</v>
      </c>
      <c r="U67" s="1">
        <f t="shared" si="24"/>
        <v>1</v>
      </c>
      <c r="V67" s="1">
        <f t="shared" si="25"/>
        <v>1</v>
      </c>
      <c r="W67" s="1">
        <f t="shared" si="26"/>
        <v>0</v>
      </c>
      <c r="X67" s="1">
        <f t="shared" si="27"/>
        <v>0</v>
      </c>
      <c r="Y67" s="1"/>
      <c r="Z67" s="1">
        <f>IF(Planner!B$10="Nessuno",0,COUNTIFS(HolidayDates[Calendar],Planner!B$10,HolidayDates[Local date],INT(B67),HolidayDates[Active 0/1],1)+COUNTIFS(ImportedHolidays[Calendar],Planner!B$10,ImportedHolidays[Date],INT(B67),ImportedHolidays[Active],1,ImportedHolidays[Kind],"HOLIDAY"))</f>
        <v>0</v>
      </c>
      <c r="AA67" s="1">
        <f>IF(Planner!C$10="Nessuno",0,COUNTIFS(HolidayDates[Calendar],Planner!C$10,HolidayDates[Local date],INT(C67),HolidayDates[Active 0/1],1)+COUNTIFS(ImportedHolidays[Calendar],Planner!C$10,ImportedHolidays[Date],INT(C67),ImportedHolidays[Active],1,ImportedHolidays[Kind],"HOLIDAY"))</f>
        <v>0</v>
      </c>
      <c r="AB67" s="1">
        <f>IF(Planner!D$10="Nessuno",0,COUNTIFS(HolidayDates[Calendar],Planner!D$10,HolidayDates[Local date],INT(D67),HolidayDates[Active 0/1],1)+COUNTIFS(ImportedHolidays[Calendar],Planner!D$10,ImportedHolidays[Date],INT(D67),ImportedHolidays[Active],1,ImportedHolidays[Kind],"HOLIDAY"))</f>
        <v>0</v>
      </c>
      <c r="AC67" s="1">
        <f>IF(Planner!E$10="Nessuno",0,COUNTIFS(HolidayDates[Calendar],Planner!E$10,HolidayDates[Local date],INT(E67),HolidayDates[Active 0/1],1)+COUNTIFS(ImportedHolidays[Calendar],Planner!E$10,ImportedHolidays[Date],INT(E67),ImportedHolidays[Active],1,ImportedHolidays[Kind],"HOLIDAY"))</f>
        <v>0</v>
      </c>
      <c r="AD67" s="1">
        <f>IF(Planner!F$10="Nessuno",0,COUNTIFS(HolidayDates[Calendar],Planner!F$10,HolidayDates[Local date],INT(F67),HolidayDates[Active 0/1],1)+COUNTIFS(ImportedHolidays[Calendar],Planner!F$10,ImportedHolidays[Date],INT(F67),ImportedHolidays[Active],1,ImportedHolidays[Kind],"HOLIDAY"))</f>
        <v>0</v>
      </c>
      <c r="AE67" s="1">
        <f>IF(Planner!G$10="Nessuno",0,COUNTIFS(HolidayDates[Calendar],Planner!G$10,HolidayDates[Local date],INT(G67),HolidayDates[Active 0/1],1)+COUNTIFS(ImportedHolidays[Calendar],Planner!G$10,ImportedHolidays[Date],INT(G67),ImportedHolidays[Active],1,ImportedHolidays[Kind],"HOLIDAY"))</f>
        <v>0</v>
      </c>
      <c r="AF67" s="1">
        <f>IF(Planner!H$10="Nessuno",0,COUNTIFS(HolidayDates[Calendar],Planner!H$10,HolidayDates[Local date],INT(H67),HolidayDates[Active 0/1],1)+COUNTIFS(ImportedHolidays[Calendar],Planner!H$10,ImportedHolidays[Date],INT(H67),ImportedHolidays[Active],1,ImportedHolidays[Kind],"HOLIDAY"))</f>
        <v>0</v>
      </c>
      <c r="AG67" s="1"/>
      <c r="AH67" s="1" t="b">
        <f>INDEX(Parametri!$G12:$M12,1,WEEKDAY(INT(B67),2))=1</f>
        <v>0</v>
      </c>
      <c r="AI67" s="1" t="b">
        <f>INDEX(Parametri!$G13:$M13,1,WEEKDAY(INT(C67),2))=1</f>
        <v>0</v>
      </c>
      <c r="AJ67" s="1" t="b">
        <f>INDEX(Parametri!$G14:$M14,1,WEEKDAY(INT(D67),2))=1</f>
        <v>0</v>
      </c>
      <c r="AK67" s="1" t="b">
        <f>INDEX(Parametri!$G15:$M15,1,WEEKDAY(INT(E67),2))=1</f>
        <v>0</v>
      </c>
      <c r="AL67" s="1" t="b">
        <f>INDEX(Parametri!$G16:$M16,1,WEEKDAY(INT(F67),2))=1</f>
        <v>0</v>
      </c>
      <c r="AM67" s="1" t="b">
        <f>INDEX(Parametri!$G17:$M17,1,WEEKDAY(INT(G67),2))=1</f>
        <v>0</v>
      </c>
      <c r="AN67" s="1" t="b">
        <f>INDEX(Parametri!$G18:$M18,1,WEEKDAY(INT(H67),2))=1</f>
        <v>0</v>
      </c>
      <c r="AO67">
        <f>COUNTIFS(PersonalExceptions[Colonna],1,PersonalExceptions[Dal],"&lt;="&amp;INT(B67),PersonalExceptions[Al],"&gt;="&amp;INT(B67),PersonalExceptions[Active 0/1],1,PersonalExceptions[Effetto],"Rest")</f>
        <v>0</v>
      </c>
      <c r="AP67">
        <f>COUNTIFS(PersonalExceptions[Colonna],2,PersonalExceptions[Dal],"&lt;="&amp;INT(C67),PersonalExceptions[Al],"&gt;="&amp;INT(C67),PersonalExceptions[Active 0/1],1,PersonalExceptions[Effetto],"Rest")</f>
        <v>0</v>
      </c>
      <c r="AQ67">
        <f>COUNTIFS(PersonalExceptions[Colonna],3,PersonalExceptions[Dal],"&lt;="&amp;INT(D67),PersonalExceptions[Al],"&gt;="&amp;INT(D67),PersonalExceptions[Active 0/1],1,PersonalExceptions[Effetto],"Rest")</f>
        <v>0</v>
      </c>
      <c r="AR67">
        <f>COUNTIFS(PersonalExceptions[Colonna],4,PersonalExceptions[Dal],"&lt;="&amp;INT(E67),PersonalExceptions[Al],"&gt;="&amp;INT(E67),PersonalExceptions[Active 0/1],1,PersonalExceptions[Effetto],"Rest")</f>
        <v>0</v>
      </c>
      <c r="AS67">
        <f>COUNTIFS(PersonalExceptions[Colonna],5,PersonalExceptions[Dal],"&lt;="&amp;INT(F67),PersonalExceptions[Al],"&gt;="&amp;INT(F67),PersonalExceptions[Active 0/1],1,PersonalExceptions[Effetto],"Rest")</f>
        <v>0</v>
      </c>
      <c r="AT67">
        <f>COUNTIFS(PersonalExceptions[Colonna],6,PersonalExceptions[Dal],"&lt;="&amp;INT(G67),PersonalExceptions[Al],"&gt;="&amp;INT(G67),PersonalExceptions[Active 0/1],1,PersonalExceptions[Effetto],"Rest")</f>
        <v>0</v>
      </c>
      <c r="AU67">
        <f>COUNTIFS(PersonalExceptions[Colonna],7,PersonalExceptions[Dal],"&lt;="&amp;INT(H67),PersonalExceptions[Al],"&gt;="&amp;INT(H67),PersonalExceptions[Active 0/1],1,PersonalExceptions[Effetto],"Rest")</f>
        <v>0</v>
      </c>
      <c r="AW67">
        <f>COUNTIFS(PersonalExceptions[Colonna],1,PersonalExceptions[Dal],"&lt;="&amp;INT(B67),PersonalExceptions[Al],"&gt;="&amp;INT(B67),PersonalExceptions[Active 0/1],1,PersonalExceptions[Effetto],"Activity")</f>
        <v>0</v>
      </c>
      <c r="AX67">
        <f>COUNTIFS(PersonalExceptions[Colonna],2,PersonalExceptions[Dal],"&lt;="&amp;INT(C67),PersonalExceptions[Al],"&gt;="&amp;INT(C67),PersonalExceptions[Active 0/1],1,PersonalExceptions[Effetto],"Activity")</f>
        <v>0</v>
      </c>
      <c r="AY67">
        <f>COUNTIFS(PersonalExceptions[Colonna],3,PersonalExceptions[Dal],"&lt;="&amp;INT(D67),PersonalExceptions[Al],"&gt;="&amp;INT(D67),PersonalExceptions[Active 0/1],1,PersonalExceptions[Effetto],"Activity")</f>
        <v>0</v>
      </c>
      <c r="AZ67">
        <f>COUNTIFS(PersonalExceptions[Colonna],4,PersonalExceptions[Dal],"&lt;="&amp;INT(E67),PersonalExceptions[Al],"&gt;="&amp;INT(E67),PersonalExceptions[Active 0/1],1,PersonalExceptions[Effetto],"Activity")</f>
        <v>0</v>
      </c>
      <c r="BA67">
        <f>COUNTIFS(PersonalExceptions[Colonna],5,PersonalExceptions[Dal],"&lt;="&amp;INT(F67),PersonalExceptions[Al],"&gt;="&amp;INT(F67),PersonalExceptions[Active 0/1],1,PersonalExceptions[Effetto],"Activity")</f>
        <v>0</v>
      </c>
      <c r="BB67">
        <f>COUNTIFS(PersonalExceptions[Colonna],6,PersonalExceptions[Dal],"&lt;="&amp;INT(G67),PersonalExceptions[Al],"&gt;="&amp;INT(G67),PersonalExceptions[Active 0/1],1,PersonalExceptions[Effetto],"Activity")</f>
        <v>0</v>
      </c>
      <c r="BC67">
        <f>COUNTIFS(PersonalExceptions[Colonna],7,PersonalExceptions[Dal],"&lt;="&amp;INT(H67),PersonalExceptions[Al],"&gt;="&amp;INT(H67),PersonalExceptions[Active 0/1],1,PersonalExceptions[Effetto],"Activity")</f>
        <v>0</v>
      </c>
      <c r="BE67">
        <f>IF(Planner!B$10="Nessuno",0,COUNTIFS(ImportedHolidays[Calendar],Planner!B$10,ImportedHolidays[Date],INT(B67),ImportedHolidays[Active],1,ImportedHolidays[Kind],"WORKDAY"))</f>
        <v>0</v>
      </c>
      <c r="BF67">
        <f>IF(Planner!C$10="Nessuno",0,COUNTIFS(ImportedHolidays[Calendar],Planner!C$10,ImportedHolidays[Date],INT(C67),ImportedHolidays[Active],1,ImportedHolidays[Kind],"WORKDAY"))</f>
        <v>0</v>
      </c>
      <c r="BG67">
        <f>IF(Planner!D$10="Nessuno",0,COUNTIFS(ImportedHolidays[Calendar],Planner!D$10,ImportedHolidays[Date],INT(D67),ImportedHolidays[Active],1,ImportedHolidays[Kind],"WORKDAY"))</f>
        <v>0</v>
      </c>
      <c r="BH67">
        <f>IF(Planner!E$10="Nessuno",0,COUNTIFS(ImportedHolidays[Calendar],Planner!E$10,ImportedHolidays[Date],INT(E67),ImportedHolidays[Active],1,ImportedHolidays[Kind],"WORKDAY"))</f>
        <v>0</v>
      </c>
      <c r="BI67">
        <f>IF(Planner!F$10="Nessuno",0,COUNTIFS(ImportedHolidays[Calendar],Planner!F$10,ImportedHolidays[Date],INT(F67),ImportedHolidays[Active],1,ImportedHolidays[Kind],"WORKDAY"))</f>
        <v>0</v>
      </c>
      <c r="BJ67">
        <f>IF(Planner!G$10="Nessuno",0,COUNTIFS(ImportedHolidays[Calendar],Planner!G$10,ImportedHolidays[Date],INT(G67),ImportedHolidays[Active],1,ImportedHolidays[Kind],"WORKDAY"))</f>
        <v>0</v>
      </c>
      <c r="BK67">
        <f>IF(Planner!H$10="Nessuno",0,COUNTIFS(ImportedHolidays[Calendar],Planner!H$10,ImportedHolidays[Date],INT(H67),ImportedHolidays[Active],1,ImportedHolidays[Kind],"WORKDAY"))</f>
        <v>0</v>
      </c>
      <c r="BM67">
        <f>IF(MOD(J67-B$11,1440)&lt;B$12,2,IF(OR(MOD(J67-B$11,1440)&lt;B$12+ROUND(Planner!$D$5*60,0),MOD(J67-B$11,1440)&gt;=1440-ROUND(Planner!$B$5*60,0)),1,0))</f>
        <v>2</v>
      </c>
      <c r="BN67">
        <f>IF(MOD(K67-C$11,1440)&lt;C$12,2,IF(OR(MOD(K67-C$11,1440)&lt;C$12+ROUND(Planner!$D$5*60,0),MOD(K67-C$11,1440)&gt;=1440-ROUND(Planner!$B$5*60,0)),1,0))</f>
        <v>2</v>
      </c>
      <c r="BO67">
        <f>IF(MOD(L67-D$11,1440)&lt;D$12,2,IF(OR(MOD(L67-D$11,1440)&lt;D$12+ROUND(Planner!$D$5*60,0),MOD(L67-D$11,1440)&gt;=1440-ROUND(Planner!$B$5*60,0)),1,0))</f>
        <v>2</v>
      </c>
      <c r="BP67">
        <f>IF(MOD(M67-E$11,1440)&lt;E$12,2,IF(OR(MOD(M67-E$11,1440)&lt;E$12+ROUND(Planner!$D$5*60,0),MOD(M67-E$11,1440)&gt;=1440-ROUND(Planner!$B$5*60,0)),1,0))</f>
        <v>1</v>
      </c>
      <c r="BQ67">
        <f>IF(MOD(N67-F$11,1440)&lt;F$12,2,IF(OR(MOD(N67-F$11,1440)&lt;F$12+ROUND(Planner!$D$5*60,0),MOD(N67-F$11,1440)&gt;=1440-ROUND(Planner!$B$5*60,0)),1,0))</f>
        <v>1</v>
      </c>
      <c r="BR67">
        <f>IF(MOD(O67-G$11,1440)&lt;G$12,2,IF(OR(MOD(O67-G$11,1440)&lt;G$12+ROUND(Planner!$D$5*60,0),MOD(O67-G$11,1440)&gt;=1440-ROUND(Planner!$B$5*60,0)),1,0))</f>
        <v>0</v>
      </c>
      <c r="BS67">
        <f>IF(MOD(P67-H$11,1440)&lt;H$12,2,IF(OR(MOD(P67-H$11,1440)&lt;H$12+ROUND(Planner!$D$5*60,0),MOD(P67-H$11,1440)&gt;=1440-ROUND(Planner!$B$5*60,0)),1,0))</f>
        <v>0</v>
      </c>
    </row>
    <row r="68" spans="1:71">
      <c r="A68" s="22">
        <f>ROUND(($B$6+27*Planner!$F$4/1440)*1440,0)/1440</f>
        <v>46289.270833333336</v>
      </c>
      <c r="B68" s="22">
        <f>IF(COUNTIFS(ZonePeriods[Code],Planner!B$9,ZonePeriods[FromUtc],"&lt;="&amp;$A68,ZonePeriods[UntilUtc],"&gt;"&amp;$A68)=1,ROUND(($A68+SUMIFS(ZonePeriods[OffsetHours],ZonePeriods[Code],Planner!B$9,ZonePeriods[FromUtc],"&lt;="&amp;$A68,ZonePeriods[UntilUtc],"&gt;"&amp;$A68)/24)*1440,0)/1440,NA())</f>
        <v>46289.5625</v>
      </c>
      <c r="C68" s="22">
        <f>IF(COUNTIFS(ZonePeriods[Code],Planner!C$9,ZonePeriods[FromUtc],"&lt;="&amp;$A68,ZonePeriods[UntilUtc],"&gt;"&amp;$A68)=1,ROUND(($A68+SUMIFS(ZonePeriods[OffsetHours],ZonePeriods[Code],Planner!C$9,ZonePeriods[FromUtc],"&lt;="&amp;$A68,ZonePeriods[UntilUtc],"&gt;"&amp;$A68)/24)*1440,0)/1440,NA())</f>
        <v>46289.5</v>
      </c>
      <c r="D68" s="22">
        <f>IF(COUNTIFS(ZonePeriods[Code],Planner!D$9,ZonePeriods[FromUtc],"&lt;="&amp;$A68,ZonePeriods[UntilUtc],"&gt;"&amp;$A68)=1,ROUND(($A68+SUMIFS(ZonePeriods[OffsetHours],ZonePeriods[Code],Planner!D$9,ZonePeriods[FromUtc],"&lt;="&amp;$A68,ZonePeriods[UntilUtc],"&gt;"&amp;$A68)/24)*1440,0)/1440,NA())</f>
        <v>46289.395833333336</v>
      </c>
      <c r="E68" s="22">
        <f>IF(COUNTIFS(ZonePeriods[Code],Planner!E$9,ZonePeriods[FromUtc],"&lt;="&amp;$A68,ZonePeriods[UntilUtc],"&gt;"&amp;$A68)=1,ROUND(($A68+SUMIFS(ZonePeriods[OffsetHours],ZonePeriods[Code],Planner!E$9,ZonePeriods[FromUtc],"&lt;="&amp;$A68,ZonePeriods[UntilUtc],"&gt;"&amp;$A68)/24)*1440,0)/1440,NA())</f>
        <v>46289.354166666664</v>
      </c>
      <c r="F68" s="22">
        <f>IF(COUNTIFS(ZonePeriods[Code],Planner!F$9,ZonePeriods[FromUtc],"&lt;="&amp;$A68,ZonePeriods[UntilUtc],"&gt;"&amp;$A68)=1,ROUND(($A68+SUMIFS(ZonePeriods[OffsetHours],ZonePeriods[Code],Planner!F$9,ZonePeriods[FromUtc],"&lt;="&amp;$A68,ZonePeriods[UntilUtc],"&gt;"&amp;$A68)/24)*1440,0)/1440,NA())</f>
        <v>46289.3125</v>
      </c>
      <c r="G68" s="22">
        <f>IF(COUNTIFS(ZonePeriods[Code],Planner!G$9,ZonePeriods[FromUtc],"&lt;="&amp;$A68,ZonePeriods[UntilUtc],"&gt;"&amp;$A68)=1,ROUND(($A68+SUMIFS(ZonePeriods[OffsetHours],ZonePeriods[Code],Planner!G$9,ZonePeriods[FromUtc],"&lt;="&amp;$A68,ZonePeriods[UntilUtc],"&gt;"&amp;$A68)/24)*1440,0)/1440,NA())</f>
        <v>46289.104166666664</v>
      </c>
      <c r="H68" s="22">
        <f>IF(COUNTIFS(ZonePeriods[Code],Planner!H$9,ZonePeriods[FromUtc],"&lt;="&amp;$A68,ZonePeriods[UntilUtc],"&gt;"&amp;$A68)=1,ROUND(($A68+SUMIFS(ZonePeriods[OffsetHours],ZonePeriods[Code],Planner!H$9,ZonePeriods[FromUtc],"&lt;="&amp;$A68,ZonePeriods[UntilUtc],"&gt;"&amp;$A68)/24)*1440,0)/1440,NA())</f>
        <v>46288.979166666664</v>
      </c>
      <c r="I68" s="1"/>
      <c r="J68" s="1">
        <f t="shared" si="14"/>
        <v>810</v>
      </c>
      <c r="K68" s="1">
        <f t="shared" si="15"/>
        <v>720</v>
      </c>
      <c r="L68" s="1">
        <f t="shared" si="16"/>
        <v>570</v>
      </c>
      <c r="M68" s="1">
        <f t="shared" si="17"/>
        <v>510</v>
      </c>
      <c r="N68" s="1">
        <f t="shared" si="18"/>
        <v>450</v>
      </c>
      <c r="O68" s="1">
        <f t="shared" si="19"/>
        <v>150</v>
      </c>
      <c r="P68" s="1">
        <f t="shared" si="20"/>
        <v>1410</v>
      </c>
      <c r="Q68" s="1"/>
      <c r="R68" s="1">
        <f t="shared" si="21"/>
        <v>2</v>
      </c>
      <c r="S68" s="1">
        <f t="shared" si="22"/>
        <v>2</v>
      </c>
      <c r="T68" s="1">
        <f t="shared" si="23"/>
        <v>2</v>
      </c>
      <c r="U68" s="1">
        <f t="shared" si="24"/>
        <v>1</v>
      </c>
      <c r="V68" s="1">
        <f t="shared" si="25"/>
        <v>1</v>
      </c>
      <c r="W68" s="1">
        <f t="shared" si="26"/>
        <v>0</v>
      </c>
      <c r="X68" s="1">
        <f t="shared" si="27"/>
        <v>0</v>
      </c>
      <c r="Y68" s="1"/>
      <c r="Z68" s="1">
        <f>IF(Planner!B$10="Nessuno",0,COUNTIFS(HolidayDates[Calendar],Planner!B$10,HolidayDates[Local date],INT(B68),HolidayDates[Active 0/1],1)+COUNTIFS(ImportedHolidays[Calendar],Planner!B$10,ImportedHolidays[Date],INT(B68),ImportedHolidays[Active],1,ImportedHolidays[Kind],"HOLIDAY"))</f>
        <v>0</v>
      </c>
      <c r="AA68" s="1">
        <f>IF(Planner!C$10="Nessuno",0,COUNTIFS(HolidayDates[Calendar],Planner!C$10,HolidayDates[Local date],INT(C68),HolidayDates[Active 0/1],1)+COUNTIFS(ImportedHolidays[Calendar],Planner!C$10,ImportedHolidays[Date],INT(C68),ImportedHolidays[Active],1,ImportedHolidays[Kind],"HOLIDAY"))</f>
        <v>0</v>
      </c>
      <c r="AB68" s="1">
        <f>IF(Planner!D$10="Nessuno",0,COUNTIFS(HolidayDates[Calendar],Planner!D$10,HolidayDates[Local date],INT(D68),HolidayDates[Active 0/1],1)+COUNTIFS(ImportedHolidays[Calendar],Planner!D$10,ImportedHolidays[Date],INT(D68),ImportedHolidays[Active],1,ImportedHolidays[Kind],"HOLIDAY"))</f>
        <v>0</v>
      </c>
      <c r="AC68" s="1">
        <f>IF(Planner!E$10="Nessuno",0,COUNTIFS(HolidayDates[Calendar],Planner!E$10,HolidayDates[Local date],INT(E68),HolidayDates[Active 0/1],1)+COUNTIFS(ImportedHolidays[Calendar],Planner!E$10,ImportedHolidays[Date],INT(E68),ImportedHolidays[Active],1,ImportedHolidays[Kind],"HOLIDAY"))</f>
        <v>0</v>
      </c>
      <c r="AD68" s="1">
        <f>IF(Planner!F$10="Nessuno",0,COUNTIFS(HolidayDates[Calendar],Planner!F$10,HolidayDates[Local date],INT(F68),HolidayDates[Active 0/1],1)+COUNTIFS(ImportedHolidays[Calendar],Planner!F$10,ImportedHolidays[Date],INT(F68),ImportedHolidays[Active],1,ImportedHolidays[Kind],"HOLIDAY"))</f>
        <v>0</v>
      </c>
      <c r="AE68" s="1">
        <f>IF(Planner!G$10="Nessuno",0,COUNTIFS(HolidayDates[Calendar],Planner!G$10,HolidayDates[Local date],INT(G68),HolidayDates[Active 0/1],1)+COUNTIFS(ImportedHolidays[Calendar],Planner!G$10,ImportedHolidays[Date],INT(G68),ImportedHolidays[Active],1,ImportedHolidays[Kind],"HOLIDAY"))</f>
        <v>0</v>
      </c>
      <c r="AF68" s="1">
        <f>IF(Planner!H$10="Nessuno",0,COUNTIFS(HolidayDates[Calendar],Planner!H$10,HolidayDates[Local date],INT(H68),HolidayDates[Active 0/1],1)+COUNTIFS(ImportedHolidays[Calendar],Planner!H$10,ImportedHolidays[Date],INT(H68),ImportedHolidays[Active],1,ImportedHolidays[Kind],"HOLIDAY"))</f>
        <v>0</v>
      </c>
      <c r="AG68" s="1"/>
      <c r="AH68" s="1" t="b">
        <f>INDEX(Parametri!$G12:$M12,1,WEEKDAY(INT(B68),2))=1</f>
        <v>0</v>
      </c>
      <c r="AI68" s="1" t="b">
        <f>INDEX(Parametri!$G13:$M13,1,WEEKDAY(INT(C68),2))=1</f>
        <v>0</v>
      </c>
      <c r="AJ68" s="1" t="b">
        <f>INDEX(Parametri!$G14:$M14,1,WEEKDAY(INT(D68),2))=1</f>
        <v>0</v>
      </c>
      <c r="AK68" s="1" t="b">
        <f>INDEX(Parametri!$G15:$M15,1,WEEKDAY(INT(E68),2))=1</f>
        <v>0</v>
      </c>
      <c r="AL68" s="1" t="b">
        <f>INDEX(Parametri!$G16:$M16,1,WEEKDAY(INT(F68),2))=1</f>
        <v>0</v>
      </c>
      <c r="AM68" s="1" t="b">
        <f>INDEX(Parametri!$G17:$M17,1,WEEKDAY(INT(G68),2))=1</f>
        <v>0</v>
      </c>
      <c r="AN68" s="1" t="b">
        <f>INDEX(Parametri!$G18:$M18,1,WEEKDAY(INT(H68),2))=1</f>
        <v>0</v>
      </c>
      <c r="AO68">
        <f>COUNTIFS(PersonalExceptions[Colonna],1,PersonalExceptions[Dal],"&lt;="&amp;INT(B68),PersonalExceptions[Al],"&gt;="&amp;INT(B68),PersonalExceptions[Active 0/1],1,PersonalExceptions[Effetto],"Rest")</f>
        <v>0</v>
      </c>
      <c r="AP68">
        <f>COUNTIFS(PersonalExceptions[Colonna],2,PersonalExceptions[Dal],"&lt;="&amp;INT(C68),PersonalExceptions[Al],"&gt;="&amp;INT(C68),PersonalExceptions[Active 0/1],1,PersonalExceptions[Effetto],"Rest")</f>
        <v>0</v>
      </c>
      <c r="AQ68">
        <f>COUNTIFS(PersonalExceptions[Colonna],3,PersonalExceptions[Dal],"&lt;="&amp;INT(D68),PersonalExceptions[Al],"&gt;="&amp;INT(D68),PersonalExceptions[Active 0/1],1,PersonalExceptions[Effetto],"Rest")</f>
        <v>0</v>
      </c>
      <c r="AR68">
        <f>COUNTIFS(PersonalExceptions[Colonna],4,PersonalExceptions[Dal],"&lt;="&amp;INT(E68),PersonalExceptions[Al],"&gt;="&amp;INT(E68),PersonalExceptions[Active 0/1],1,PersonalExceptions[Effetto],"Rest")</f>
        <v>0</v>
      </c>
      <c r="AS68">
        <f>COUNTIFS(PersonalExceptions[Colonna],5,PersonalExceptions[Dal],"&lt;="&amp;INT(F68),PersonalExceptions[Al],"&gt;="&amp;INT(F68),PersonalExceptions[Active 0/1],1,PersonalExceptions[Effetto],"Rest")</f>
        <v>0</v>
      </c>
      <c r="AT68">
        <f>COUNTIFS(PersonalExceptions[Colonna],6,PersonalExceptions[Dal],"&lt;="&amp;INT(G68),PersonalExceptions[Al],"&gt;="&amp;INT(G68),PersonalExceptions[Active 0/1],1,PersonalExceptions[Effetto],"Rest")</f>
        <v>0</v>
      </c>
      <c r="AU68">
        <f>COUNTIFS(PersonalExceptions[Colonna],7,PersonalExceptions[Dal],"&lt;="&amp;INT(H68),PersonalExceptions[Al],"&gt;="&amp;INT(H68),PersonalExceptions[Active 0/1],1,PersonalExceptions[Effetto],"Rest")</f>
        <v>0</v>
      </c>
      <c r="AW68">
        <f>COUNTIFS(PersonalExceptions[Colonna],1,PersonalExceptions[Dal],"&lt;="&amp;INT(B68),PersonalExceptions[Al],"&gt;="&amp;INT(B68),PersonalExceptions[Active 0/1],1,PersonalExceptions[Effetto],"Activity")</f>
        <v>0</v>
      </c>
      <c r="AX68">
        <f>COUNTIFS(PersonalExceptions[Colonna],2,PersonalExceptions[Dal],"&lt;="&amp;INT(C68),PersonalExceptions[Al],"&gt;="&amp;INT(C68),PersonalExceptions[Active 0/1],1,PersonalExceptions[Effetto],"Activity")</f>
        <v>0</v>
      </c>
      <c r="AY68">
        <f>COUNTIFS(PersonalExceptions[Colonna],3,PersonalExceptions[Dal],"&lt;="&amp;INT(D68),PersonalExceptions[Al],"&gt;="&amp;INT(D68),PersonalExceptions[Active 0/1],1,PersonalExceptions[Effetto],"Activity")</f>
        <v>0</v>
      </c>
      <c r="AZ68">
        <f>COUNTIFS(PersonalExceptions[Colonna],4,PersonalExceptions[Dal],"&lt;="&amp;INT(E68),PersonalExceptions[Al],"&gt;="&amp;INT(E68),PersonalExceptions[Active 0/1],1,PersonalExceptions[Effetto],"Activity")</f>
        <v>0</v>
      </c>
      <c r="BA68">
        <f>COUNTIFS(PersonalExceptions[Colonna],5,PersonalExceptions[Dal],"&lt;="&amp;INT(F68),PersonalExceptions[Al],"&gt;="&amp;INT(F68),PersonalExceptions[Active 0/1],1,PersonalExceptions[Effetto],"Activity")</f>
        <v>0</v>
      </c>
      <c r="BB68">
        <f>COUNTIFS(PersonalExceptions[Colonna],6,PersonalExceptions[Dal],"&lt;="&amp;INT(G68),PersonalExceptions[Al],"&gt;="&amp;INT(G68),PersonalExceptions[Active 0/1],1,PersonalExceptions[Effetto],"Activity")</f>
        <v>0</v>
      </c>
      <c r="BC68">
        <f>COUNTIFS(PersonalExceptions[Colonna],7,PersonalExceptions[Dal],"&lt;="&amp;INT(H68),PersonalExceptions[Al],"&gt;="&amp;INT(H68),PersonalExceptions[Active 0/1],1,PersonalExceptions[Effetto],"Activity")</f>
        <v>0</v>
      </c>
      <c r="BE68">
        <f>IF(Planner!B$10="Nessuno",0,COUNTIFS(ImportedHolidays[Calendar],Planner!B$10,ImportedHolidays[Date],INT(B68),ImportedHolidays[Active],1,ImportedHolidays[Kind],"WORKDAY"))</f>
        <v>0</v>
      </c>
      <c r="BF68">
        <f>IF(Planner!C$10="Nessuno",0,COUNTIFS(ImportedHolidays[Calendar],Planner!C$10,ImportedHolidays[Date],INT(C68),ImportedHolidays[Active],1,ImportedHolidays[Kind],"WORKDAY"))</f>
        <v>0</v>
      </c>
      <c r="BG68">
        <f>IF(Planner!D$10="Nessuno",0,COUNTIFS(ImportedHolidays[Calendar],Planner!D$10,ImportedHolidays[Date],INT(D68),ImportedHolidays[Active],1,ImportedHolidays[Kind],"WORKDAY"))</f>
        <v>0</v>
      </c>
      <c r="BH68">
        <f>IF(Planner!E$10="Nessuno",0,COUNTIFS(ImportedHolidays[Calendar],Planner!E$10,ImportedHolidays[Date],INT(E68),ImportedHolidays[Active],1,ImportedHolidays[Kind],"WORKDAY"))</f>
        <v>0</v>
      </c>
      <c r="BI68">
        <f>IF(Planner!F$10="Nessuno",0,COUNTIFS(ImportedHolidays[Calendar],Planner!F$10,ImportedHolidays[Date],INT(F68),ImportedHolidays[Active],1,ImportedHolidays[Kind],"WORKDAY"))</f>
        <v>0</v>
      </c>
      <c r="BJ68">
        <f>IF(Planner!G$10="Nessuno",0,COUNTIFS(ImportedHolidays[Calendar],Planner!G$10,ImportedHolidays[Date],INT(G68),ImportedHolidays[Active],1,ImportedHolidays[Kind],"WORKDAY"))</f>
        <v>0</v>
      </c>
      <c r="BK68">
        <f>IF(Planner!H$10="Nessuno",0,COUNTIFS(ImportedHolidays[Calendar],Planner!H$10,ImportedHolidays[Date],INT(H68),ImportedHolidays[Active],1,ImportedHolidays[Kind],"WORKDAY"))</f>
        <v>0</v>
      </c>
      <c r="BM68">
        <f>IF(MOD(J68-B$11,1440)&lt;B$12,2,IF(OR(MOD(J68-B$11,1440)&lt;B$12+ROUND(Planner!$D$5*60,0),MOD(J68-B$11,1440)&gt;=1440-ROUND(Planner!$B$5*60,0)),1,0))</f>
        <v>2</v>
      </c>
      <c r="BN68">
        <f>IF(MOD(K68-C$11,1440)&lt;C$12,2,IF(OR(MOD(K68-C$11,1440)&lt;C$12+ROUND(Planner!$D$5*60,0),MOD(K68-C$11,1440)&gt;=1440-ROUND(Planner!$B$5*60,0)),1,0))</f>
        <v>2</v>
      </c>
      <c r="BO68">
        <f>IF(MOD(L68-D$11,1440)&lt;D$12,2,IF(OR(MOD(L68-D$11,1440)&lt;D$12+ROUND(Planner!$D$5*60,0),MOD(L68-D$11,1440)&gt;=1440-ROUND(Planner!$B$5*60,0)),1,0))</f>
        <v>2</v>
      </c>
      <c r="BP68">
        <f>IF(MOD(M68-E$11,1440)&lt;E$12,2,IF(OR(MOD(M68-E$11,1440)&lt;E$12+ROUND(Planner!$D$5*60,0),MOD(M68-E$11,1440)&gt;=1440-ROUND(Planner!$B$5*60,0)),1,0))</f>
        <v>1</v>
      </c>
      <c r="BQ68">
        <f>IF(MOD(N68-F$11,1440)&lt;F$12,2,IF(OR(MOD(N68-F$11,1440)&lt;F$12+ROUND(Planner!$D$5*60,0),MOD(N68-F$11,1440)&gt;=1440-ROUND(Planner!$B$5*60,0)),1,0))</f>
        <v>1</v>
      </c>
      <c r="BR68">
        <f>IF(MOD(O68-G$11,1440)&lt;G$12,2,IF(OR(MOD(O68-G$11,1440)&lt;G$12+ROUND(Planner!$D$5*60,0),MOD(O68-G$11,1440)&gt;=1440-ROUND(Planner!$B$5*60,0)),1,0))</f>
        <v>0</v>
      </c>
      <c r="BS68">
        <f>IF(MOD(P68-H$11,1440)&lt;H$12,2,IF(OR(MOD(P68-H$11,1440)&lt;H$12+ROUND(Planner!$D$5*60,0),MOD(P68-H$11,1440)&gt;=1440-ROUND(Planner!$B$5*60,0)),1,0))</f>
        <v>0</v>
      </c>
    </row>
    <row r="69" spans="1:71">
      <c r="A69" s="22">
        <f>ROUND(($B$6+28*Planner!$F$4/1440)*1440,0)/1440</f>
        <v>46289.291666666664</v>
      </c>
      <c r="B69" s="22">
        <f>IF(COUNTIFS(ZonePeriods[Code],Planner!B$9,ZonePeriods[FromUtc],"&lt;="&amp;$A69,ZonePeriods[UntilUtc],"&gt;"&amp;$A69)=1,ROUND(($A69+SUMIFS(ZonePeriods[OffsetHours],ZonePeriods[Code],Planner!B$9,ZonePeriods[FromUtc],"&lt;="&amp;$A69,ZonePeriods[UntilUtc],"&gt;"&amp;$A69)/24)*1440,0)/1440,NA())</f>
        <v>46289.583333333336</v>
      </c>
      <c r="C69" s="22">
        <f>IF(COUNTIFS(ZonePeriods[Code],Planner!C$9,ZonePeriods[FromUtc],"&lt;="&amp;$A69,ZonePeriods[UntilUtc],"&gt;"&amp;$A69)=1,ROUND(($A69+SUMIFS(ZonePeriods[OffsetHours],ZonePeriods[Code],Planner!C$9,ZonePeriods[FromUtc],"&lt;="&amp;$A69,ZonePeriods[UntilUtc],"&gt;"&amp;$A69)/24)*1440,0)/1440,NA())</f>
        <v>46289.520833333336</v>
      </c>
      <c r="D69" s="22">
        <f>IF(COUNTIFS(ZonePeriods[Code],Planner!D$9,ZonePeriods[FromUtc],"&lt;="&amp;$A69,ZonePeriods[UntilUtc],"&gt;"&amp;$A69)=1,ROUND(($A69+SUMIFS(ZonePeriods[OffsetHours],ZonePeriods[Code],Planner!D$9,ZonePeriods[FromUtc],"&lt;="&amp;$A69,ZonePeriods[UntilUtc],"&gt;"&amp;$A69)/24)*1440,0)/1440,NA())</f>
        <v>46289.416666666664</v>
      </c>
      <c r="E69" s="22">
        <f>IF(COUNTIFS(ZonePeriods[Code],Planner!E$9,ZonePeriods[FromUtc],"&lt;="&amp;$A69,ZonePeriods[UntilUtc],"&gt;"&amp;$A69)=1,ROUND(($A69+SUMIFS(ZonePeriods[OffsetHours],ZonePeriods[Code],Planner!E$9,ZonePeriods[FromUtc],"&lt;="&amp;$A69,ZonePeriods[UntilUtc],"&gt;"&amp;$A69)/24)*1440,0)/1440,NA())</f>
        <v>46289.375</v>
      </c>
      <c r="F69" s="22">
        <f>IF(COUNTIFS(ZonePeriods[Code],Planner!F$9,ZonePeriods[FromUtc],"&lt;="&amp;$A69,ZonePeriods[UntilUtc],"&gt;"&amp;$A69)=1,ROUND(($A69+SUMIFS(ZonePeriods[OffsetHours],ZonePeriods[Code],Planner!F$9,ZonePeriods[FromUtc],"&lt;="&amp;$A69,ZonePeriods[UntilUtc],"&gt;"&amp;$A69)/24)*1440,0)/1440,NA())</f>
        <v>46289.333333333336</v>
      </c>
      <c r="G69" s="22">
        <f>IF(COUNTIFS(ZonePeriods[Code],Planner!G$9,ZonePeriods[FromUtc],"&lt;="&amp;$A69,ZonePeriods[UntilUtc],"&gt;"&amp;$A69)=1,ROUND(($A69+SUMIFS(ZonePeriods[OffsetHours],ZonePeriods[Code],Planner!G$9,ZonePeriods[FromUtc],"&lt;="&amp;$A69,ZonePeriods[UntilUtc],"&gt;"&amp;$A69)/24)*1440,0)/1440,NA())</f>
        <v>46289.125</v>
      </c>
      <c r="H69" s="22">
        <f>IF(COUNTIFS(ZonePeriods[Code],Planner!H$9,ZonePeriods[FromUtc],"&lt;="&amp;$A69,ZonePeriods[UntilUtc],"&gt;"&amp;$A69)=1,ROUND(($A69+SUMIFS(ZonePeriods[OffsetHours],ZonePeriods[Code],Planner!H$9,ZonePeriods[FromUtc],"&lt;="&amp;$A69,ZonePeriods[UntilUtc],"&gt;"&amp;$A69)/24)*1440,0)/1440,NA())</f>
        <v>46289</v>
      </c>
      <c r="I69" s="1"/>
      <c r="J69" s="1">
        <f t="shared" si="14"/>
        <v>840</v>
      </c>
      <c r="K69" s="1">
        <f t="shared" si="15"/>
        <v>750</v>
      </c>
      <c r="L69" s="1">
        <f t="shared" si="16"/>
        <v>600</v>
      </c>
      <c r="M69" s="1">
        <f t="shared" si="17"/>
        <v>540</v>
      </c>
      <c r="N69" s="1">
        <f t="shared" si="18"/>
        <v>480</v>
      </c>
      <c r="O69" s="1">
        <f t="shared" si="19"/>
        <v>180</v>
      </c>
      <c r="P69" s="1">
        <f t="shared" si="20"/>
        <v>0</v>
      </c>
      <c r="Q69" s="1"/>
      <c r="R69" s="1">
        <f t="shared" si="21"/>
        <v>2</v>
      </c>
      <c r="S69" s="1">
        <f t="shared" si="22"/>
        <v>2</v>
      </c>
      <c r="T69" s="1">
        <f t="shared" si="23"/>
        <v>2</v>
      </c>
      <c r="U69" s="1">
        <f t="shared" si="24"/>
        <v>2</v>
      </c>
      <c r="V69" s="1">
        <f t="shared" si="25"/>
        <v>1</v>
      </c>
      <c r="W69" s="1">
        <f t="shared" si="26"/>
        <v>0</v>
      </c>
      <c r="X69" s="1">
        <f t="shared" si="27"/>
        <v>0</v>
      </c>
      <c r="Y69" s="1"/>
      <c r="Z69" s="1">
        <f>IF(Planner!B$10="Nessuno",0,COUNTIFS(HolidayDates[Calendar],Planner!B$10,HolidayDates[Local date],INT(B69),HolidayDates[Active 0/1],1)+COUNTIFS(ImportedHolidays[Calendar],Planner!B$10,ImportedHolidays[Date],INT(B69),ImportedHolidays[Active],1,ImportedHolidays[Kind],"HOLIDAY"))</f>
        <v>0</v>
      </c>
      <c r="AA69" s="1">
        <f>IF(Planner!C$10="Nessuno",0,COUNTIFS(HolidayDates[Calendar],Planner!C$10,HolidayDates[Local date],INT(C69),HolidayDates[Active 0/1],1)+COUNTIFS(ImportedHolidays[Calendar],Planner!C$10,ImportedHolidays[Date],INT(C69),ImportedHolidays[Active],1,ImportedHolidays[Kind],"HOLIDAY"))</f>
        <v>0</v>
      </c>
      <c r="AB69" s="1">
        <f>IF(Planner!D$10="Nessuno",0,COUNTIFS(HolidayDates[Calendar],Planner!D$10,HolidayDates[Local date],INT(D69),HolidayDates[Active 0/1],1)+COUNTIFS(ImportedHolidays[Calendar],Planner!D$10,ImportedHolidays[Date],INT(D69),ImportedHolidays[Active],1,ImportedHolidays[Kind],"HOLIDAY"))</f>
        <v>0</v>
      </c>
      <c r="AC69" s="1">
        <f>IF(Planner!E$10="Nessuno",0,COUNTIFS(HolidayDates[Calendar],Planner!E$10,HolidayDates[Local date],INT(E69),HolidayDates[Active 0/1],1)+COUNTIFS(ImportedHolidays[Calendar],Planner!E$10,ImportedHolidays[Date],INT(E69),ImportedHolidays[Active],1,ImportedHolidays[Kind],"HOLIDAY"))</f>
        <v>0</v>
      </c>
      <c r="AD69" s="1">
        <f>IF(Planner!F$10="Nessuno",0,COUNTIFS(HolidayDates[Calendar],Planner!F$10,HolidayDates[Local date],INT(F69),HolidayDates[Active 0/1],1)+COUNTIFS(ImportedHolidays[Calendar],Planner!F$10,ImportedHolidays[Date],INT(F69),ImportedHolidays[Active],1,ImportedHolidays[Kind],"HOLIDAY"))</f>
        <v>0</v>
      </c>
      <c r="AE69" s="1">
        <f>IF(Planner!G$10="Nessuno",0,COUNTIFS(HolidayDates[Calendar],Planner!G$10,HolidayDates[Local date],INT(G69),HolidayDates[Active 0/1],1)+COUNTIFS(ImportedHolidays[Calendar],Planner!G$10,ImportedHolidays[Date],INT(G69),ImportedHolidays[Active],1,ImportedHolidays[Kind],"HOLIDAY"))</f>
        <v>0</v>
      </c>
      <c r="AF69" s="1">
        <f>IF(Planner!H$10="Nessuno",0,COUNTIFS(HolidayDates[Calendar],Planner!H$10,HolidayDates[Local date],INT(H69),HolidayDates[Active 0/1],1)+COUNTIFS(ImportedHolidays[Calendar],Planner!H$10,ImportedHolidays[Date],INT(H69),ImportedHolidays[Active],1,ImportedHolidays[Kind],"HOLIDAY"))</f>
        <v>0</v>
      </c>
      <c r="AG69" s="1"/>
      <c r="AH69" s="1" t="b">
        <f>INDEX(Parametri!$G12:$M12,1,WEEKDAY(INT(B69),2))=1</f>
        <v>0</v>
      </c>
      <c r="AI69" s="1" t="b">
        <f>INDEX(Parametri!$G13:$M13,1,WEEKDAY(INT(C69),2))=1</f>
        <v>0</v>
      </c>
      <c r="AJ69" s="1" t="b">
        <f>INDEX(Parametri!$G14:$M14,1,WEEKDAY(INT(D69),2))=1</f>
        <v>0</v>
      </c>
      <c r="AK69" s="1" t="b">
        <f>INDEX(Parametri!$G15:$M15,1,WEEKDAY(INT(E69),2))=1</f>
        <v>0</v>
      </c>
      <c r="AL69" s="1" t="b">
        <f>INDEX(Parametri!$G16:$M16,1,WEEKDAY(INT(F69),2))=1</f>
        <v>0</v>
      </c>
      <c r="AM69" s="1" t="b">
        <f>INDEX(Parametri!$G17:$M17,1,WEEKDAY(INT(G69),2))=1</f>
        <v>0</v>
      </c>
      <c r="AN69" s="1" t="b">
        <f>INDEX(Parametri!$G18:$M18,1,WEEKDAY(INT(H69),2))=1</f>
        <v>0</v>
      </c>
      <c r="AO69">
        <f>COUNTIFS(PersonalExceptions[Colonna],1,PersonalExceptions[Dal],"&lt;="&amp;INT(B69),PersonalExceptions[Al],"&gt;="&amp;INT(B69),PersonalExceptions[Active 0/1],1,PersonalExceptions[Effetto],"Rest")</f>
        <v>0</v>
      </c>
      <c r="AP69">
        <f>COUNTIFS(PersonalExceptions[Colonna],2,PersonalExceptions[Dal],"&lt;="&amp;INT(C69),PersonalExceptions[Al],"&gt;="&amp;INT(C69),PersonalExceptions[Active 0/1],1,PersonalExceptions[Effetto],"Rest")</f>
        <v>0</v>
      </c>
      <c r="AQ69">
        <f>COUNTIFS(PersonalExceptions[Colonna],3,PersonalExceptions[Dal],"&lt;="&amp;INT(D69),PersonalExceptions[Al],"&gt;="&amp;INT(D69),PersonalExceptions[Active 0/1],1,PersonalExceptions[Effetto],"Rest")</f>
        <v>0</v>
      </c>
      <c r="AR69">
        <f>COUNTIFS(PersonalExceptions[Colonna],4,PersonalExceptions[Dal],"&lt;="&amp;INT(E69),PersonalExceptions[Al],"&gt;="&amp;INT(E69),PersonalExceptions[Active 0/1],1,PersonalExceptions[Effetto],"Rest")</f>
        <v>0</v>
      </c>
      <c r="AS69">
        <f>COUNTIFS(PersonalExceptions[Colonna],5,PersonalExceptions[Dal],"&lt;="&amp;INT(F69),PersonalExceptions[Al],"&gt;="&amp;INT(F69),PersonalExceptions[Active 0/1],1,PersonalExceptions[Effetto],"Rest")</f>
        <v>0</v>
      </c>
      <c r="AT69">
        <f>COUNTIFS(PersonalExceptions[Colonna],6,PersonalExceptions[Dal],"&lt;="&amp;INT(G69),PersonalExceptions[Al],"&gt;="&amp;INT(G69),PersonalExceptions[Active 0/1],1,PersonalExceptions[Effetto],"Rest")</f>
        <v>0</v>
      </c>
      <c r="AU69">
        <f>COUNTIFS(PersonalExceptions[Colonna],7,PersonalExceptions[Dal],"&lt;="&amp;INT(H69),PersonalExceptions[Al],"&gt;="&amp;INT(H69),PersonalExceptions[Active 0/1],1,PersonalExceptions[Effetto],"Rest")</f>
        <v>0</v>
      </c>
      <c r="AW69">
        <f>COUNTIFS(PersonalExceptions[Colonna],1,PersonalExceptions[Dal],"&lt;="&amp;INT(B69),PersonalExceptions[Al],"&gt;="&amp;INT(B69),PersonalExceptions[Active 0/1],1,PersonalExceptions[Effetto],"Activity")</f>
        <v>0</v>
      </c>
      <c r="AX69">
        <f>COUNTIFS(PersonalExceptions[Colonna],2,PersonalExceptions[Dal],"&lt;="&amp;INT(C69),PersonalExceptions[Al],"&gt;="&amp;INT(C69),PersonalExceptions[Active 0/1],1,PersonalExceptions[Effetto],"Activity")</f>
        <v>0</v>
      </c>
      <c r="AY69">
        <f>COUNTIFS(PersonalExceptions[Colonna],3,PersonalExceptions[Dal],"&lt;="&amp;INT(D69),PersonalExceptions[Al],"&gt;="&amp;INT(D69),PersonalExceptions[Active 0/1],1,PersonalExceptions[Effetto],"Activity")</f>
        <v>0</v>
      </c>
      <c r="AZ69">
        <f>COUNTIFS(PersonalExceptions[Colonna],4,PersonalExceptions[Dal],"&lt;="&amp;INT(E69),PersonalExceptions[Al],"&gt;="&amp;INT(E69),PersonalExceptions[Active 0/1],1,PersonalExceptions[Effetto],"Activity")</f>
        <v>0</v>
      </c>
      <c r="BA69">
        <f>COUNTIFS(PersonalExceptions[Colonna],5,PersonalExceptions[Dal],"&lt;="&amp;INT(F69),PersonalExceptions[Al],"&gt;="&amp;INT(F69),PersonalExceptions[Active 0/1],1,PersonalExceptions[Effetto],"Activity")</f>
        <v>0</v>
      </c>
      <c r="BB69">
        <f>COUNTIFS(PersonalExceptions[Colonna],6,PersonalExceptions[Dal],"&lt;="&amp;INT(G69),PersonalExceptions[Al],"&gt;="&amp;INT(G69),PersonalExceptions[Active 0/1],1,PersonalExceptions[Effetto],"Activity")</f>
        <v>0</v>
      </c>
      <c r="BC69">
        <f>COUNTIFS(PersonalExceptions[Colonna],7,PersonalExceptions[Dal],"&lt;="&amp;INT(H69),PersonalExceptions[Al],"&gt;="&amp;INT(H69),PersonalExceptions[Active 0/1],1,PersonalExceptions[Effetto],"Activity")</f>
        <v>0</v>
      </c>
      <c r="BE69">
        <f>IF(Planner!B$10="Nessuno",0,COUNTIFS(ImportedHolidays[Calendar],Planner!B$10,ImportedHolidays[Date],INT(B69),ImportedHolidays[Active],1,ImportedHolidays[Kind],"WORKDAY"))</f>
        <v>0</v>
      </c>
      <c r="BF69">
        <f>IF(Planner!C$10="Nessuno",0,COUNTIFS(ImportedHolidays[Calendar],Planner!C$10,ImportedHolidays[Date],INT(C69),ImportedHolidays[Active],1,ImportedHolidays[Kind],"WORKDAY"))</f>
        <v>0</v>
      </c>
      <c r="BG69">
        <f>IF(Planner!D$10="Nessuno",0,COUNTIFS(ImportedHolidays[Calendar],Planner!D$10,ImportedHolidays[Date],INT(D69),ImportedHolidays[Active],1,ImportedHolidays[Kind],"WORKDAY"))</f>
        <v>0</v>
      </c>
      <c r="BH69">
        <f>IF(Planner!E$10="Nessuno",0,COUNTIFS(ImportedHolidays[Calendar],Planner!E$10,ImportedHolidays[Date],INT(E69),ImportedHolidays[Active],1,ImportedHolidays[Kind],"WORKDAY"))</f>
        <v>0</v>
      </c>
      <c r="BI69">
        <f>IF(Planner!F$10="Nessuno",0,COUNTIFS(ImportedHolidays[Calendar],Planner!F$10,ImportedHolidays[Date],INT(F69),ImportedHolidays[Active],1,ImportedHolidays[Kind],"WORKDAY"))</f>
        <v>0</v>
      </c>
      <c r="BJ69">
        <f>IF(Planner!G$10="Nessuno",0,COUNTIFS(ImportedHolidays[Calendar],Planner!G$10,ImportedHolidays[Date],INT(G69),ImportedHolidays[Active],1,ImportedHolidays[Kind],"WORKDAY"))</f>
        <v>0</v>
      </c>
      <c r="BK69">
        <f>IF(Planner!H$10="Nessuno",0,COUNTIFS(ImportedHolidays[Calendar],Planner!H$10,ImportedHolidays[Date],INT(H69),ImportedHolidays[Active],1,ImportedHolidays[Kind],"WORKDAY"))</f>
        <v>0</v>
      </c>
      <c r="BM69">
        <f>IF(MOD(J69-B$11,1440)&lt;B$12,2,IF(OR(MOD(J69-B$11,1440)&lt;B$12+ROUND(Planner!$D$5*60,0),MOD(J69-B$11,1440)&gt;=1440-ROUND(Planner!$B$5*60,0)),1,0))</f>
        <v>2</v>
      </c>
      <c r="BN69">
        <f>IF(MOD(K69-C$11,1440)&lt;C$12,2,IF(OR(MOD(K69-C$11,1440)&lt;C$12+ROUND(Planner!$D$5*60,0),MOD(K69-C$11,1440)&gt;=1440-ROUND(Planner!$B$5*60,0)),1,0))</f>
        <v>2</v>
      </c>
      <c r="BO69">
        <f>IF(MOD(L69-D$11,1440)&lt;D$12,2,IF(OR(MOD(L69-D$11,1440)&lt;D$12+ROUND(Planner!$D$5*60,0),MOD(L69-D$11,1440)&gt;=1440-ROUND(Planner!$B$5*60,0)),1,0))</f>
        <v>2</v>
      </c>
      <c r="BP69">
        <f>IF(MOD(M69-E$11,1440)&lt;E$12,2,IF(OR(MOD(M69-E$11,1440)&lt;E$12+ROUND(Planner!$D$5*60,0),MOD(M69-E$11,1440)&gt;=1440-ROUND(Planner!$B$5*60,0)),1,0))</f>
        <v>2</v>
      </c>
      <c r="BQ69">
        <f>IF(MOD(N69-F$11,1440)&lt;F$12,2,IF(OR(MOD(N69-F$11,1440)&lt;F$12+ROUND(Planner!$D$5*60,0),MOD(N69-F$11,1440)&gt;=1440-ROUND(Planner!$B$5*60,0)),1,0))</f>
        <v>1</v>
      </c>
      <c r="BR69">
        <f>IF(MOD(O69-G$11,1440)&lt;G$12,2,IF(OR(MOD(O69-G$11,1440)&lt;G$12+ROUND(Planner!$D$5*60,0),MOD(O69-G$11,1440)&gt;=1440-ROUND(Planner!$B$5*60,0)),1,0))</f>
        <v>0</v>
      </c>
      <c r="BS69">
        <f>IF(MOD(P69-H$11,1440)&lt;H$12,2,IF(OR(MOD(P69-H$11,1440)&lt;H$12+ROUND(Planner!$D$5*60,0),MOD(P69-H$11,1440)&gt;=1440-ROUND(Planner!$B$5*60,0)),1,0))</f>
        <v>0</v>
      </c>
    </row>
    <row r="70" spans="1:71">
      <c r="A70" s="22">
        <f>ROUND(($B$6+29*Planner!$F$4/1440)*1440,0)/1440</f>
        <v>46289.3125</v>
      </c>
      <c r="B70" s="22">
        <f>IF(COUNTIFS(ZonePeriods[Code],Planner!B$9,ZonePeriods[FromUtc],"&lt;="&amp;$A70,ZonePeriods[UntilUtc],"&gt;"&amp;$A70)=1,ROUND(($A70+SUMIFS(ZonePeriods[OffsetHours],ZonePeriods[Code],Planner!B$9,ZonePeriods[FromUtc],"&lt;="&amp;$A70,ZonePeriods[UntilUtc],"&gt;"&amp;$A70)/24)*1440,0)/1440,NA())</f>
        <v>46289.604166666664</v>
      </c>
      <c r="C70" s="22">
        <f>IF(COUNTIFS(ZonePeriods[Code],Planner!C$9,ZonePeriods[FromUtc],"&lt;="&amp;$A70,ZonePeriods[UntilUtc],"&gt;"&amp;$A70)=1,ROUND(($A70+SUMIFS(ZonePeriods[OffsetHours],ZonePeriods[Code],Planner!C$9,ZonePeriods[FromUtc],"&lt;="&amp;$A70,ZonePeriods[UntilUtc],"&gt;"&amp;$A70)/24)*1440,0)/1440,NA())</f>
        <v>46289.541666666664</v>
      </c>
      <c r="D70" s="22">
        <f>IF(COUNTIFS(ZonePeriods[Code],Planner!D$9,ZonePeriods[FromUtc],"&lt;="&amp;$A70,ZonePeriods[UntilUtc],"&gt;"&amp;$A70)=1,ROUND(($A70+SUMIFS(ZonePeriods[OffsetHours],ZonePeriods[Code],Planner!D$9,ZonePeriods[FromUtc],"&lt;="&amp;$A70,ZonePeriods[UntilUtc],"&gt;"&amp;$A70)/24)*1440,0)/1440,NA())</f>
        <v>46289.4375</v>
      </c>
      <c r="E70" s="22">
        <f>IF(COUNTIFS(ZonePeriods[Code],Planner!E$9,ZonePeriods[FromUtc],"&lt;="&amp;$A70,ZonePeriods[UntilUtc],"&gt;"&amp;$A70)=1,ROUND(($A70+SUMIFS(ZonePeriods[OffsetHours],ZonePeriods[Code],Planner!E$9,ZonePeriods[FromUtc],"&lt;="&amp;$A70,ZonePeriods[UntilUtc],"&gt;"&amp;$A70)/24)*1440,0)/1440,NA())</f>
        <v>46289.395833333336</v>
      </c>
      <c r="F70" s="22">
        <f>IF(COUNTIFS(ZonePeriods[Code],Planner!F$9,ZonePeriods[FromUtc],"&lt;="&amp;$A70,ZonePeriods[UntilUtc],"&gt;"&amp;$A70)=1,ROUND(($A70+SUMIFS(ZonePeriods[OffsetHours],ZonePeriods[Code],Planner!F$9,ZonePeriods[FromUtc],"&lt;="&amp;$A70,ZonePeriods[UntilUtc],"&gt;"&amp;$A70)/24)*1440,0)/1440,NA())</f>
        <v>46289.354166666664</v>
      </c>
      <c r="G70" s="22">
        <f>IF(COUNTIFS(ZonePeriods[Code],Planner!G$9,ZonePeriods[FromUtc],"&lt;="&amp;$A70,ZonePeriods[UntilUtc],"&gt;"&amp;$A70)=1,ROUND(($A70+SUMIFS(ZonePeriods[OffsetHours],ZonePeriods[Code],Planner!G$9,ZonePeriods[FromUtc],"&lt;="&amp;$A70,ZonePeriods[UntilUtc],"&gt;"&amp;$A70)/24)*1440,0)/1440,NA())</f>
        <v>46289.145833333336</v>
      </c>
      <c r="H70" s="22">
        <f>IF(COUNTIFS(ZonePeriods[Code],Planner!H$9,ZonePeriods[FromUtc],"&lt;="&amp;$A70,ZonePeriods[UntilUtc],"&gt;"&amp;$A70)=1,ROUND(($A70+SUMIFS(ZonePeriods[OffsetHours],ZonePeriods[Code],Planner!H$9,ZonePeriods[FromUtc],"&lt;="&amp;$A70,ZonePeriods[UntilUtc],"&gt;"&amp;$A70)/24)*1440,0)/1440,NA())</f>
        <v>46289.020833333336</v>
      </c>
      <c r="I70" s="1"/>
      <c r="J70" s="1">
        <f t="shared" si="14"/>
        <v>870</v>
      </c>
      <c r="K70" s="1">
        <f t="shared" si="15"/>
        <v>780</v>
      </c>
      <c r="L70" s="1">
        <f t="shared" si="16"/>
        <v>630</v>
      </c>
      <c r="M70" s="1">
        <f t="shared" si="17"/>
        <v>570</v>
      </c>
      <c r="N70" s="1">
        <f t="shared" si="18"/>
        <v>510</v>
      </c>
      <c r="O70" s="1">
        <f t="shared" si="19"/>
        <v>210</v>
      </c>
      <c r="P70" s="1">
        <f t="shared" si="20"/>
        <v>30</v>
      </c>
      <c r="Q70" s="1"/>
      <c r="R70" s="1">
        <f t="shared" si="21"/>
        <v>2</v>
      </c>
      <c r="S70" s="1">
        <f t="shared" si="22"/>
        <v>2</v>
      </c>
      <c r="T70" s="1">
        <f t="shared" si="23"/>
        <v>2</v>
      </c>
      <c r="U70" s="1">
        <f t="shared" si="24"/>
        <v>2</v>
      </c>
      <c r="V70" s="1">
        <f t="shared" si="25"/>
        <v>1</v>
      </c>
      <c r="W70" s="1">
        <f t="shared" si="26"/>
        <v>0</v>
      </c>
      <c r="X70" s="1">
        <f t="shared" si="27"/>
        <v>0</v>
      </c>
      <c r="Y70" s="1"/>
      <c r="Z70" s="1">
        <f>IF(Planner!B$10="Nessuno",0,COUNTIFS(HolidayDates[Calendar],Planner!B$10,HolidayDates[Local date],INT(B70),HolidayDates[Active 0/1],1)+COUNTIFS(ImportedHolidays[Calendar],Planner!B$10,ImportedHolidays[Date],INT(B70),ImportedHolidays[Active],1,ImportedHolidays[Kind],"HOLIDAY"))</f>
        <v>0</v>
      </c>
      <c r="AA70" s="1">
        <f>IF(Planner!C$10="Nessuno",0,COUNTIFS(HolidayDates[Calendar],Planner!C$10,HolidayDates[Local date],INT(C70),HolidayDates[Active 0/1],1)+COUNTIFS(ImportedHolidays[Calendar],Planner!C$10,ImportedHolidays[Date],INT(C70),ImportedHolidays[Active],1,ImportedHolidays[Kind],"HOLIDAY"))</f>
        <v>0</v>
      </c>
      <c r="AB70" s="1">
        <f>IF(Planner!D$10="Nessuno",0,COUNTIFS(HolidayDates[Calendar],Planner!D$10,HolidayDates[Local date],INT(D70),HolidayDates[Active 0/1],1)+COUNTIFS(ImportedHolidays[Calendar],Planner!D$10,ImportedHolidays[Date],INT(D70),ImportedHolidays[Active],1,ImportedHolidays[Kind],"HOLIDAY"))</f>
        <v>0</v>
      </c>
      <c r="AC70" s="1">
        <f>IF(Planner!E$10="Nessuno",0,COUNTIFS(HolidayDates[Calendar],Planner!E$10,HolidayDates[Local date],INT(E70),HolidayDates[Active 0/1],1)+COUNTIFS(ImportedHolidays[Calendar],Planner!E$10,ImportedHolidays[Date],INT(E70),ImportedHolidays[Active],1,ImportedHolidays[Kind],"HOLIDAY"))</f>
        <v>0</v>
      </c>
      <c r="AD70" s="1">
        <f>IF(Planner!F$10="Nessuno",0,COUNTIFS(HolidayDates[Calendar],Planner!F$10,HolidayDates[Local date],INT(F70),HolidayDates[Active 0/1],1)+COUNTIFS(ImportedHolidays[Calendar],Planner!F$10,ImportedHolidays[Date],INT(F70),ImportedHolidays[Active],1,ImportedHolidays[Kind],"HOLIDAY"))</f>
        <v>0</v>
      </c>
      <c r="AE70" s="1">
        <f>IF(Planner!G$10="Nessuno",0,COUNTIFS(HolidayDates[Calendar],Planner!G$10,HolidayDates[Local date],INT(G70),HolidayDates[Active 0/1],1)+COUNTIFS(ImportedHolidays[Calendar],Planner!G$10,ImportedHolidays[Date],INT(G70),ImportedHolidays[Active],1,ImportedHolidays[Kind],"HOLIDAY"))</f>
        <v>0</v>
      </c>
      <c r="AF70" s="1">
        <f>IF(Planner!H$10="Nessuno",0,COUNTIFS(HolidayDates[Calendar],Planner!H$10,HolidayDates[Local date],INT(H70),HolidayDates[Active 0/1],1)+COUNTIFS(ImportedHolidays[Calendar],Planner!H$10,ImportedHolidays[Date],INT(H70),ImportedHolidays[Active],1,ImportedHolidays[Kind],"HOLIDAY"))</f>
        <v>0</v>
      </c>
      <c r="AG70" s="1"/>
      <c r="AH70" s="1" t="b">
        <f>INDEX(Parametri!$G12:$M12,1,WEEKDAY(INT(B70),2))=1</f>
        <v>0</v>
      </c>
      <c r="AI70" s="1" t="b">
        <f>INDEX(Parametri!$G13:$M13,1,WEEKDAY(INT(C70),2))=1</f>
        <v>0</v>
      </c>
      <c r="AJ70" s="1" t="b">
        <f>INDEX(Parametri!$G14:$M14,1,WEEKDAY(INT(D70),2))=1</f>
        <v>0</v>
      </c>
      <c r="AK70" s="1" t="b">
        <f>INDEX(Parametri!$G15:$M15,1,WEEKDAY(INT(E70),2))=1</f>
        <v>0</v>
      </c>
      <c r="AL70" s="1" t="b">
        <f>INDEX(Parametri!$G16:$M16,1,WEEKDAY(INT(F70),2))=1</f>
        <v>0</v>
      </c>
      <c r="AM70" s="1" t="b">
        <f>INDEX(Parametri!$G17:$M17,1,WEEKDAY(INT(G70),2))=1</f>
        <v>0</v>
      </c>
      <c r="AN70" s="1" t="b">
        <f>INDEX(Parametri!$G18:$M18,1,WEEKDAY(INT(H70),2))=1</f>
        <v>0</v>
      </c>
      <c r="AO70">
        <f>COUNTIFS(PersonalExceptions[Colonna],1,PersonalExceptions[Dal],"&lt;="&amp;INT(B70),PersonalExceptions[Al],"&gt;="&amp;INT(B70),PersonalExceptions[Active 0/1],1,PersonalExceptions[Effetto],"Rest")</f>
        <v>0</v>
      </c>
      <c r="AP70">
        <f>COUNTIFS(PersonalExceptions[Colonna],2,PersonalExceptions[Dal],"&lt;="&amp;INT(C70),PersonalExceptions[Al],"&gt;="&amp;INT(C70),PersonalExceptions[Active 0/1],1,PersonalExceptions[Effetto],"Rest")</f>
        <v>0</v>
      </c>
      <c r="AQ70">
        <f>COUNTIFS(PersonalExceptions[Colonna],3,PersonalExceptions[Dal],"&lt;="&amp;INT(D70),PersonalExceptions[Al],"&gt;="&amp;INT(D70),PersonalExceptions[Active 0/1],1,PersonalExceptions[Effetto],"Rest")</f>
        <v>0</v>
      </c>
      <c r="AR70">
        <f>COUNTIFS(PersonalExceptions[Colonna],4,PersonalExceptions[Dal],"&lt;="&amp;INT(E70),PersonalExceptions[Al],"&gt;="&amp;INT(E70),PersonalExceptions[Active 0/1],1,PersonalExceptions[Effetto],"Rest")</f>
        <v>0</v>
      </c>
      <c r="AS70">
        <f>COUNTIFS(PersonalExceptions[Colonna],5,PersonalExceptions[Dal],"&lt;="&amp;INT(F70),PersonalExceptions[Al],"&gt;="&amp;INT(F70),PersonalExceptions[Active 0/1],1,PersonalExceptions[Effetto],"Rest")</f>
        <v>0</v>
      </c>
      <c r="AT70">
        <f>COUNTIFS(PersonalExceptions[Colonna],6,PersonalExceptions[Dal],"&lt;="&amp;INT(G70),PersonalExceptions[Al],"&gt;="&amp;INT(G70),PersonalExceptions[Active 0/1],1,PersonalExceptions[Effetto],"Rest")</f>
        <v>0</v>
      </c>
      <c r="AU70">
        <f>COUNTIFS(PersonalExceptions[Colonna],7,PersonalExceptions[Dal],"&lt;="&amp;INT(H70),PersonalExceptions[Al],"&gt;="&amp;INT(H70),PersonalExceptions[Active 0/1],1,PersonalExceptions[Effetto],"Rest")</f>
        <v>0</v>
      </c>
      <c r="AW70">
        <f>COUNTIFS(PersonalExceptions[Colonna],1,PersonalExceptions[Dal],"&lt;="&amp;INT(B70),PersonalExceptions[Al],"&gt;="&amp;INT(B70),PersonalExceptions[Active 0/1],1,PersonalExceptions[Effetto],"Activity")</f>
        <v>0</v>
      </c>
      <c r="AX70">
        <f>COUNTIFS(PersonalExceptions[Colonna],2,PersonalExceptions[Dal],"&lt;="&amp;INT(C70),PersonalExceptions[Al],"&gt;="&amp;INT(C70),PersonalExceptions[Active 0/1],1,PersonalExceptions[Effetto],"Activity")</f>
        <v>0</v>
      </c>
      <c r="AY70">
        <f>COUNTIFS(PersonalExceptions[Colonna],3,PersonalExceptions[Dal],"&lt;="&amp;INT(D70),PersonalExceptions[Al],"&gt;="&amp;INT(D70),PersonalExceptions[Active 0/1],1,PersonalExceptions[Effetto],"Activity")</f>
        <v>0</v>
      </c>
      <c r="AZ70">
        <f>COUNTIFS(PersonalExceptions[Colonna],4,PersonalExceptions[Dal],"&lt;="&amp;INT(E70),PersonalExceptions[Al],"&gt;="&amp;INT(E70),PersonalExceptions[Active 0/1],1,PersonalExceptions[Effetto],"Activity")</f>
        <v>0</v>
      </c>
      <c r="BA70">
        <f>COUNTIFS(PersonalExceptions[Colonna],5,PersonalExceptions[Dal],"&lt;="&amp;INT(F70),PersonalExceptions[Al],"&gt;="&amp;INT(F70),PersonalExceptions[Active 0/1],1,PersonalExceptions[Effetto],"Activity")</f>
        <v>0</v>
      </c>
      <c r="BB70">
        <f>COUNTIFS(PersonalExceptions[Colonna],6,PersonalExceptions[Dal],"&lt;="&amp;INT(G70),PersonalExceptions[Al],"&gt;="&amp;INT(G70),PersonalExceptions[Active 0/1],1,PersonalExceptions[Effetto],"Activity")</f>
        <v>0</v>
      </c>
      <c r="BC70">
        <f>COUNTIFS(PersonalExceptions[Colonna],7,PersonalExceptions[Dal],"&lt;="&amp;INT(H70),PersonalExceptions[Al],"&gt;="&amp;INT(H70),PersonalExceptions[Active 0/1],1,PersonalExceptions[Effetto],"Activity")</f>
        <v>0</v>
      </c>
      <c r="BE70">
        <f>IF(Planner!B$10="Nessuno",0,COUNTIFS(ImportedHolidays[Calendar],Planner!B$10,ImportedHolidays[Date],INT(B70),ImportedHolidays[Active],1,ImportedHolidays[Kind],"WORKDAY"))</f>
        <v>0</v>
      </c>
      <c r="BF70">
        <f>IF(Planner!C$10="Nessuno",0,COUNTIFS(ImportedHolidays[Calendar],Planner!C$10,ImportedHolidays[Date],INT(C70),ImportedHolidays[Active],1,ImportedHolidays[Kind],"WORKDAY"))</f>
        <v>0</v>
      </c>
      <c r="BG70">
        <f>IF(Planner!D$10="Nessuno",0,COUNTIFS(ImportedHolidays[Calendar],Planner!D$10,ImportedHolidays[Date],INT(D70),ImportedHolidays[Active],1,ImportedHolidays[Kind],"WORKDAY"))</f>
        <v>0</v>
      </c>
      <c r="BH70">
        <f>IF(Planner!E$10="Nessuno",0,COUNTIFS(ImportedHolidays[Calendar],Planner!E$10,ImportedHolidays[Date],INT(E70),ImportedHolidays[Active],1,ImportedHolidays[Kind],"WORKDAY"))</f>
        <v>0</v>
      </c>
      <c r="BI70">
        <f>IF(Planner!F$10="Nessuno",0,COUNTIFS(ImportedHolidays[Calendar],Planner!F$10,ImportedHolidays[Date],INT(F70),ImportedHolidays[Active],1,ImportedHolidays[Kind],"WORKDAY"))</f>
        <v>0</v>
      </c>
      <c r="BJ70">
        <f>IF(Planner!G$10="Nessuno",0,COUNTIFS(ImportedHolidays[Calendar],Planner!G$10,ImportedHolidays[Date],INT(G70),ImportedHolidays[Active],1,ImportedHolidays[Kind],"WORKDAY"))</f>
        <v>0</v>
      </c>
      <c r="BK70">
        <f>IF(Planner!H$10="Nessuno",0,COUNTIFS(ImportedHolidays[Calendar],Planner!H$10,ImportedHolidays[Date],INT(H70),ImportedHolidays[Active],1,ImportedHolidays[Kind],"WORKDAY"))</f>
        <v>0</v>
      </c>
      <c r="BM70">
        <f>IF(MOD(J70-B$11,1440)&lt;B$12,2,IF(OR(MOD(J70-B$11,1440)&lt;B$12+ROUND(Planner!$D$5*60,0),MOD(J70-B$11,1440)&gt;=1440-ROUND(Planner!$B$5*60,0)),1,0))</f>
        <v>2</v>
      </c>
      <c r="BN70">
        <f>IF(MOD(K70-C$11,1440)&lt;C$12,2,IF(OR(MOD(K70-C$11,1440)&lt;C$12+ROUND(Planner!$D$5*60,0),MOD(K70-C$11,1440)&gt;=1440-ROUND(Planner!$B$5*60,0)),1,0))</f>
        <v>2</v>
      </c>
      <c r="BO70">
        <f>IF(MOD(L70-D$11,1440)&lt;D$12,2,IF(OR(MOD(L70-D$11,1440)&lt;D$12+ROUND(Planner!$D$5*60,0),MOD(L70-D$11,1440)&gt;=1440-ROUND(Planner!$B$5*60,0)),1,0))</f>
        <v>2</v>
      </c>
      <c r="BP70">
        <f>IF(MOD(M70-E$11,1440)&lt;E$12,2,IF(OR(MOD(M70-E$11,1440)&lt;E$12+ROUND(Planner!$D$5*60,0),MOD(M70-E$11,1440)&gt;=1440-ROUND(Planner!$B$5*60,0)),1,0))</f>
        <v>2</v>
      </c>
      <c r="BQ70">
        <f>IF(MOD(N70-F$11,1440)&lt;F$12,2,IF(OR(MOD(N70-F$11,1440)&lt;F$12+ROUND(Planner!$D$5*60,0),MOD(N70-F$11,1440)&gt;=1440-ROUND(Planner!$B$5*60,0)),1,0))</f>
        <v>1</v>
      </c>
      <c r="BR70">
        <f>IF(MOD(O70-G$11,1440)&lt;G$12,2,IF(OR(MOD(O70-G$11,1440)&lt;G$12+ROUND(Planner!$D$5*60,0),MOD(O70-G$11,1440)&gt;=1440-ROUND(Planner!$B$5*60,0)),1,0))</f>
        <v>0</v>
      </c>
      <c r="BS70">
        <f>IF(MOD(P70-H$11,1440)&lt;H$12,2,IF(OR(MOD(P70-H$11,1440)&lt;H$12+ROUND(Planner!$D$5*60,0),MOD(P70-H$11,1440)&gt;=1440-ROUND(Planner!$B$5*60,0)),1,0))</f>
        <v>0</v>
      </c>
    </row>
    <row r="71" spans="1:71">
      <c r="A71" s="22">
        <f>ROUND(($B$6+30*Planner!$F$4/1440)*1440,0)/1440</f>
        <v>46289.333333333336</v>
      </c>
      <c r="B71" s="22">
        <f>IF(COUNTIFS(ZonePeriods[Code],Planner!B$9,ZonePeriods[FromUtc],"&lt;="&amp;$A71,ZonePeriods[UntilUtc],"&gt;"&amp;$A71)=1,ROUND(($A71+SUMIFS(ZonePeriods[OffsetHours],ZonePeriods[Code],Planner!B$9,ZonePeriods[FromUtc],"&lt;="&amp;$A71,ZonePeriods[UntilUtc],"&gt;"&amp;$A71)/24)*1440,0)/1440,NA())</f>
        <v>46289.625</v>
      </c>
      <c r="C71" s="22">
        <f>IF(COUNTIFS(ZonePeriods[Code],Planner!C$9,ZonePeriods[FromUtc],"&lt;="&amp;$A71,ZonePeriods[UntilUtc],"&gt;"&amp;$A71)=1,ROUND(($A71+SUMIFS(ZonePeriods[OffsetHours],ZonePeriods[Code],Planner!C$9,ZonePeriods[FromUtc],"&lt;="&amp;$A71,ZonePeriods[UntilUtc],"&gt;"&amp;$A71)/24)*1440,0)/1440,NA())</f>
        <v>46289.5625</v>
      </c>
      <c r="D71" s="22">
        <f>IF(COUNTIFS(ZonePeriods[Code],Planner!D$9,ZonePeriods[FromUtc],"&lt;="&amp;$A71,ZonePeriods[UntilUtc],"&gt;"&amp;$A71)=1,ROUND(($A71+SUMIFS(ZonePeriods[OffsetHours],ZonePeriods[Code],Planner!D$9,ZonePeriods[FromUtc],"&lt;="&amp;$A71,ZonePeriods[UntilUtc],"&gt;"&amp;$A71)/24)*1440,0)/1440,NA())</f>
        <v>46289.458333333336</v>
      </c>
      <c r="E71" s="22">
        <f>IF(COUNTIFS(ZonePeriods[Code],Planner!E$9,ZonePeriods[FromUtc],"&lt;="&amp;$A71,ZonePeriods[UntilUtc],"&gt;"&amp;$A71)=1,ROUND(($A71+SUMIFS(ZonePeriods[OffsetHours],ZonePeriods[Code],Planner!E$9,ZonePeriods[FromUtc],"&lt;="&amp;$A71,ZonePeriods[UntilUtc],"&gt;"&amp;$A71)/24)*1440,0)/1440,NA())</f>
        <v>46289.416666666664</v>
      </c>
      <c r="F71" s="22">
        <f>IF(COUNTIFS(ZonePeriods[Code],Planner!F$9,ZonePeriods[FromUtc],"&lt;="&amp;$A71,ZonePeriods[UntilUtc],"&gt;"&amp;$A71)=1,ROUND(($A71+SUMIFS(ZonePeriods[OffsetHours],ZonePeriods[Code],Planner!F$9,ZonePeriods[FromUtc],"&lt;="&amp;$A71,ZonePeriods[UntilUtc],"&gt;"&amp;$A71)/24)*1440,0)/1440,NA())</f>
        <v>46289.375</v>
      </c>
      <c r="G71" s="22">
        <f>IF(COUNTIFS(ZonePeriods[Code],Planner!G$9,ZonePeriods[FromUtc],"&lt;="&amp;$A71,ZonePeriods[UntilUtc],"&gt;"&amp;$A71)=1,ROUND(($A71+SUMIFS(ZonePeriods[OffsetHours],ZonePeriods[Code],Planner!G$9,ZonePeriods[FromUtc],"&lt;="&amp;$A71,ZonePeriods[UntilUtc],"&gt;"&amp;$A71)/24)*1440,0)/1440,NA())</f>
        <v>46289.166666666664</v>
      </c>
      <c r="H71" s="22">
        <f>IF(COUNTIFS(ZonePeriods[Code],Planner!H$9,ZonePeriods[FromUtc],"&lt;="&amp;$A71,ZonePeriods[UntilUtc],"&gt;"&amp;$A71)=1,ROUND(($A71+SUMIFS(ZonePeriods[OffsetHours],ZonePeriods[Code],Planner!H$9,ZonePeriods[FromUtc],"&lt;="&amp;$A71,ZonePeriods[UntilUtc],"&gt;"&amp;$A71)/24)*1440,0)/1440,NA())</f>
        <v>46289.041666666664</v>
      </c>
      <c r="I71" s="1"/>
      <c r="J71" s="1">
        <f t="shared" si="14"/>
        <v>900</v>
      </c>
      <c r="K71" s="1">
        <f t="shared" si="15"/>
        <v>810</v>
      </c>
      <c r="L71" s="1">
        <f t="shared" si="16"/>
        <v>660</v>
      </c>
      <c r="M71" s="1">
        <f t="shared" si="17"/>
        <v>600</v>
      </c>
      <c r="N71" s="1">
        <f t="shared" si="18"/>
        <v>540</v>
      </c>
      <c r="O71" s="1">
        <f t="shared" si="19"/>
        <v>240</v>
      </c>
      <c r="P71" s="1">
        <f t="shared" si="20"/>
        <v>60</v>
      </c>
      <c r="Q71" s="1"/>
      <c r="R71" s="1">
        <f t="shared" si="21"/>
        <v>2</v>
      </c>
      <c r="S71" s="1">
        <f t="shared" si="22"/>
        <v>2</v>
      </c>
      <c r="T71" s="1">
        <f t="shared" si="23"/>
        <v>2</v>
      </c>
      <c r="U71" s="1">
        <f t="shared" si="24"/>
        <v>2</v>
      </c>
      <c r="V71" s="1">
        <f t="shared" si="25"/>
        <v>2</v>
      </c>
      <c r="W71" s="1">
        <f t="shared" si="26"/>
        <v>0</v>
      </c>
      <c r="X71" s="1">
        <f t="shared" si="27"/>
        <v>0</v>
      </c>
      <c r="Y71" s="1"/>
      <c r="Z71" s="1">
        <f>IF(Planner!B$10="Nessuno",0,COUNTIFS(HolidayDates[Calendar],Planner!B$10,HolidayDates[Local date],INT(B71),HolidayDates[Active 0/1],1)+COUNTIFS(ImportedHolidays[Calendar],Planner!B$10,ImportedHolidays[Date],INT(B71),ImportedHolidays[Active],1,ImportedHolidays[Kind],"HOLIDAY"))</f>
        <v>0</v>
      </c>
      <c r="AA71" s="1">
        <f>IF(Planner!C$10="Nessuno",0,COUNTIFS(HolidayDates[Calendar],Planner!C$10,HolidayDates[Local date],INT(C71),HolidayDates[Active 0/1],1)+COUNTIFS(ImportedHolidays[Calendar],Planner!C$10,ImportedHolidays[Date],INT(C71),ImportedHolidays[Active],1,ImportedHolidays[Kind],"HOLIDAY"))</f>
        <v>0</v>
      </c>
      <c r="AB71" s="1">
        <f>IF(Planner!D$10="Nessuno",0,COUNTIFS(HolidayDates[Calendar],Planner!D$10,HolidayDates[Local date],INT(D71),HolidayDates[Active 0/1],1)+COUNTIFS(ImportedHolidays[Calendar],Planner!D$10,ImportedHolidays[Date],INT(D71),ImportedHolidays[Active],1,ImportedHolidays[Kind],"HOLIDAY"))</f>
        <v>0</v>
      </c>
      <c r="AC71" s="1">
        <f>IF(Planner!E$10="Nessuno",0,COUNTIFS(HolidayDates[Calendar],Planner!E$10,HolidayDates[Local date],INT(E71),HolidayDates[Active 0/1],1)+COUNTIFS(ImportedHolidays[Calendar],Planner!E$10,ImportedHolidays[Date],INT(E71),ImportedHolidays[Active],1,ImportedHolidays[Kind],"HOLIDAY"))</f>
        <v>0</v>
      </c>
      <c r="AD71" s="1">
        <f>IF(Planner!F$10="Nessuno",0,COUNTIFS(HolidayDates[Calendar],Planner!F$10,HolidayDates[Local date],INT(F71),HolidayDates[Active 0/1],1)+COUNTIFS(ImportedHolidays[Calendar],Planner!F$10,ImportedHolidays[Date],INT(F71),ImportedHolidays[Active],1,ImportedHolidays[Kind],"HOLIDAY"))</f>
        <v>0</v>
      </c>
      <c r="AE71" s="1">
        <f>IF(Planner!G$10="Nessuno",0,COUNTIFS(HolidayDates[Calendar],Planner!G$10,HolidayDates[Local date],INT(G71),HolidayDates[Active 0/1],1)+COUNTIFS(ImportedHolidays[Calendar],Planner!G$10,ImportedHolidays[Date],INT(G71),ImportedHolidays[Active],1,ImportedHolidays[Kind],"HOLIDAY"))</f>
        <v>0</v>
      </c>
      <c r="AF71" s="1">
        <f>IF(Planner!H$10="Nessuno",0,COUNTIFS(HolidayDates[Calendar],Planner!H$10,HolidayDates[Local date],INT(H71),HolidayDates[Active 0/1],1)+COUNTIFS(ImportedHolidays[Calendar],Planner!H$10,ImportedHolidays[Date],INT(H71),ImportedHolidays[Active],1,ImportedHolidays[Kind],"HOLIDAY"))</f>
        <v>0</v>
      </c>
      <c r="AG71" s="1"/>
      <c r="AH71" s="1" t="b">
        <f>INDEX(Parametri!$G12:$M12,1,WEEKDAY(INT(B71),2))=1</f>
        <v>0</v>
      </c>
      <c r="AI71" s="1" t="b">
        <f>INDEX(Parametri!$G13:$M13,1,WEEKDAY(INT(C71),2))=1</f>
        <v>0</v>
      </c>
      <c r="AJ71" s="1" t="b">
        <f>INDEX(Parametri!$G14:$M14,1,WEEKDAY(INT(D71),2))=1</f>
        <v>0</v>
      </c>
      <c r="AK71" s="1" t="b">
        <f>INDEX(Parametri!$G15:$M15,1,WEEKDAY(INT(E71),2))=1</f>
        <v>0</v>
      </c>
      <c r="AL71" s="1" t="b">
        <f>INDEX(Parametri!$G16:$M16,1,WEEKDAY(INT(F71),2))=1</f>
        <v>0</v>
      </c>
      <c r="AM71" s="1" t="b">
        <f>INDEX(Parametri!$G17:$M17,1,WEEKDAY(INT(G71),2))=1</f>
        <v>0</v>
      </c>
      <c r="AN71" s="1" t="b">
        <f>INDEX(Parametri!$G18:$M18,1,WEEKDAY(INT(H71),2))=1</f>
        <v>0</v>
      </c>
      <c r="AO71">
        <f>COUNTIFS(PersonalExceptions[Colonna],1,PersonalExceptions[Dal],"&lt;="&amp;INT(B71),PersonalExceptions[Al],"&gt;="&amp;INT(B71),PersonalExceptions[Active 0/1],1,PersonalExceptions[Effetto],"Rest")</f>
        <v>0</v>
      </c>
      <c r="AP71">
        <f>COUNTIFS(PersonalExceptions[Colonna],2,PersonalExceptions[Dal],"&lt;="&amp;INT(C71),PersonalExceptions[Al],"&gt;="&amp;INT(C71),PersonalExceptions[Active 0/1],1,PersonalExceptions[Effetto],"Rest")</f>
        <v>0</v>
      </c>
      <c r="AQ71">
        <f>COUNTIFS(PersonalExceptions[Colonna],3,PersonalExceptions[Dal],"&lt;="&amp;INT(D71),PersonalExceptions[Al],"&gt;="&amp;INT(D71),PersonalExceptions[Active 0/1],1,PersonalExceptions[Effetto],"Rest")</f>
        <v>0</v>
      </c>
      <c r="AR71">
        <f>COUNTIFS(PersonalExceptions[Colonna],4,PersonalExceptions[Dal],"&lt;="&amp;INT(E71),PersonalExceptions[Al],"&gt;="&amp;INT(E71),PersonalExceptions[Active 0/1],1,PersonalExceptions[Effetto],"Rest")</f>
        <v>0</v>
      </c>
      <c r="AS71">
        <f>COUNTIFS(PersonalExceptions[Colonna],5,PersonalExceptions[Dal],"&lt;="&amp;INT(F71),PersonalExceptions[Al],"&gt;="&amp;INT(F71),PersonalExceptions[Active 0/1],1,PersonalExceptions[Effetto],"Rest")</f>
        <v>0</v>
      </c>
      <c r="AT71">
        <f>COUNTIFS(PersonalExceptions[Colonna],6,PersonalExceptions[Dal],"&lt;="&amp;INT(G71),PersonalExceptions[Al],"&gt;="&amp;INT(G71),PersonalExceptions[Active 0/1],1,PersonalExceptions[Effetto],"Rest")</f>
        <v>0</v>
      </c>
      <c r="AU71">
        <f>COUNTIFS(PersonalExceptions[Colonna],7,PersonalExceptions[Dal],"&lt;="&amp;INT(H71),PersonalExceptions[Al],"&gt;="&amp;INT(H71),PersonalExceptions[Active 0/1],1,PersonalExceptions[Effetto],"Rest")</f>
        <v>0</v>
      </c>
      <c r="AW71">
        <f>COUNTIFS(PersonalExceptions[Colonna],1,PersonalExceptions[Dal],"&lt;="&amp;INT(B71),PersonalExceptions[Al],"&gt;="&amp;INT(B71),PersonalExceptions[Active 0/1],1,PersonalExceptions[Effetto],"Activity")</f>
        <v>0</v>
      </c>
      <c r="AX71">
        <f>COUNTIFS(PersonalExceptions[Colonna],2,PersonalExceptions[Dal],"&lt;="&amp;INT(C71),PersonalExceptions[Al],"&gt;="&amp;INT(C71),PersonalExceptions[Active 0/1],1,PersonalExceptions[Effetto],"Activity")</f>
        <v>0</v>
      </c>
      <c r="AY71">
        <f>COUNTIFS(PersonalExceptions[Colonna],3,PersonalExceptions[Dal],"&lt;="&amp;INT(D71),PersonalExceptions[Al],"&gt;="&amp;INT(D71),PersonalExceptions[Active 0/1],1,PersonalExceptions[Effetto],"Activity")</f>
        <v>0</v>
      </c>
      <c r="AZ71">
        <f>COUNTIFS(PersonalExceptions[Colonna],4,PersonalExceptions[Dal],"&lt;="&amp;INT(E71),PersonalExceptions[Al],"&gt;="&amp;INT(E71),PersonalExceptions[Active 0/1],1,PersonalExceptions[Effetto],"Activity")</f>
        <v>0</v>
      </c>
      <c r="BA71">
        <f>COUNTIFS(PersonalExceptions[Colonna],5,PersonalExceptions[Dal],"&lt;="&amp;INT(F71),PersonalExceptions[Al],"&gt;="&amp;INT(F71),PersonalExceptions[Active 0/1],1,PersonalExceptions[Effetto],"Activity")</f>
        <v>0</v>
      </c>
      <c r="BB71">
        <f>COUNTIFS(PersonalExceptions[Colonna],6,PersonalExceptions[Dal],"&lt;="&amp;INT(G71),PersonalExceptions[Al],"&gt;="&amp;INT(G71),PersonalExceptions[Active 0/1],1,PersonalExceptions[Effetto],"Activity")</f>
        <v>0</v>
      </c>
      <c r="BC71">
        <f>COUNTIFS(PersonalExceptions[Colonna],7,PersonalExceptions[Dal],"&lt;="&amp;INT(H71),PersonalExceptions[Al],"&gt;="&amp;INT(H71),PersonalExceptions[Active 0/1],1,PersonalExceptions[Effetto],"Activity")</f>
        <v>0</v>
      </c>
      <c r="BE71">
        <f>IF(Planner!B$10="Nessuno",0,COUNTIFS(ImportedHolidays[Calendar],Planner!B$10,ImportedHolidays[Date],INT(B71),ImportedHolidays[Active],1,ImportedHolidays[Kind],"WORKDAY"))</f>
        <v>0</v>
      </c>
      <c r="BF71">
        <f>IF(Planner!C$10="Nessuno",0,COUNTIFS(ImportedHolidays[Calendar],Planner!C$10,ImportedHolidays[Date],INT(C71),ImportedHolidays[Active],1,ImportedHolidays[Kind],"WORKDAY"))</f>
        <v>0</v>
      </c>
      <c r="BG71">
        <f>IF(Planner!D$10="Nessuno",0,COUNTIFS(ImportedHolidays[Calendar],Planner!D$10,ImportedHolidays[Date],INT(D71),ImportedHolidays[Active],1,ImportedHolidays[Kind],"WORKDAY"))</f>
        <v>0</v>
      </c>
      <c r="BH71">
        <f>IF(Planner!E$10="Nessuno",0,COUNTIFS(ImportedHolidays[Calendar],Planner!E$10,ImportedHolidays[Date],INT(E71),ImportedHolidays[Active],1,ImportedHolidays[Kind],"WORKDAY"))</f>
        <v>0</v>
      </c>
      <c r="BI71">
        <f>IF(Planner!F$10="Nessuno",0,COUNTIFS(ImportedHolidays[Calendar],Planner!F$10,ImportedHolidays[Date],INT(F71),ImportedHolidays[Active],1,ImportedHolidays[Kind],"WORKDAY"))</f>
        <v>0</v>
      </c>
      <c r="BJ71">
        <f>IF(Planner!G$10="Nessuno",0,COUNTIFS(ImportedHolidays[Calendar],Planner!G$10,ImportedHolidays[Date],INT(G71),ImportedHolidays[Active],1,ImportedHolidays[Kind],"WORKDAY"))</f>
        <v>0</v>
      </c>
      <c r="BK71">
        <f>IF(Planner!H$10="Nessuno",0,COUNTIFS(ImportedHolidays[Calendar],Planner!H$10,ImportedHolidays[Date],INT(H71),ImportedHolidays[Active],1,ImportedHolidays[Kind],"WORKDAY"))</f>
        <v>0</v>
      </c>
      <c r="BM71">
        <f>IF(MOD(J71-B$11,1440)&lt;B$12,2,IF(OR(MOD(J71-B$11,1440)&lt;B$12+ROUND(Planner!$D$5*60,0),MOD(J71-B$11,1440)&gt;=1440-ROUND(Planner!$B$5*60,0)),1,0))</f>
        <v>2</v>
      </c>
      <c r="BN71">
        <f>IF(MOD(K71-C$11,1440)&lt;C$12,2,IF(OR(MOD(K71-C$11,1440)&lt;C$12+ROUND(Planner!$D$5*60,0),MOD(K71-C$11,1440)&gt;=1440-ROUND(Planner!$B$5*60,0)),1,0))</f>
        <v>2</v>
      </c>
      <c r="BO71">
        <f>IF(MOD(L71-D$11,1440)&lt;D$12,2,IF(OR(MOD(L71-D$11,1440)&lt;D$12+ROUND(Planner!$D$5*60,0),MOD(L71-D$11,1440)&gt;=1440-ROUND(Planner!$B$5*60,0)),1,0))</f>
        <v>2</v>
      </c>
      <c r="BP71">
        <f>IF(MOD(M71-E$11,1440)&lt;E$12,2,IF(OR(MOD(M71-E$11,1440)&lt;E$12+ROUND(Planner!$D$5*60,0),MOD(M71-E$11,1440)&gt;=1440-ROUND(Planner!$B$5*60,0)),1,0))</f>
        <v>2</v>
      </c>
      <c r="BQ71">
        <f>IF(MOD(N71-F$11,1440)&lt;F$12,2,IF(OR(MOD(N71-F$11,1440)&lt;F$12+ROUND(Planner!$D$5*60,0),MOD(N71-F$11,1440)&gt;=1440-ROUND(Planner!$B$5*60,0)),1,0))</f>
        <v>2</v>
      </c>
      <c r="BR71">
        <f>IF(MOD(O71-G$11,1440)&lt;G$12,2,IF(OR(MOD(O71-G$11,1440)&lt;G$12+ROUND(Planner!$D$5*60,0),MOD(O71-G$11,1440)&gt;=1440-ROUND(Planner!$B$5*60,0)),1,0))</f>
        <v>0</v>
      </c>
      <c r="BS71">
        <f>IF(MOD(P71-H$11,1440)&lt;H$12,2,IF(OR(MOD(P71-H$11,1440)&lt;H$12+ROUND(Planner!$D$5*60,0),MOD(P71-H$11,1440)&gt;=1440-ROUND(Planner!$B$5*60,0)),1,0))</f>
        <v>0</v>
      </c>
    </row>
    <row r="72" spans="1:71">
      <c r="A72" s="22">
        <f>ROUND(($B$6+31*Planner!$F$4/1440)*1440,0)/1440</f>
        <v>46289.354166666664</v>
      </c>
      <c r="B72" s="22">
        <f>IF(COUNTIFS(ZonePeriods[Code],Planner!B$9,ZonePeriods[FromUtc],"&lt;="&amp;$A72,ZonePeriods[UntilUtc],"&gt;"&amp;$A72)=1,ROUND(($A72+SUMIFS(ZonePeriods[OffsetHours],ZonePeriods[Code],Planner!B$9,ZonePeriods[FromUtc],"&lt;="&amp;$A72,ZonePeriods[UntilUtc],"&gt;"&amp;$A72)/24)*1440,0)/1440,NA())</f>
        <v>46289.645833333336</v>
      </c>
      <c r="C72" s="22">
        <f>IF(COUNTIFS(ZonePeriods[Code],Planner!C$9,ZonePeriods[FromUtc],"&lt;="&amp;$A72,ZonePeriods[UntilUtc],"&gt;"&amp;$A72)=1,ROUND(($A72+SUMIFS(ZonePeriods[OffsetHours],ZonePeriods[Code],Planner!C$9,ZonePeriods[FromUtc],"&lt;="&amp;$A72,ZonePeriods[UntilUtc],"&gt;"&amp;$A72)/24)*1440,0)/1440,NA())</f>
        <v>46289.583333333336</v>
      </c>
      <c r="D72" s="22">
        <f>IF(COUNTIFS(ZonePeriods[Code],Planner!D$9,ZonePeriods[FromUtc],"&lt;="&amp;$A72,ZonePeriods[UntilUtc],"&gt;"&amp;$A72)=1,ROUND(($A72+SUMIFS(ZonePeriods[OffsetHours],ZonePeriods[Code],Planner!D$9,ZonePeriods[FromUtc],"&lt;="&amp;$A72,ZonePeriods[UntilUtc],"&gt;"&amp;$A72)/24)*1440,0)/1440,NA())</f>
        <v>46289.479166666664</v>
      </c>
      <c r="E72" s="22">
        <f>IF(COUNTIFS(ZonePeriods[Code],Planner!E$9,ZonePeriods[FromUtc],"&lt;="&amp;$A72,ZonePeriods[UntilUtc],"&gt;"&amp;$A72)=1,ROUND(($A72+SUMIFS(ZonePeriods[OffsetHours],ZonePeriods[Code],Planner!E$9,ZonePeriods[FromUtc],"&lt;="&amp;$A72,ZonePeriods[UntilUtc],"&gt;"&amp;$A72)/24)*1440,0)/1440,NA())</f>
        <v>46289.4375</v>
      </c>
      <c r="F72" s="22">
        <f>IF(COUNTIFS(ZonePeriods[Code],Planner!F$9,ZonePeriods[FromUtc],"&lt;="&amp;$A72,ZonePeriods[UntilUtc],"&gt;"&amp;$A72)=1,ROUND(($A72+SUMIFS(ZonePeriods[OffsetHours],ZonePeriods[Code],Planner!F$9,ZonePeriods[FromUtc],"&lt;="&amp;$A72,ZonePeriods[UntilUtc],"&gt;"&amp;$A72)/24)*1440,0)/1440,NA())</f>
        <v>46289.395833333336</v>
      </c>
      <c r="G72" s="22">
        <f>IF(COUNTIFS(ZonePeriods[Code],Planner!G$9,ZonePeriods[FromUtc],"&lt;="&amp;$A72,ZonePeriods[UntilUtc],"&gt;"&amp;$A72)=1,ROUND(($A72+SUMIFS(ZonePeriods[OffsetHours],ZonePeriods[Code],Planner!G$9,ZonePeriods[FromUtc],"&lt;="&amp;$A72,ZonePeriods[UntilUtc],"&gt;"&amp;$A72)/24)*1440,0)/1440,NA())</f>
        <v>46289.1875</v>
      </c>
      <c r="H72" s="22">
        <f>IF(COUNTIFS(ZonePeriods[Code],Planner!H$9,ZonePeriods[FromUtc],"&lt;="&amp;$A72,ZonePeriods[UntilUtc],"&gt;"&amp;$A72)=1,ROUND(($A72+SUMIFS(ZonePeriods[OffsetHours],ZonePeriods[Code],Planner!H$9,ZonePeriods[FromUtc],"&lt;="&amp;$A72,ZonePeriods[UntilUtc],"&gt;"&amp;$A72)/24)*1440,0)/1440,NA())</f>
        <v>46289.0625</v>
      </c>
      <c r="I72" s="1"/>
      <c r="J72" s="1">
        <f t="shared" si="14"/>
        <v>930</v>
      </c>
      <c r="K72" s="1">
        <f t="shared" si="15"/>
        <v>840</v>
      </c>
      <c r="L72" s="1">
        <f t="shared" si="16"/>
        <v>690</v>
      </c>
      <c r="M72" s="1">
        <f t="shared" si="17"/>
        <v>630</v>
      </c>
      <c r="N72" s="1">
        <f t="shared" si="18"/>
        <v>570</v>
      </c>
      <c r="O72" s="1">
        <f t="shared" si="19"/>
        <v>270</v>
      </c>
      <c r="P72" s="1">
        <f t="shared" si="20"/>
        <v>90</v>
      </c>
      <c r="Q72" s="1"/>
      <c r="R72" s="1">
        <f t="shared" si="21"/>
        <v>2</v>
      </c>
      <c r="S72" s="1">
        <f t="shared" si="22"/>
        <v>2</v>
      </c>
      <c r="T72" s="1">
        <f t="shared" si="23"/>
        <v>2</v>
      </c>
      <c r="U72" s="1">
        <f t="shared" si="24"/>
        <v>2</v>
      </c>
      <c r="V72" s="1">
        <f t="shared" si="25"/>
        <v>2</v>
      </c>
      <c r="W72" s="1">
        <f t="shared" si="26"/>
        <v>0</v>
      </c>
      <c r="X72" s="1">
        <f t="shared" si="27"/>
        <v>0</v>
      </c>
      <c r="Y72" s="1"/>
      <c r="Z72" s="1">
        <f>IF(Planner!B$10="Nessuno",0,COUNTIFS(HolidayDates[Calendar],Planner!B$10,HolidayDates[Local date],INT(B72),HolidayDates[Active 0/1],1)+COUNTIFS(ImportedHolidays[Calendar],Planner!B$10,ImportedHolidays[Date],INT(B72),ImportedHolidays[Active],1,ImportedHolidays[Kind],"HOLIDAY"))</f>
        <v>0</v>
      </c>
      <c r="AA72" s="1">
        <f>IF(Planner!C$10="Nessuno",0,COUNTIFS(HolidayDates[Calendar],Planner!C$10,HolidayDates[Local date],INT(C72),HolidayDates[Active 0/1],1)+COUNTIFS(ImportedHolidays[Calendar],Planner!C$10,ImportedHolidays[Date],INT(C72),ImportedHolidays[Active],1,ImportedHolidays[Kind],"HOLIDAY"))</f>
        <v>0</v>
      </c>
      <c r="AB72" s="1">
        <f>IF(Planner!D$10="Nessuno",0,COUNTIFS(HolidayDates[Calendar],Planner!D$10,HolidayDates[Local date],INT(D72),HolidayDates[Active 0/1],1)+COUNTIFS(ImportedHolidays[Calendar],Planner!D$10,ImportedHolidays[Date],INT(D72),ImportedHolidays[Active],1,ImportedHolidays[Kind],"HOLIDAY"))</f>
        <v>0</v>
      </c>
      <c r="AC72" s="1">
        <f>IF(Planner!E$10="Nessuno",0,COUNTIFS(HolidayDates[Calendar],Planner!E$10,HolidayDates[Local date],INT(E72),HolidayDates[Active 0/1],1)+COUNTIFS(ImportedHolidays[Calendar],Planner!E$10,ImportedHolidays[Date],INT(E72),ImportedHolidays[Active],1,ImportedHolidays[Kind],"HOLIDAY"))</f>
        <v>0</v>
      </c>
      <c r="AD72" s="1">
        <f>IF(Planner!F$10="Nessuno",0,COUNTIFS(HolidayDates[Calendar],Planner!F$10,HolidayDates[Local date],INT(F72),HolidayDates[Active 0/1],1)+COUNTIFS(ImportedHolidays[Calendar],Planner!F$10,ImportedHolidays[Date],INT(F72),ImportedHolidays[Active],1,ImportedHolidays[Kind],"HOLIDAY"))</f>
        <v>0</v>
      </c>
      <c r="AE72" s="1">
        <f>IF(Planner!G$10="Nessuno",0,COUNTIFS(HolidayDates[Calendar],Planner!G$10,HolidayDates[Local date],INT(G72),HolidayDates[Active 0/1],1)+COUNTIFS(ImportedHolidays[Calendar],Planner!G$10,ImportedHolidays[Date],INT(G72),ImportedHolidays[Active],1,ImportedHolidays[Kind],"HOLIDAY"))</f>
        <v>0</v>
      </c>
      <c r="AF72" s="1">
        <f>IF(Planner!H$10="Nessuno",0,COUNTIFS(HolidayDates[Calendar],Planner!H$10,HolidayDates[Local date],INT(H72),HolidayDates[Active 0/1],1)+COUNTIFS(ImportedHolidays[Calendar],Planner!H$10,ImportedHolidays[Date],INT(H72),ImportedHolidays[Active],1,ImportedHolidays[Kind],"HOLIDAY"))</f>
        <v>0</v>
      </c>
      <c r="AG72" s="1"/>
      <c r="AH72" s="1" t="b">
        <f>INDEX(Parametri!$G12:$M12,1,WEEKDAY(INT(B72),2))=1</f>
        <v>0</v>
      </c>
      <c r="AI72" s="1" t="b">
        <f>INDEX(Parametri!$G13:$M13,1,WEEKDAY(INT(C72),2))=1</f>
        <v>0</v>
      </c>
      <c r="AJ72" s="1" t="b">
        <f>INDEX(Parametri!$G14:$M14,1,WEEKDAY(INT(D72),2))=1</f>
        <v>0</v>
      </c>
      <c r="AK72" s="1" t="b">
        <f>INDEX(Parametri!$G15:$M15,1,WEEKDAY(INT(E72),2))=1</f>
        <v>0</v>
      </c>
      <c r="AL72" s="1" t="b">
        <f>INDEX(Parametri!$G16:$M16,1,WEEKDAY(INT(F72),2))=1</f>
        <v>0</v>
      </c>
      <c r="AM72" s="1" t="b">
        <f>INDEX(Parametri!$G17:$M17,1,WEEKDAY(INT(G72),2))=1</f>
        <v>0</v>
      </c>
      <c r="AN72" s="1" t="b">
        <f>INDEX(Parametri!$G18:$M18,1,WEEKDAY(INT(H72),2))=1</f>
        <v>0</v>
      </c>
      <c r="AO72">
        <f>COUNTIFS(PersonalExceptions[Colonna],1,PersonalExceptions[Dal],"&lt;="&amp;INT(B72),PersonalExceptions[Al],"&gt;="&amp;INT(B72),PersonalExceptions[Active 0/1],1,PersonalExceptions[Effetto],"Rest")</f>
        <v>0</v>
      </c>
      <c r="AP72">
        <f>COUNTIFS(PersonalExceptions[Colonna],2,PersonalExceptions[Dal],"&lt;="&amp;INT(C72),PersonalExceptions[Al],"&gt;="&amp;INT(C72),PersonalExceptions[Active 0/1],1,PersonalExceptions[Effetto],"Rest")</f>
        <v>0</v>
      </c>
      <c r="AQ72">
        <f>COUNTIFS(PersonalExceptions[Colonna],3,PersonalExceptions[Dal],"&lt;="&amp;INT(D72),PersonalExceptions[Al],"&gt;="&amp;INT(D72),PersonalExceptions[Active 0/1],1,PersonalExceptions[Effetto],"Rest")</f>
        <v>0</v>
      </c>
      <c r="AR72">
        <f>COUNTIFS(PersonalExceptions[Colonna],4,PersonalExceptions[Dal],"&lt;="&amp;INT(E72),PersonalExceptions[Al],"&gt;="&amp;INT(E72),PersonalExceptions[Active 0/1],1,PersonalExceptions[Effetto],"Rest")</f>
        <v>0</v>
      </c>
      <c r="AS72">
        <f>COUNTIFS(PersonalExceptions[Colonna],5,PersonalExceptions[Dal],"&lt;="&amp;INT(F72),PersonalExceptions[Al],"&gt;="&amp;INT(F72),PersonalExceptions[Active 0/1],1,PersonalExceptions[Effetto],"Rest")</f>
        <v>0</v>
      </c>
      <c r="AT72">
        <f>COUNTIFS(PersonalExceptions[Colonna],6,PersonalExceptions[Dal],"&lt;="&amp;INT(G72),PersonalExceptions[Al],"&gt;="&amp;INT(G72),PersonalExceptions[Active 0/1],1,PersonalExceptions[Effetto],"Rest")</f>
        <v>0</v>
      </c>
      <c r="AU72">
        <f>COUNTIFS(PersonalExceptions[Colonna],7,PersonalExceptions[Dal],"&lt;="&amp;INT(H72),PersonalExceptions[Al],"&gt;="&amp;INT(H72),PersonalExceptions[Active 0/1],1,PersonalExceptions[Effetto],"Rest")</f>
        <v>0</v>
      </c>
      <c r="AW72">
        <f>COUNTIFS(PersonalExceptions[Colonna],1,PersonalExceptions[Dal],"&lt;="&amp;INT(B72),PersonalExceptions[Al],"&gt;="&amp;INT(B72),PersonalExceptions[Active 0/1],1,PersonalExceptions[Effetto],"Activity")</f>
        <v>0</v>
      </c>
      <c r="AX72">
        <f>COUNTIFS(PersonalExceptions[Colonna],2,PersonalExceptions[Dal],"&lt;="&amp;INT(C72),PersonalExceptions[Al],"&gt;="&amp;INT(C72),PersonalExceptions[Active 0/1],1,PersonalExceptions[Effetto],"Activity")</f>
        <v>0</v>
      </c>
      <c r="AY72">
        <f>COUNTIFS(PersonalExceptions[Colonna],3,PersonalExceptions[Dal],"&lt;="&amp;INT(D72),PersonalExceptions[Al],"&gt;="&amp;INT(D72),PersonalExceptions[Active 0/1],1,PersonalExceptions[Effetto],"Activity")</f>
        <v>0</v>
      </c>
      <c r="AZ72">
        <f>COUNTIFS(PersonalExceptions[Colonna],4,PersonalExceptions[Dal],"&lt;="&amp;INT(E72),PersonalExceptions[Al],"&gt;="&amp;INT(E72),PersonalExceptions[Active 0/1],1,PersonalExceptions[Effetto],"Activity")</f>
        <v>0</v>
      </c>
      <c r="BA72">
        <f>COUNTIFS(PersonalExceptions[Colonna],5,PersonalExceptions[Dal],"&lt;="&amp;INT(F72),PersonalExceptions[Al],"&gt;="&amp;INT(F72),PersonalExceptions[Active 0/1],1,PersonalExceptions[Effetto],"Activity")</f>
        <v>0</v>
      </c>
      <c r="BB72">
        <f>COUNTIFS(PersonalExceptions[Colonna],6,PersonalExceptions[Dal],"&lt;="&amp;INT(G72),PersonalExceptions[Al],"&gt;="&amp;INT(G72),PersonalExceptions[Active 0/1],1,PersonalExceptions[Effetto],"Activity")</f>
        <v>0</v>
      </c>
      <c r="BC72">
        <f>COUNTIFS(PersonalExceptions[Colonna],7,PersonalExceptions[Dal],"&lt;="&amp;INT(H72),PersonalExceptions[Al],"&gt;="&amp;INT(H72),PersonalExceptions[Active 0/1],1,PersonalExceptions[Effetto],"Activity")</f>
        <v>0</v>
      </c>
      <c r="BE72">
        <f>IF(Planner!B$10="Nessuno",0,COUNTIFS(ImportedHolidays[Calendar],Planner!B$10,ImportedHolidays[Date],INT(B72),ImportedHolidays[Active],1,ImportedHolidays[Kind],"WORKDAY"))</f>
        <v>0</v>
      </c>
      <c r="BF72">
        <f>IF(Planner!C$10="Nessuno",0,COUNTIFS(ImportedHolidays[Calendar],Planner!C$10,ImportedHolidays[Date],INT(C72),ImportedHolidays[Active],1,ImportedHolidays[Kind],"WORKDAY"))</f>
        <v>0</v>
      </c>
      <c r="BG72">
        <f>IF(Planner!D$10="Nessuno",0,COUNTIFS(ImportedHolidays[Calendar],Planner!D$10,ImportedHolidays[Date],INT(D72),ImportedHolidays[Active],1,ImportedHolidays[Kind],"WORKDAY"))</f>
        <v>0</v>
      </c>
      <c r="BH72">
        <f>IF(Planner!E$10="Nessuno",0,COUNTIFS(ImportedHolidays[Calendar],Planner!E$10,ImportedHolidays[Date],INT(E72),ImportedHolidays[Active],1,ImportedHolidays[Kind],"WORKDAY"))</f>
        <v>0</v>
      </c>
      <c r="BI72">
        <f>IF(Planner!F$10="Nessuno",0,COUNTIFS(ImportedHolidays[Calendar],Planner!F$10,ImportedHolidays[Date],INT(F72),ImportedHolidays[Active],1,ImportedHolidays[Kind],"WORKDAY"))</f>
        <v>0</v>
      </c>
      <c r="BJ72">
        <f>IF(Planner!G$10="Nessuno",0,COUNTIFS(ImportedHolidays[Calendar],Planner!G$10,ImportedHolidays[Date],INT(G72),ImportedHolidays[Active],1,ImportedHolidays[Kind],"WORKDAY"))</f>
        <v>0</v>
      </c>
      <c r="BK72">
        <f>IF(Planner!H$10="Nessuno",0,COUNTIFS(ImportedHolidays[Calendar],Planner!H$10,ImportedHolidays[Date],INT(H72),ImportedHolidays[Active],1,ImportedHolidays[Kind],"WORKDAY"))</f>
        <v>0</v>
      </c>
      <c r="BM72">
        <f>IF(MOD(J72-B$11,1440)&lt;B$12,2,IF(OR(MOD(J72-B$11,1440)&lt;B$12+ROUND(Planner!$D$5*60,0),MOD(J72-B$11,1440)&gt;=1440-ROUND(Planner!$B$5*60,0)),1,0))</f>
        <v>2</v>
      </c>
      <c r="BN72">
        <f>IF(MOD(K72-C$11,1440)&lt;C$12,2,IF(OR(MOD(K72-C$11,1440)&lt;C$12+ROUND(Planner!$D$5*60,0),MOD(K72-C$11,1440)&gt;=1440-ROUND(Planner!$B$5*60,0)),1,0))</f>
        <v>2</v>
      </c>
      <c r="BO72">
        <f>IF(MOD(L72-D$11,1440)&lt;D$12,2,IF(OR(MOD(L72-D$11,1440)&lt;D$12+ROUND(Planner!$D$5*60,0),MOD(L72-D$11,1440)&gt;=1440-ROUND(Planner!$B$5*60,0)),1,0))</f>
        <v>2</v>
      </c>
      <c r="BP72">
        <f>IF(MOD(M72-E$11,1440)&lt;E$12,2,IF(OR(MOD(M72-E$11,1440)&lt;E$12+ROUND(Planner!$D$5*60,0),MOD(M72-E$11,1440)&gt;=1440-ROUND(Planner!$B$5*60,0)),1,0))</f>
        <v>2</v>
      </c>
      <c r="BQ72">
        <f>IF(MOD(N72-F$11,1440)&lt;F$12,2,IF(OR(MOD(N72-F$11,1440)&lt;F$12+ROUND(Planner!$D$5*60,0),MOD(N72-F$11,1440)&gt;=1440-ROUND(Planner!$B$5*60,0)),1,0))</f>
        <v>2</v>
      </c>
      <c r="BR72">
        <f>IF(MOD(O72-G$11,1440)&lt;G$12,2,IF(OR(MOD(O72-G$11,1440)&lt;G$12+ROUND(Planner!$D$5*60,0),MOD(O72-G$11,1440)&gt;=1440-ROUND(Planner!$B$5*60,0)),1,0))</f>
        <v>0</v>
      </c>
      <c r="BS72">
        <f>IF(MOD(P72-H$11,1440)&lt;H$12,2,IF(OR(MOD(P72-H$11,1440)&lt;H$12+ROUND(Planner!$D$5*60,0),MOD(P72-H$11,1440)&gt;=1440-ROUND(Planner!$B$5*60,0)),1,0))</f>
        <v>0</v>
      </c>
    </row>
    <row r="73" spans="1:71">
      <c r="A73" s="22">
        <f>ROUND(($B$6+32*Planner!$F$4/1440)*1440,0)/1440</f>
        <v>46289.375</v>
      </c>
      <c r="B73" s="22">
        <f>IF(COUNTIFS(ZonePeriods[Code],Planner!B$9,ZonePeriods[FromUtc],"&lt;="&amp;$A73,ZonePeriods[UntilUtc],"&gt;"&amp;$A73)=1,ROUND(($A73+SUMIFS(ZonePeriods[OffsetHours],ZonePeriods[Code],Planner!B$9,ZonePeriods[FromUtc],"&lt;="&amp;$A73,ZonePeriods[UntilUtc],"&gt;"&amp;$A73)/24)*1440,0)/1440,NA())</f>
        <v>46289.666666666664</v>
      </c>
      <c r="C73" s="22">
        <f>IF(COUNTIFS(ZonePeriods[Code],Planner!C$9,ZonePeriods[FromUtc],"&lt;="&amp;$A73,ZonePeriods[UntilUtc],"&gt;"&amp;$A73)=1,ROUND(($A73+SUMIFS(ZonePeriods[OffsetHours],ZonePeriods[Code],Planner!C$9,ZonePeriods[FromUtc],"&lt;="&amp;$A73,ZonePeriods[UntilUtc],"&gt;"&amp;$A73)/24)*1440,0)/1440,NA())</f>
        <v>46289.604166666664</v>
      </c>
      <c r="D73" s="22">
        <f>IF(COUNTIFS(ZonePeriods[Code],Planner!D$9,ZonePeriods[FromUtc],"&lt;="&amp;$A73,ZonePeriods[UntilUtc],"&gt;"&amp;$A73)=1,ROUND(($A73+SUMIFS(ZonePeriods[OffsetHours],ZonePeriods[Code],Planner!D$9,ZonePeriods[FromUtc],"&lt;="&amp;$A73,ZonePeriods[UntilUtc],"&gt;"&amp;$A73)/24)*1440,0)/1440,NA())</f>
        <v>46289.5</v>
      </c>
      <c r="E73" s="22">
        <f>IF(COUNTIFS(ZonePeriods[Code],Planner!E$9,ZonePeriods[FromUtc],"&lt;="&amp;$A73,ZonePeriods[UntilUtc],"&gt;"&amp;$A73)=1,ROUND(($A73+SUMIFS(ZonePeriods[OffsetHours],ZonePeriods[Code],Planner!E$9,ZonePeriods[FromUtc],"&lt;="&amp;$A73,ZonePeriods[UntilUtc],"&gt;"&amp;$A73)/24)*1440,0)/1440,NA())</f>
        <v>46289.458333333336</v>
      </c>
      <c r="F73" s="22">
        <f>IF(COUNTIFS(ZonePeriods[Code],Planner!F$9,ZonePeriods[FromUtc],"&lt;="&amp;$A73,ZonePeriods[UntilUtc],"&gt;"&amp;$A73)=1,ROUND(($A73+SUMIFS(ZonePeriods[OffsetHours],ZonePeriods[Code],Planner!F$9,ZonePeriods[FromUtc],"&lt;="&amp;$A73,ZonePeriods[UntilUtc],"&gt;"&amp;$A73)/24)*1440,0)/1440,NA())</f>
        <v>46289.416666666664</v>
      </c>
      <c r="G73" s="22">
        <f>IF(COUNTIFS(ZonePeriods[Code],Planner!G$9,ZonePeriods[FromUtc],"&lt;="&amp;$A73,ZonePeriods[UntilUtc],"&gt;"&amp;$A73)=1,ROUND(($A73+SUMIFS(ZonePeriods[OffsetHours],ZonePeriods[Code],Planner!G$9,ZonePeriods[FromUtc],"&lt;="&amp;$A73,ZonePeriods[UntilUtc],"&gt;"&amp;$A73)/24)*1440,0)/1440,NA())</f>
        <v>46289.208333333336</v>
      </c>
      <c r="H73" s="22">
        <f>IF(COUNTIFS(ZonePeriods[Code],Planner!H$9,ZonePeriods[FromUtc],"&lt;="&amp;$A73,ZonePeriods[UntilUtc],"&gt;"&amp;$A73)=1,ROUND(($A73+SUMIFS(ZonePeriods[OffsetHours],ZonePeriods[Code],Planner!H$9,ZonePeriods[FromUtc],"&lt;="&amp;$A73,ZonePeriods[UntilUtc],"&gt;"&amp;$A73)/24)*1440,0)/1440,NA())</f>
        <v>46289.083333333336</v>
      </c>
      <c r="I73" s="1"/>
      <c r="J73" s="1">
        <f t="shared" si="14"/>
        <v>960</v>
      </c>
      <c r="K73" s="1">
        <f t="shared" si="15"/>
        <v>870</v>
      </c>
      <c r="L73" s="1">
        <f t="shared" si="16"/>
        <v>720</v>
      </c>
      <c r="M73" s="1">
        <f t="shared" si="17"/>
        <v>660</v>
      </c>
      <c r="N73" s="1">
        <f t="shared" si="18"/>
        <v>600</v>
      </c>
      <c r="O73" s="1">
        <f t="shared" si="19"/>
        <v>300</v>
      </c>
      <c r="P73" s="1">
        <f t="shared" si="20"/>
        <v>120</v>
      </c>
      <c r="Q73" s="1"/>
      <c r="R73" s="1">
        <f t="shared" si="21"/>
        <v>2</v>
      </c>
      <c r="S73" s="1">
        <f t="shared" si="22"/>
        <v>2</v>
      </c>
      <c r="T73" s="1">
        <f t="shared" si="23"/>
        <v>2</v>
      </c>
      <c r="U73" s="1">
        <f t="shared" si="24"/>
        <v>2</v>
      </c>
      <c r="V73" s="1">
        <f t="shared" si="25"/>
        <v>2</v>
      </c>
      <c r="W73" s="1">
        <f t="shared" si="26"/>
        <v>0</v>
      </c>
      <c r="X73" s="1">
        <f t="shared" si="27"/>
        <v>0</v>
      </c>
      <c r="Y73" s="1"/>
      <c r="Z73" s="1">
        <f>IF(Planner!B$10="Nessuno",0,COUNTIFS(HolidayDates[Calendar],Planner!B$10,HolidayDates[Local date],INT(B73),HolidayDates[Active 0/1],1)+COUNTIFS(ImportedHolidays[Calendar],Planner!B$10,ImportedHolidays[Date],INT(B73),ImportedHolidays[Active],1,ImportedHolidays[Kind],"HOLIDAY"))</f>
        <v>0</v>
      </c>
      <c r="AA73" s="1">
        <f>IF(Planner!C$10="Nessuno",0,COUNTIFS(HolidayDates[Calendar],Planner!C$10,HolidayDates[Local date],INT(C73),HolidayDates[Active 0/1],1)+COUNTIFS(ImportedHolidays[Calendar],Planner!C$10,ImportedHolidays[Date],INT(C73),ImportedHolidays[Active],1,ImportedHolidays[Kind],"HOLIDAY"))</f>
        <v>0</v>
      </c>
      <c r="AB73" s="1">
        <f>IF(Planner!D$10="Nessuno",0,COUNTIFS(HolidayDates[Calendar],Planner!D$10,HolidayDates[Local date],INT(D73),HolidayDates[Active 0/1],1)+COUNTIFS(ImportedHolidays[Calendar],Planner!D$10,ImportedHolidays[Date],INT(D73),ImportedHolidays[Active],1,ImportedHolidays[Kind],"HOLIDAY"))</f>
        <v>0</v>
      </c>
      <c r="AC73" s="1">
        <f>IF(Planner!E$10="Nessuno",0,COUNTIFS(HolidayDates[Calendar],Planner!E$10,HolidayDates[Local date],INT(E73),HolidayDates[Active 0/1],1)+COUNTIFS(ImportedHolidays[Calendar],Planner!E$10,ImportedHolidays[Date],INT(E73),ImportedHolidays[Active],1,ImportedHolidays[Kind],"HOLIDAY"))</f>
        <v>0</v>
      </c>
      <c r="AD73" s="1">
        <f>IF(Planner!F$10="Nessuno",0,COUNTIFS(HolidayDates[Calendar],Planner!F$10,HolidayDates[Local date],INT(F73),HolidayDates[Active 0/1],1)+COUNTIFS(ImportedHolidays[Calendar],Planner!F$10,ImportedHolidays[Date],INT(F73),ImportedHolidays[Active],1,ImportedHolidays[Kind],"HOLIDAY"))</f>
        <v>0</v>
      </c>
      <c r="AE73" s="1">
        <f>IF(Planner!G$10="Nessuno",0,COUNTIFS(HolidayDates[Calendar],Planner!G$10,HolidayDates[Local date],INT(G73),HolidayDates[Active 0/1],1)+COUNTIFS(ImportedHolidays[Calendar],Planner!G$10,ImportedHolidays[Date],INT(G73),ImportedHolidays[Active],1,ImportedHolidays[Kind],"HOLIDAY"))</f>
        <v>0</v>
      </c>
      <c r="AF73" s="1">
        <f>IF(Planner!H$10="Nessuno",0,COUNTIFS(HolidayDates[Calendar],Planner!H$10,HolidayDates[Local date],INT(H73),HolidayDates[Active 0/1],1)+COUNTIFS(ImportedHolidays[Calendar],Planner!H$10,ImportedHolidays[Date],INT(H73),ImportedHolidays[Active],1,ImportedHolidays[Kind],"HOLIDAY"))</f>
        <v>0</v>
      </c>
      <c r="AG73" s="1"/>
      <c r="AH73" s="1" t="b">
        <f>INDEX(Parametri!$G12:$M12,1,WEEKDAY(INT(B73),2))=1</f>
        <v>0</v>
      </c>
      <c r="AI73" s="1" t="b">
        <f>INDEX(Parametri!$G13:$M13,1,WEEKDAY(INT(C73),2))=1</f>
        <v>0</v>
      </c>
      <c r="AJ73" s="1" t="b">
        <f>INDEX(Parametri!$G14:$M14,1,WEEKDAY(INT(D73),2))=1</f>
        <v>0</v>
      </c>
      <c r="AK73" s="1" t="b">
        <f>INDEX(Parametri!$G15:$M15,1,WEEKDAY(INT(E73),2))=1</f>
        <v>0</v>
      </c>
      <c r="AL73" s="1" t="b">
        <f>INDEX(Parametri!$G16:$M16,1,WEEKDAY(INT(F73),2))=1</f>
        <v>0</v>
      </c>
      <c r="AM73" s="1" t="b">
        <f>INDEX(Parametri!$G17:$M17,1,WEEKDAY(INT(G73),2))=1</f>
        <v>0</v>
      </c>
      <c r="AN73" s="1" t="b">
        <f>INDEX(Parametri!$G18:$M18,1,WEEKDAY(INT(H73),2))=1</f>
        <v>0</v>
      </c>
      <c r="AO73">
        <f>COUNTIFS(PersonalExceptions[Colonna],1,PersonalExceptions[Dal],"&lt;="&amp;INT(B73),PersonalExceptions[Al],"&gt;="&amp;INT(B73),PersonalExceptions[Active 0/1],1,PersonalExceptions[Effetto],"Rest")</f>
        <v>0</v>
      </c>
      <c r="AP73">
        <f>COUNTIFS(PersonalExceptions[Colonna],2,PersonalExceptions[Dal],"&lt;="&amp;INT(C73),PersonalExceptions[Al],"&gt;="&amp;INT(C73),PersonalExceptions[Active 0/1],1,PersonalExceptions[Effetto],"Rest")</f>
        <v>0</v>
      </c>
      <c r="AQ73">
        <f>COUNTIFS(PersonalExceptions[Colonna],3,PersonalExceptions[Dal],"&lt;="&amp;INT(D73),PersonalExceptions[Al],"&gt;="&amp;INT(D73),PersonalExceptions[Active 0/1],1,PersonalExceptions[Effetto],"Rest")</f>
        <v>0</v>
      </c>
      <c r="AR73">
        <f>COUNTIFS(PersonalExceptions[Colonna],4,PersonalExceptions[Dal],"&lt;="&amp;INT(E73),PersonalExceptions[Al],"&gt;="&amp;INT(E73),PersonalExceptions[Active 0/1],1,PersonalExceptions[Effetto],"Rest")</f>
        <v>0</v>
      </c>
      <c r="AS73">
        <f>COUNTIFS(PersonalExceptions[Colonna],5,PersonalExceptions[Dal],"&lt;="&amp;INT(F73),PersonalExceptions[Al],"&gt;="&amp;INT(F73),PersonalExceptions[Active 0/1],1,PersonalExceptions[Effetto],"Rest")</f>
        <v>0</v>
      </c>
      <c r="AT73">
        <f>COUNTIFS(PersonalExceptions[Colonna],6,PersonalExceptions[Dal],"&lt;="&amp;INT(G73),PersonalExceptions[Al],"&gt;="&amp;INT(G73),PersonalExceptions[Active 0/1],1,PersonalExceptions[Effetto],"Rest")</f>
        <v>0</v>
      </c>
      <c r="AU73">
        <f>COUNTIFS(PersonalExceptions[Colonna],7,PersonalExceptions[Dal],"&lt;="&amp;INT(H73),PersonalExceptions[Al],"&gt;="&amp;INT(H73),PersonalExceptions[Active 0/1],1,PersonalExceptions[Effetto],"Rest")</f>
        <v>0</v>
      </c>
      <c r="AW73">
        <f>COUNTIFS(PersonalExceptions[Colonna],1,PersonalExceptions[Dal],"&lt;="&amp;INT(B73),PersonalExceptions[Al],"&gt;="&amp;INT(B73),PersonalExceptions[Active 0/1],1,PersonalExceptions[Effetto],"Activity")</f>
        <v>0</v>
      </c>
      <c r="AX73">
        <f>COUNTIFS(PersonalExceptions[Colonna],2,PersonalExceptions[Dal],"&lt;="&amp;INT(C73),PersonalExceptions[Al],"&gt;="&amp;INT(C73),PersonalExceptions[Active 0/1],1,PersonalExceptions[Effetto],"Activity")</f>
        <v>0</v>
      </c>
      <c r="AY73">
        <f>COUNTIFS(PersonalExceptions[Colonna],3,PersonalExceptions[Dal],"&lt;="&amp;INT(D73),PersonalExceptions[Al],"&gt;="&amp;INT(D73),PersonalExceptions[Active 0/1],1,PersonalExceptions[Effetto],"Activity")</f>
        <v>0</v>
      </c>
      <c r="AZ73">
        <f>COUNTIFS(PersonalExceptions[Colonna],4,PersonalExceptions[Dal],"&lt;="&amp;INT(E73),PersonalExceptions[Al],"&gt;="&amp;INT(E73),PersonalExceptions[Active 0/1],1,PersonalExceptions[Effetto],"Activity")</f>
        <v>0</v>
      </c>
      <c r="BA73">
        <f>COUNTIFS(PersonalExceptions[Colonna],5,PersonalExceptions[Dal],"&lt;="&amp;INT(F73),PersonalExceptions[Al],"&gt;="&amp;INT(F73),PersonalExceptions[Active 0/1],1,PersonalExceptions[Effetto],"Activity")</f>
        <v>0</v>
      </c>
      <c r="BB73">
        <f>COUNTIFS(PersonalExceptions[Colonna],6,PersonalExceptions[Dal],"&lt;="&amp;INT(G73),PersonalExceptions[Al],"&gt;="&amp;INT(G73),PersonalExceptions[Active 0/1],1,PersonalExceptions[Effetto],"Activity")</f>
        <v>0</v>
      </c>
      <c r="BC73">
        <f>COUNTIFS(PersonalExceptions[Colonna],7,PersonalExceptions[Dal],"&lt;="&amp;INT(H73),PersonalExceptions[Al],"&gt;="&amp;INT(H73),PersonalExceptions[Active 0/1],1,PersonalExceptions[Effetto],"Activity")</f>
        <v>0</v>
      </c>
      <c r="BE73">
        <f>IF(Planner!B$10="Nessuno",0,COUNTIFS(ImportedHolidays[Calendar],Planner!B$10,ImportedHolidays[Date],INT(B73),ImportedHolidays[Active],1,ImportedHolidays[Kind],"WORKDAY"))</f>
        <v>0</v>
      </c>
      <c r="BF73">
        <f>IF(Planner!C$10="Nessuno",0,COUNTIFS(ImportedHolidays[Calendar],Planner!C$10,ImportedHolidays[Date],INT(C73),ImportedHolidays[Active],1,ImportedHolidays[Kind],"WORKDAY"))</f>
        <v>0</v>
      </c>
      <c r="BG73">
        <f>IF(Planner!D$10="Nessuno",0,COUNTIFS(ImportedHolidays[Calendar],Planner!D$10,ImportedHolidays[Date],INT(D73),ImportedHolidays[Active],1,ImportedHolidays[Kind],"WORKDAY"))</f>
        <v>0</v>
      </c>
      <c r="BH73">
        <f>IF(Planner!E$10="Nessuno",0,COUNTIFS(ImportedHolidays[Calendar],Planner!E$10,ImportedHolidays[Date],INT(E73),ImportedHolidays[Active],1,ImportedHolidays[Kind],"WORKDAY"))</f>
        <v>0</v>
      </c>
      <c r="BI73">
        <f>IF(Planner!F$10="Nessuno",0,COUNTIFS(ImportedHolidays[Calendar],Planner!F$10,ImportedHolidays[Date],INT(F73),ImportedHolidays[Active],1,ImportedHolidays[Kind],"WORKDAY"))</f>
        <v>0</v>
      </c>
      <c r="BJ73">
        <f>IF(Planner!G$10="Nessuno",0,COUNTIFS(ImportedHolidays[Calendar],Planner!G$10,ImportedHolidays[Date],INT(G73),ImportedHolidays[Active],1,ImportedHolidays[Kind],"WORKDAY"))</f>
        <v>0</v>
      </c>
      <c r="BK73">
        <f>IF(Planner!H$10="Nessuno",0,COUNTIFS(ImportedHolidays[Calendar],Planner!H$10,ImportedHolidays[Date],INT(H73),ImportedHolidays[Active],1,ImportedHolidays[Kind],"WORKDAY"))</f>
        <v>0</v>
      </c>
      <c r="BM73">
        <f>IF(MOD(J73-B$11,1440)&lt;B$12,2,IF(OR(MOD(J73-B$11,1440)&lt;B$12+ROUND(Planner!$D$5*60,0),MOD(J73-B$11,1440)&gt;=1440-ROUND(Planner!$B$5*60,0)),1,0))</f>
        <v>2</v>
      </c>
      <c r="BN73">
        <f>IF(MOD(K73-C$11,1440)&lt;C$12,2,IF(OR(MOD(K73-C$11,1440)&lt;C$12+ROUND(Planner!$D$5*60,0),MOD(K73-C$11,1440)&gt;=1440-ROUND(Planner!$B$5*60,0)),1,0))</f>
        <v>2</v>
      </c>
      <c r="BO73">
        <f>IF(MOD(L73-D$11,1440)&lt;D$12,2,IF(OR(MOD(L73-D$11,1440)&lt;D$12+ROUND(Planner!$D$5*60,0),MOD(L73-D$11,1440)&gt;=1440-ROUND(Planner!$B$5*60,0)),1,0))</f>
        <v>2</v>
      </c>
      <c r="BP73">
        <f>IF(MOD(M73-E$11,1440)&lt;E$12,2,IF(OR(MOD(M73-E$11,1440)&lt;E$12+ROUND(Planner!$D$5*60,0),MOD(M73-E$11,1440)&gt;=1440-ROUND(Planner!$B$5*60,0)),1,0))</f>
        <v>2</v>
      </c>
      <c r="BQ73">
        <f>IF(MOD(N73-F$11,1440)&lt;F$12,2,IF(OR(MOD(N73-F$11,1440)&lt;F$12+ROUND(Planner!$D$5*60,0),MOD(N73-F$11,1440)&gt;=1440-ROUND(Planner!$B$5*60,0)),1,0))</f>
        <v>2</v>
      </c>
      <c r="BR73">
        <f>IF(MOD(O73-G$11,1440)&lt;G$12,2,IF(OR(MOD(O73-G$11,1440)&lt;G$12+ROUND(Planner!$D$5*60,0),MOD(O73-G$11,1440)&gt;=1440-ROUND(Planner!$B$5*60,0)),1,0))</f>
        <v>0</v>
      </c>
      <c r="BS73">
        <f>IF(MOD(P73-H$11,1440)&lt;H$12,2,IF(OR(MOD(P73-H$11,1440)&lt;H$12+ROUND(Planner!$D$5*60,0),MOD(P73-H$11,1440)&gt;=1440-ROUND(Planner!$B$5*60,0)),1,0))</f>
        <v>0</v>
      </c>
    </row>
    <row r="74" spans="1:71">
      <c r="A74" s="22">
        <f>ROUND(($B$6+33*Planner!$F$4/1440)*1440,0)/1440</f>
        <v>46289.395833333336</v>
      </c>
      <c r="B74" s="22">
        <f>IF(COUNTIFS(ZonePeriods[Code],Planner!B$9,ZonePeriods[FromUtc],"&lt;="&amp;$A74,ZonePeriods[UntilUtc],"&gt;"&amp;$A74)=1,ROUND(($A74+SUMIFS(ZonePeriods[OffsetHours],ZonePeriods[Code],Planner!B$9,ZonePeriods[FromUtc],"&lt;="&amp;$A74,ZonePeriods[UntilUtc],"&gt;"&amp;$A74)/24)*1440,0)/1440,NA())</f>
        <v>46289.6875</v>
      </c>
      <c r="C74" s="22">
        <f>IF(COUNTIFS(ZonePeriods[Code],Planner!C$9,ZonePeriods[FromUtc],"&lt;="&amp;$A74,ZonePeriods[UntilUtc],"&gt;"&amp;$A74)=1,ROUND(($A74+SUMIFS(ZonePeriods[OffsetHours],ZonePeriods[Code],Planner!C$9,ZonePeriods[FromUtc],"&lt;="&amp;$A74,ZonePeriods[UntilUtc],"&gt;"&amp;$A74)/24)*1440,0)/1440,NA())</f>
        <v>46289.625</v>
      </c>
      <c r="D74" s="22">
        <f>IF(COUNTIFS(ZonePeriods[Code],Planner!D$9,ZonePeriods[FromUtc],"&lt;="&amp;$A74,ZonePeriods[UntilUtc],"&gt;"&amp;$A74)=1,ROUND(($A74+SUMIFS(ZonePeriods[OffsetHours],ZonePeriods[Code],Planner!D$9,ZonePeriods[FromUtc],"&lt;="&amp;$A74,ZonePeriods[UntilUtc],"&gt;"&amp;$A74)/24)*1440,0)/1440,NA())</f>
        <v>46289.520833333336</v>
      </c>
      <c r="E74" s="22">
        <f>IF(COUNTIFS(ZonePeriods[Code],Planner!E$9,ZonePeriods[FromUtc],"&lt;="&amp;$A74,ZonePeriods[UntilUtc],"&gt;"&amp;$A74)=1,ROUND(($A74+SUMIFS(ZonePeriods[OffsetHours],ZonePeriods[Code],Planner!E$9,ZonePeriods[FromUtc],"&lt;="&amp;$A74,ZonePeriods[UntilUtc],"&gt;"&amp;$A74)/24)*1440,0)/1440,NA())</f>
        <v>46289.479166666664</v>
      </c>
      <c r="F74" s="22">
        <f>IF(COUNTIFS(ZonePeriods[Code],Planner!F$9,ZonePeriods[FromUtc],"&lt;="&amp;$A74,ZonePeriods[UntilUtc],"&gt;"&amp;$A74)=1,ROUND(($A74+SUMIFS(ZonePeriods[OffsetHours],ZonePeriods[Code],Planner!F$9,ZonePeriods[FromUtc],"&lt;="&amp;$A74,ZonePeriods[UntilUtc],"&gt;"&amp;$A74)/24)*1440,0)/1440,NA())</f>
        <v>46289.4375</v>
      </c>
      <c r="G74" s="22">
        <f>IF(COUNTIFS(ZonePeriods[Code],Planner!G$9,ZonePeriods[FromUtc],"&lt;="&amp;$A74,ZonePeriods[UntilUtc],"&gt;"&amp;$A74)=1,ROUND(($A74+SUMIFS(ZonePeriods[OffsetHours],ZonePeriods[Code],Planner!G$9,ZonePeriods[FromUtc],"&lt;="&amp;$A74,ZonePeriods[UntilUtc],"&gt;"&amp;$A74)/24)*1440,0)/1440,NA())</f>
        <v>46289.229166666664</v>
      </c>
      <c r="H74" s="22">
        <f>IF(COUNTIFS(ZonePeriods[Code],Planner!H$9,ZonePeriods[FromUtc],"&lt;="&amp;$A74,ZonePeriods[UntilUtc],"&gt;"&amp;$A74)=1,ROUND(($A74+SUMIFS(ZonePeriods[OffsetHours],ZonePeriods[Code],Planner!H$9,ZonePeriods[FromUtc],"&lt;="&amp;$A74,ZonePeriods[UntilUtc],"&gt;"&amp;$A74)/24)*1440,0)/1440,NA())</f>
        <v>46289.104166666664</v>
      </c>
      <c r="I74" s="1"/>
      <c r="J74" s="1">
        <f t="shared" si="14"/>
        <v>990</v>
      </c>
      <c r="K74" s="1">
        <f t="shared" si="15"/>
        <v>900</v>
      </c>
      <c r="L74" s="1">
        <f t="shared" si="16"/>
        <v>750</v>
      </c>
      <c r="M74" s="1">
        <f t="shared" si="17"/>
        <v>690</v>
      </c>
      <c r="N74" s="1">
        <f t="shared" si="18"/>
        <v>630</v>
      </c>
      <c r="O74" s="1">
        <f t="shared" si="19"/>
        <v>330</v>
      </c>
      <c r="P74" s="1">
        <f t="shared" si="20"/>
        <v>150</v>
      </c>
      <c r="Q74" s="1"/>
      <c r="R74" s="1">
        <f t="shared" si="21"/>
        <v>2</v>
      </c>
      <c r="S74" s="1">
        <f t="shared" si="22"/>
        <v>2</v>
      </c>
      <c r="T74" s="1">
        <f t="shared" si="23"/>
        <v>2</v>
      </c>
      <c r="U74" s="1">
        <f t="shared" si="24"/>
        <v>2</v>
      </c>
      <c r="V74" s="1">
        <f t="shared" si="25"/>
        <v>2</v>
      </c>
      <c r="W74" s="1">
        <f t="shared" si="26"/>
        <v>0</v>
      </c>
      <c r="X74" s="1">
        <f t="shared" si="27"/>
        <v>0</v>
      </c>
      <c r="Y74" s="1"/>
      <c r="Z74" s="1">
        <f>IF(Planner!B$10="Nessuno",0,COUNTIFS(HolidayDates[Calendar],Planner!B$10,HolidayDates[Local date],INT(B74),HolidayDates[Active 0/1],1)+COUNTIFS(ImportedHolidays[Calendar],Planner!B$10,ImportedHolidays[Date],INT(B74),ImportedHolidays[Active],1,ImportedHolidays[Kind],"HOLIDAY"))</f>
        <v>0</v>
      </c>
      <c r="AA74" s="1">
        <f>IF(Planner!C$10="Nessuno",0,COUNTIFS(HolidayDates[Calendar],Planner!C$10,HolidayDates[Local date],INT(C74),HolidayDates[Active 0/1],1)+COUNTIFS(ImportedHolidays[Calendar],Planner!C$10,ImportedHolidays[Date],INT(C74),ImportedHolidays[Active],1,ImportedHolidays[Kind],"HOLIDAY"))</f>
        <v>0</v>
      </c>
      <c r="AB74" s="1">
        <f>IF(Planner!D$10="Nessuno",0,COUNTIFS(HolidayDates[Calendar],Planner!D$10,HolidayDates[Local date],INT(D74),HolidayDates[Active 0/1],1)+COUNTIFS(ImportedHolidays[Calendar],Planner!D$10,ImportedHolidays[Date],INT(D74),ImportedHolidays[Active],1,ImportedHolidays[Kind],"HOLIDAY"))</f>
        <v>0</v>
      </c>
      <c r="AC74" s="1">
        <f>IF(Planner!E$10="Nessuno",0,COUNTIFS(HolidayDates[Calendar],Planner!E$10,HolidayDates[Local date],INT(E74),HolidayDates[Active 0/1],1)+COUNTIFS(ImportedHolidays[Calendar],Planner!E$10,ImportedHolidays[Date],INT(E74),ImportedHolidays[Active],1,ImportedHolidays[Kind],"HOLIDAY"))</f>
        <v>0</v>
      </c>
      <c r="AD74" s="1">
        <f>IF(Planner!F$10="Nessuno",0,COUNTIFS(HolidayDates[Calendar],Planner!F$10,HolidayDates[Local date],INT(F74),HolidayDates[Active 0/1],1)+COUNTIFS(ImportedHolidays[Calendar],Planner!F$10,ImportedHolidays[Date],INT(F74),ImportedHolidays[Active],1,ImportedHolidays[Kind],"HOLIDAY"))</f>
        <v>0</v>
      </c>
      <c r="AE74" s="1">
        <f>IF(Planner!G$10="Nessuno",0,COUNTIFS(HolidayDates[Calendar],Planner!G$10,HolidayDates[Local date],INT(G74),HolidayDates[Active 0/1],1)+COUNTIFS(ImportedHolidays[Calendar],Planner!G$10,ImportedHolidays[Date],INT(G74),ImportedHolidays[Active],1,ImportedHolidays[Kind],"HOLIDAY"))</f>
        <v>0</v>
      </c>
      <c r="AF74" s="1">
        <f>IF(Planner!H$10="Nessuno",0,COUNTIFS(HolidayDates[Calendar],Planner!H$10,HolidayDates[Local date],INT(H74),HolidayDates[Active 0/1],1)+COUNTIFS(ImportedHolidays[Calendar],Planner!H$10,ImportedHolidays[Date],INT(H74),ImportedHolidays[Active],1,ImportedHolidays[Kind],"HOLIDAY"))</f>
        <v>0</v>
      </c>
      <c r="AG74" s="1"/>
      <c r="AH74" s="1" t="b">
        <f>INDEX(Parametri!$G12:$M12,1,WEEKDAY(INT(B74),2))=1</f>
        <v>0</v>
      </c>
      <c r="AI74" s="1" t="b">
        <f>INDEX(Parametri!$G13:$M13,1,WEEKDAY(INT(C74),2))=1</f>
        <v>0</v>
      </c>
      <c r="AJ74" s="1" t="b">
        <f>INDEX(Parametri!$G14:$M14,1,WEEKDAY(INT(D74),2))=1</f>
        <v>0</v>
      </c>
      <c r="AK74" s="1" t="b">
        <f>INDEX(Parametri!$G15:$M15,1,WEEKDAY(INT(E74),2))=1</f>
        <v>0</v>
      </c>
      <c r="AL74" s="1" t="b">
        <f>INDEX(Parametri!$G16:$M16,1,WEEKDAY(INT(F74),2))=1</f>
        <v>0</v>
      </c>
      <c r="AM74" s="1" t="b">
        <f>INDEX(Parametri!$G17:$M17,1,WEEKDAY(INT(G74),2))=1</f>
        <v>0</v>
      </c>
      <c r="AN74" s="1" t="b">
        <f>INDEX(Parametri!$G18:$M18,1,WEEKDAY(INT(H74),2))=1</f>
        <v>0</v>
      </c>
      <c r="AO74">
        <f>COUNTIFS(PersonalExceptions[Colonna],1,PersonalExceptions[Dal],"&lt;="&amp;INT(B74),PersonalExceptions[Al],"&gt;="&amp;INT(B74),PersonalExceptions[Active 0/1],1,PersonalExceptions[Effetto],"Rest")</f>
        <v>0</v>
      </c>
      <c r="AP74">
        <f>COUNTIFS(PersonalExceptions[Colonna],2,PersonalExceptions[Dal],"&lt;="&amp;INT(C74),PersonalExceptions[Al],"&gt;="&amp;INT(C74),PersonalExceptions[Active 0/1],1,PersonalExceptions[Effetto],"Rest")</f>
        <v>0</v>
      </c>
      <c r="AQ74">
        <f>COUNTIFS(PersonalExceptions[Colonna],3,PersonalExceptions[Dal],"&lt;="&amp;INT(D74),PersonalExceptions[Al],"&gt;="&amp;INT(D74),PersonalExceptions[Active 0/1],1,PersonalExceptions[Effetto],"Rest")</f>
        <v>0</v>
      </c>
      <c r="AR74">
        <f>COUNTIFS(PersonalExceptions[Colonna],4,PersonalExceptions[Dal],"&lt;="&amp;INT(E74),PersonalExceptions[Al],"&gt;="&amp;INT(E74),PersonalExceptions[Active 0/1],1,PersonalExceptions[Effetto],"Rest")</f>
        <v>0</v>
      </c>
      <c r="AS74">
        <f>COUNTIFS(PersonalExceptions[Colonna],5,PersonalExceptions[Dal],"&lt;="&amp;INT(F74),PersonalExceptions[Al],"&gt;="&amp;INT(F74),PersonalExceptions[Active 0/1],1,PersonalExceptions[Effetto],"Rest")</f>
        <v>0</v>
      </c>
      <c r="AT74">
        <f>COUNTIFS(PersonalExceptions[Colonna],6,PersonalExceptions[Dal],"&lt;="&amp;INT(G74),PersonalExceptions[Al],"&gt;="&amp;INT(G74),PersonalExceptions[Active 0/1],1,PersonalExceptions[Effetto],"Rest")</f>
        <v>0</v>
      </c>
      <c r="AU74">
        <f>COUNTIFS(PersonalExceptions[Colonna],7,PersonalExceptions[Dal],"&lt;="&amp;INT(H74),PersonalExceptions[Al],"&gt;="&amp;INT(H74),PersonalExceptions[Active 0/1],1,PersonalExceptions[Effetto],"Rest")</f>
        <v>0</v>
      </c>
      <c r="AW74">
        <f>COUNTIFS(PersonalExceptions[Colonna],1,PersonalExceptions[Dal],"&lt;="&amp;INT(B74),PersonalExceptions[Al],"&gt;="&amp;INT(B74),PersonalExceptions[Active 0/1],1,PersonalExceptions[Effetto],"Activity")</f>
        <v>0</v>
      </c>
      <c r="AX74">
        <f>COUNTIFS(PersonalExceptions[Colonna],2,PersonalExceptions[Dal],"&lt;="&amp;INT(C74),PersonalExceptions[Al],"&gt;="&amp;INT(C74),PersonalExceptions[Active 0/1],1,PersonalExceptions[Effetto],"Activity")</f>
        <v>0</v>
      </c>
      <c r="AY74">
        <f>COUNTIFS(PersonalExceptions[Colonna],3,PersonalExceptions[Dal],"&lt;="&amp;INT(D74),PersonalExceptions[Al],"&gt;="&amp;INT(D74),PersonalExceptions[Active 0/1],1,PersonalExceptions[Effetto],"Activity")</f>
        <v>0</v>
      </c>
      <c r="AZ74">
        <f>COUNTIFS(PersonalExceptions[Colonna],4,PersonalExceptions[Dal],"&lt;="&amp;INT(E74),PersonalExceptions[Al],"&gt;="&amp;INT(E74),PersonalExceptions[Active 0/1],1,PersonalExceptions[Effetto],"Activity")</f>
        <v>0</v>
      </c>
      <c r="BA74">
        <f>COUNTIFS(PersonalExceptions[Colonna],5,PersonalExceptions[Dal],"&lt;="&amp;INT(F74),PersonalExceptions[Al],"&gt;="&amp;INT(F74),PersonalExceptions[Active 0/1],1,PersonalExceptions[Effetto],"Activity")</f>
        <v>0</v>
      </c>
      <c r="BB74">
        <f>COUNTIFS(PersonalExceptions[Colonna],6,PersonalExceptions[Dal],"&lt;="&amp;INT(G74),PersonalExceptions[Al],"&gt;="&amp;INT(G74),PersonalExceptions[Active 0/1],1,PersonalExceptions[Effetto],"Activity")</f>
        <v>0</v>
      </c>
      <c r="BC74">
        <f>COUNTIFS(PersonalExceptions[Colonna],7,PersonalExceptions[Dal],"&lt;="&amp;INT(H74),PersonalExceptions[Al],"&gt;="&amp;INT(H74),PersonalExceptions[Active 0/1],1,PersonalExceptions[Effetto],"Activity")</f>
        <v>0</v>
      </c>
      <c r="BE74">
        <f>IF(Planner!B$10="Nessuno",0,COUNTIFS(ImportedHolidays[Calendar],Planner!B$10,ImportedHolidays[Date],INT(B74),ImportedHolidays[Active],1,ImportedHolidays[Kind],"WORKDAY"))</f>
        <v>0</v>
      </c>
      <c r="BF74">
        <f>IF(Planner!C$10="Nessuno",0,COUNTIFS(ImportedHolidays[Calendar],Planner!C$10,ImportedHolidays[Date],INT(C74),ImportedHolidays[Active],1,ImportedHolidays[Kind],"WORKDAY"))</f>
        <v>0</v>
      </c>
      <c r="BG74">
        <f>IF(Planner!D$10="Nessuno",0,COUNTIFS(ImportedHolidays[Calendar],Planner!D$10,ImportedHolidays[Date],INT(D74),ImportedHolidays[Active],1,ImportedHolidays[Kind],"WORKDAY"))</f>
        <v>0</v>
      </c>
      <c r="BH74">
        <f>IF(Planner!E$10="Nessuno",0,COUNTIFS(ImportedHolidays[Calendar],Planner!E$10,ImportedHolidays[Date],INT(E74),ImportedHolidays[Active],1,ImportedHolidays[Kind],"WORKDAY"))</f>
        <v>0</v>
      </c>
      <c r="BI74">
        <f>IF(Planner!F$10="Nessuno",0,COUNTIFS(ImportedHolidays[Calendar],Planner!F$10,ImportedHolidays[Date],INT(F74),ImportedHolidays[Active],1,ImportedHolidays[Kind],"WORKDAY"))</f>
        <v>0</v>
      </c>
      <c r="BJ74">
        <f>IF(Planner!G$10="Nessuno",0,COUNTIFS(ImportedHolidays[Calendar],Planner!G$10,ImportedHolidays[Date],INT(G74),ImportedHolidays[Active],1,ImportedHolidays[Kind],"WORKDAY"))</f>
        <v>0</v>
      </c>
      <c r="BK74">
        <f>IF(Planner!H$10="Nessuno",0,COUNTIFS(ImportedHolidays[Calendar],Planner!H$10,ImportedHolidays[Date],INT(H74),ImportedHolidays[Active],1,ImportedHolidays[Kind],"WORKDAY"))</f>
        <v>0</v>
      </c>
      <c r="BM74">
        <f>IF(MOD(J74-B$11,1440)&lt;B$12,2,IF(OR(MOD(J74-B$11,1440)&lt;B$12+ROUND(Planner!$D$5*60,0),MOD(J74-B$11,1440)&gt;=1440-ROUND(Planner!$B$5*60,0)),1,0))</f>
        <v>2</v>
      </c>
      <c r="BN74">
        <f>IF(MOD(K74-C$11,1440)&lt;C$12,2,IF(OR(MOD(K74-C$11,1440)&lt;C$12+ROUND(Planner!$D$5*60,0),MOD(K74-C$11,1440)&gt;=1440-ROUND(Planner!$B$5*60,0)),1,0))</f>
        <v>2</v>
      </c>
      <c r="BO74">
        <f>IF(MOD(L74-D$11,1440)&lt;D$12,2,IF(OR(MOD(L74-D$11,1440)&lt;D$12+ROUND(Planner!$D$5*60,0),MOD(L74-D$11,1440)&gt;=1440-ROUND(Planner!$B$5*60,0)),1,0))</f>
        <v>2</v>
      </c>
      <c r="BP74">
        <f>IF(MOD(M74-E$11,1440)&lt;E$12,2,IF(OR(MOD(M74-E$11,1440)&lt;E$12+ROUND(Planner!$D$5*60,0),MOD(M74-E$11,1440)&gt;=1440-ROUND(Planner!$B$5*60,0)),1,0))</f>
        <v>2</v>
      </c>
      <c r="BQ74">
        <f>IF(MOD(N74-F$11,1440)&lt;F$12,2,IF(OR(MOD(N74-F$11,1440)&lt;F$12+ROUND(Planner!$D$5*60,0),MOD(N74-F$11,1440)&gt;=1440-ROUND(Planner!$B$5*60,0)),1,0))</f>
        <v>2</v>
      </c>
      <c r="BR74">
        <f>IF(MOD(O74-G$11,1440)&lt;G$12,2,IF(OR(MOD(O74-G$11,1440)&lt;G$12+ROUND(Planner!$D$5*60,0),MOD(O74-G$11,1440)&gt;=1440-ROUND(Planner!$B$5*60,0)),1,0))</f>
        <v>0</v>
      </c>
      <c r="BS74">
        <f>IF(MOD(P74-H$11,1440)&lt;H$12,2,IF(OR(MOD(P74-H$11,1440)&lt;H$12+ROUND(Planner!$D$5*60,0),MOD(P74-H$11,1440)&gt;=1440-ROUND(Planner!$B$5*60,0)),1,0))</f>
        <v>0</v>
      </c>
    </row>
    <row r="75" spans="1:71">
      <c r="A75" s="22">
        <f>ROUND(($B$6+34*Planner!$F$4/1440)*1440,0)/1440</f>
        <v>46289.416666666664</v>
      </c>
      <c r="B75" s="22">
        <f>IF(COUNTIFS(ZonePeriods[Code],Planner!B$9,ZonePeriods[FromUtc],"&lt;="&amp;$A75,ZonePeriods[UntilUtc],"&gt;"&amp;$A75)=1,ROUND(($A75+SUMIFS(ZonePeriods[OffsetHours],ZonePeriods[Code],Planner!B$9,ZonePeriods[FromUtc],"&lt;="&amp;$A75,ZonePeriods[UntilUtc],"&gt;"&amp;$A75)/24)*1440,0)/1440,NA())</f>
        <v>46289.708333333336</v>
      </c>
      <c r="C75" s="22">
        <f>IF(COUNTIFS(ZonePeriods[Code],Planner!C$9,ZonePeriods[FromUtc],"&lt;="&amp;$A75,ZonePeriods[UntilUtc],"&gt;"&amp;$A75)=1,ROUND(($A75+SUMIFS(ZonePeriods[OffsetHours],ZonePeriods[Code],Planner!C$9,ZonePeriods[FromUtc],"&lt;="&amp;$A75,ZonePeriods[UntilUtc],"&gt;"&amp;$A75)/24)*1440,0)/1440,NA())</f>
        <v>46289.645833333336</v>
      </c>
      <c r="D75" s="22">
        <f>IF(COUNTIFS(ZonePeriods[Code],Planner!D$9,ZonePeriods[FromUtc],"&lt;="&amp;$A75,ZonePeriods[UntilUtc],"&gt;"&amp;$A75)=1,ROUND(($A75+SUMIFS(ZonePeriods[OffsetHours],ZonePeriods[Code],Planner!D$9,ZonePeriods[FromUtc],"&lt;="&amp;$A75,ZonePeriods[UntilUtc],"&gt;"&amp;$A75)/24)*1440,0)/1440,NA())</f>
        <v>46289.541666666664</v>
      </c>
      <c r="E75" s="22">
        <f>IF(COUNTIFS(ZonePeriods[Code],Planner!E$9,ZonePeriods[FromUtc],"&lt;="&amp;$A75,ZonePeriods[UntilUtc],"&gt;"&amp;$A75)=1,ROUND(($A75+SUMIFS(ZonePeriods[OffsetHours],ZonePeriods[Code],Planner!E$9,ZonePeriods[FromUtc],"&lt;="&amp;$A75,ZonePeriods[UntilUtc],"&gt;"&amp;$A75)/24)*1440,0)/1440,NA())</f>
        <v>46289.5</v>
      </c>
      <c r="F75" s="22">
        <f>IF(COUNTIFS(ZonePeriods[Code],Planner!F$9,ZonePeriods[FromUtc],"&lt;="&amp;$A75,ZonePeriods[UntilUtc],"&gt;"&amp;$A75)=1,ROUND(($A75+SUMIFS(ZonePeriods[OffsetHours],ZonePeriods[Code],Planner!F$9,ZonePeriods[FromUtc],"&lt;="&amp;$A75,ZonePeriods[UntilUtc],"&gt;"&amp;$A75)/24)*1440,0)/1440,NA())</f>
        <v>46289.458333333336</v>
      </c>
      <c r="G75" s="22">
        <f>IF(COUNTIFS(ZonePeriods[Code],Planner!G$9,ZonePeriods[FromUtc],"&lt;="&amp;$A75,ZonePeriods[UntilUtc],"&gt;"&amp;$A75)=1,ROUND(($A75+SUMIFS(ZonePeriods[OffsetHours],ZonePeriods[Code],Planner!G$9,ZonePeriods[FromUtc],"&lt;="&amp;$A75,ZonePeriods[UntilUtc],"&gt;"&amp;$A75)/24)*1440,0)/1440,NA())</f>
        <v>46289.25</v>
      </c>
      <c r="H75" s="22">
        <f>IF(COUNTIFS(ZonePeriods[Code],Planner!H$9,ZonePeriods[FromUtc],"&lt;="&amp;$A75,ZonePeriods[UntilUtc],"&gt;"&amp;$A75)=1,ROUND(($A75+SUMIFS(ZonePeriods[OffsetHours],ZonePeriods[Code],Planner!H$9,ZonePeriods[FromUtc],"&lt;="&amp;$A75,ZonePeriods[UntilUtc],"&gt;"&amp;$A75)/24)*1440,0)/1440,NA())</f>
        <v>46289.125</v>
      </c>
      <c r="I75" s="1"/>
      <c r="J75" s="1">
        <f t="shared" si="14"/>
        <v>1020</v>
      </c>
      <c r="K75" s="1">
        <f t="shared" si="15"/>
        <v>930</v>
      </c>
      <c r="L75" s="1">
        <f t="shared" si="16"/>
        <v>780</v>
      </c>
      <c r="M75" s="1">
        <f t="shared" si="17"/>
        <v>720</v>
      </c>
      <c r="N75" s="1">
        <f t="shared" si="18"/>
        <v>660</v>
      </c>
      <c r="O75" s="1">
        <f t="shared" si="19"/>
        <v>360</v>
      </c>
      <c r="P75" s="1">
        <f t="shared" si="20"/>
        <v>180</v>
      </c>
      <c r="Q75" s="1"/>
      <c r="R75" s="1">
        <f t="shared" si="21"/>
        <v>2</v>
      </c>
      <c r="S75" s="1">
        <f t="shared" si="22"/>
        <v>2</v>
      </c>
      <c r="T75" s="1">
        <f t="shared" si="23"/>
        <v>2</v>
      </c>
      <c r="U75" s="1">
        <f t="shared" si="24"/>
        <v>2</v>
      </c>
      <c r="V75" s="1">
        <f t="shared" si="25"/>
        <v>2</v>
      </c>
      <c r="W75" s="1">
        <f t="shared" si="26"/>
        <v>0</v>
      </c>
      <c r="X75" s="1">
        <f t="shared" si="27"/>
        <v>0</v>
      </c>
      <c r="Y75" s="1"/>
      <c r="Z75" s="1">
        <f>IF(Planner!B$10="Nessuno",0,COUNTIFS(HolidayDates[Calendar],Planner!B$10,HolidayDates[Local date],INT(B75),HolidayDates[Active 0/1],1)+COUNTIFS(ImportedHolidays[Calendar],Planner!B$10,ImportedHolidays[Date],INT(B75),ImportedHolidays[Active],1,ImportedHolidays[Kind],"HOLIDAY"))</f>
        <v>0</v>
      </c>
      <c r="AA75" s="1">
        <f>IF(Planner!C$10="Nessuno",0,COUNTIFS(HolidayDates[Calendar],Planner!C$10,HolidayDates[Local date],INT(C75),HolidayDates[Active 0/1],1)+COUNTIFS(ImportedHolidays[Calendar],Planner!C$10,ImportedHolidays[Date],INT(C75),ImportedHolidays[Active],1,ImportedHolidays[Kind],"HOLIDAY"))</f>
        <v>0</v>
      </c>
      <c r="AB75" s="1">
        <f>IF(Planner!D$10="Nessuno",0,COUNTIFS(HolidayDates[Calendar],Planner!D$10,HolidayDates[Local date],INT(D75),HolidayDates[Active 0/1],1)+COUNTIFS(ImportedHolidays[Calendar],Planner!D$10,ImportedHolidays[Date],INT(D75),ImportedHolidays[Active],1,ImportedHolidays[Kind],"HOLIDAY"))</f>
        <v>0</v>
      </c>
      <c r="AC75" s="1">
        <f>IF(Planner!E$10="Nessuno",0,COUNTIFS(HolidayDates[Calendar],Planner!E$10,HolidayDates[Local date],INT(E75),HolidayDates[Active 0/1],1)+COUNTIFS(ImportedHolidays[Calendar],Planner!E$10,ImportedHolidays[Date],INT(E75),ImportedHolidays[Active],1,ImportedHolidays[Kind],"HOLIDAY"))</f>
        <v>0</v>
      </c>
      <c r="AD75" s="1">
        <f>IF(Planner!F$10="Nessuno",0,COUNTIFS(HolidayDates[Calendar],Planner!F$10,HolidayDates[Local date],INT(F75),HolidayDates[Active 0/1],1)+COUNTIFS(ImportedHolidays[Calendar],Planner!F$10,ImportedHolidays[Date],INT(F75),ImportedHolidays[Active],1,ImportedHolidays[Kind],"HOLIDAY"))</f>
        <v>0</v>
      </c>
      <c r="AE75" s="1">
        <f>IF(Planner!G$10="Nessuno",0,COUNTIFS(HolidayDates[Calendar],Planner!G$10,HolidayDates[Local date],INT(G75),HolidayDates[Active 0/1],1)+COUNTIFS(ImportedHolidays[Calendar],Planner!G$10,ImportedHolidays[Date],INT(G75),ImportedHolidays[Active],1,ImportedHolidays[Kind],"HOLIDAY"))</f>
        <v>0</v>
      </c>
      <c r="AF75" s="1">
        <f>IF(Planner!H$10="Nessuno",0,COUNTIFS(HolidayDates[Calendar],Planner!H$10,HolidayDates[Local date],INT(H75),HolidayDates[Active 0/1],1)+COUNTIFS(ImportedHolidays[Calendar],Planner!H$10,ImportedHolidays[Date],INT(H75),ImportedHolidays[Active],1,ImportedHolidays[Kind],"HOLIDAY"))</f>
        <v>0</v>
      </c>
      <c r="AG75" s="1"/>
      <c r="AH75" s="1" t="b">
        <f>INDEX(Parametri!$G12:$M12,1,WEEKDAY(INT(B75),2))=1</f>
        <v>0</v>
      </c>
      <c r="AI75" s="1" t="b">
        <f>INDEX(Parametri!$G13:$M13,1,WEEKDAY(INT(C75),2))=1</f>
        <v>0</v>
      </c>
      <c r="AJ75" s="1" t="b">
        <f>INDEX(Parametri!$G14:$M14,1,WEEKDAY(INT(D75),2))=1</f>
        <v>0</v>
      </c>
      <c r="AK75" s="1" t="b">
        <f>INDEX(Parametri!$G15:$M15,1,WEEKDAY(INT(E75),2))=1</f>
        <v>0</v>
      </c>
      <c r="AL75" s="1" t="b">
        <f>INDEX(Parametri!$G16:$M16,1,WEEKDAY(INT(F75),2))=1</f>
        <v>0</v>
      </c>
      <c r="AM75" s="1" t="b">
        <f>INDEX(Parametri!$G17:$M17,1,WEEKDAY(INT(G75),2))=1</f>
        <v>0</v>
      </c>
      <c r="AN75" s="1" t="b">
        <f>INDEX(Parametri!$G18:$M18,1,WEEKDAY(INT(H75),2))=1</f>
        <v>0</v>
      </c>
      <c r="AO75">
        <f>COUNTIFS(PersonalExceptions[Colonna],1,PersonalExceptions[Dal],"&lt;="&amp;INT(B75),PersonalExceptions[Al],"&gt;="&amp;INT(B75),PersonalExceptions[Active 0/1],1,PersonalExceptions[Effetto],"Rest")</f>
        <v>0</v>
      </c>
      <c r="AP75">
        <f>COUNTIFS(PersonalExceptions[Colonna],2,PersonalExceptions[Dal],"&lt;="&amp;INT(C75),PersonalExceptions[Al],"&gt;="&amp;INT(C75),PersonalExceptions[Active 0/1],1,PersonalExceptions[Effetto],"Rest")</f>
        <v>0</v>
      </c>
      <c r="AQ75">
        <f>COUNTIFS(PersonalExceptions[Colonna],3,PersonalExceptions[Dal],"&lt;="&amp;INT(D75),PersonalExceptions[Al],"&gt;="&amp;INT(D75),PersonalExceptions[Active 0/1],1,PersonalExceptions[Effetto],"Rest")</f>
        <v>0</v>
      </c>
      <c r="AR75">
        <f>COUNTIFS(PersonalExceptions[Colonna],4,PersonalExceptions[Dal],"&lt;="&amp;INT(E75),PersonalExceptions[Al],"&gt;="&amp;INT(E75),PersonalExceptions[Active 0/1],1,PersonalExceptions[Effetto],"Rest")</f>
        <v>0</v>
      </c>
      <c r="AS75">
        <f>COUNTIFS(PersonalExceptions[Colonna],5,PersonalExceptions[Dal],"&lt;="&amp;INT(F75),PersonalExceptions[Al],"&gt;="&amp;INT(F75),PersonalExceptions[Active 0/1],1,PersonalExceptions[Effetto],"Rest")</f>
        <v>0</v>
      </c>
      <c r="AT75">
        <f>COUNTIFS(PersonalExceptions[Colonna],6,PersonalExceptions[Dal],"&lt;="&amp;INT(G75),PersonalExceptions[Al],"&gt;="&amp;INT(G75),PersonalExceptions[Active 0/1],1,PersonalExceptions[Effetto],"Rest")</f>
        <v>0</v>
      </c>
      <c r="AU75">
        <f>COUNTIFS(PersonalExceptions[Colonna],7,PersonalExceptions[Dal],"&lt;="&amp;INT(H75),PersonalExceptions[Al],"&gt;="&amp;INT(H75),PersonalExceptions[Active 0/1],1,PersonalExceptions[Effetto],"Rest")</f>
        <v>0</v>
      </c>
      <c r="AW75">
        <f>COUNTIFS(PersonalExceptions[Colonna],1,PersonalExceptions[Dal],"&lt;="&amp;INT(B75),PersonalExceptions[Al],"&gt;="&amp;INT(B75),PersonalExceptions[Active 0/1],1,PersonalExceptions[Effetto],"Activity")</f>
        <v>0</v>
      </c>
      <c r="AX75">
        <f>COUNTIFS(PersonalExceptions[Colonna],2,PersonalExceptions[Dal],"&lt;="&amp;INT(C75),PersonalExceptions[Al],"&gt;="&amp;INT(C75),PersonalExceptions[Active 0/1],1,PersonalExceptions[Effetto],"Activity")</f>
        <v>0</v>
      </c>
      <c r="AY75">
        <f>COUNTIFS(PersonalExceptions[Colonna],3,PersonalExceptions[Dal],"&lt;="&amp;INT(D75),PersonalExceptions[Al],"&gt;="&amp;INT(D75),PersonalExceptions[Active 0/1],1,PersonalExceptions[Effetto],"Activity")</f>
        <v>0</v>
      </c>
      <c r="AZ75">
        <f>COUNTIFS(PersonalExceptions[Colonna],4,PersonalExceptions[Dal],"&lt;="&amp;INT(E75),PersonalExceptions[Al],"&gt;="&amp;INT(E75),PersonalExceptions[Active 0/1],1,PersonalExceptions[Effetto],"Activity")</f>
        <v>0</v>
      </c>
      <c r="BA75">
        <f>COUNTIFS(PersonalExceptions[Colonna],5,PersonalExceptions[Dal],"&lt;="&amp;INT(F75),PersonalExceptions[Al],"&gt;="&amp;INT(F75),PersonalExceptions[Active 0/1],1,PersonalExceptions[Effetto],"Activity")</f>
        <v>0</v>
      </c>
      <c r="BB75">
        <f>COUNTIFS(PersonalExceptions[Colonna],6,PersonalExceptions[Dal],"&lt;="&amp;INT(G75),PersonalExceptions[Al],"&gt;="&amp;INT(G75),PersonalExceptions[Active 0/1],1,PersonalExceptions[Effetto],"Activity")</f>
        <v>0</v>
      </c>
      <c r="BC75">
        <f>COUNTIFS(PersonalExceptions[Colonna],7,PersonalExceptions[Dal],"&lt;="&amp;INT(H75),PersonalExceptions[Al],"&gt;="&amp;INT(H75),PersonalExceptions[Active 0/1],1,PersonalExceptions[Effetto],"Activity")</f>
        <v>0</v>
      </c>
      <c r="BE75">
        <f>IF(Planner!B$10="Nessuno",0,COUNTIFS(ImportedHolidays[Calendar],Planner!B$10,ImportedHolidays[Date],INT(B75),ImportedHolidays[Active],1,ImportedHolidays[Kind],"WORKDAY"))</f>
        <v>0</v>
      </c>
      <c r="BF75">
        <f>IF(Planner!C$10="Nessuno",0,COUNTIFS(ImportedHolidays[Calendar],Planner!C$10,ImportedHolidays[Date],INT(C75),ImportedHolidays[Active],1,ImportedHolidays[Kind],"WORKDAY"))</f>
        <v>0</v>
      </c>
      <c r="BG75">
        <f>IF(Planner!D$10="Nessuno",0,COUNTIFS(ImportedHolidays[Calendar],Planner!D$10,ImportedHolidays[Date],INT(D75),ImportedHolidays[Active],1,ImportedHolidays[Kind],"WORKDAY"))</f>
        <v>0</v>
      </c>
      <c r="BH75">
        <f>IF(Planner!E$10="Nessuno",0,COUNTIFS(ImportedHolidays[Calendar],Planner!E$10,ImportedHolidays[Date],INT(E75),ImportedHolidays[Active],1,ImportedHolidays[Kind],"WORKDAY"))</f>
        <v>0</v>
      </c>
      <c r="BI75">
        <f>IF(Planner!F$10="Nessuno",0,COUNTIFS(ImportedHolidays[Calendar],Planner!F$10,ImportedHolidays[Date],INT(F75),ImportedHolidays[Active],1,ImportedHolidays[Kind],"WORKDAY"))</f>
        <v>0</v>
      </c>
      <c r="BJ75">
        <f>IF(Planner!G$10="Nessuno",0,COUNTIFS(ImportedHolidays[Calendar],Planner!G$10,ImportedHolidays[Date],INT(G75),ImportedHolidays[Active],1,ImportedHolidays[Kind],"WORKDAY"))</f>
        <v>0</v>
      </c>
      <c r="BK75">
        <f>IF(Planner!H$10="Nessuno",0,COUNTIFS(ImportedHolidays[Calendar],Planner!H$10,ImportedHolidays[Date],INT(H75),ImportedHolidays[Active],1,ImportedHolidays[Kind],"WORKDAY"))</f>
        <v>0</v>
      </c>
      <c r="BM75">
        <f>IF(MOD(J75-B$11,1440)&lt;B$12,2,IF(OR(MOD(J75-B$11,1440)&lt;B$12+ROUND(Planner!$D$5*60,0),MOD(J75-B$11,1440)&gt;=1440-ROUND(Planner!$B$5*60,0)),1,0))</f>
        <v>2</v>
      </c>
      <c r="BN75">
        <f>IF(MOD(K75-C$11,1440)&lt;C$12,2,IF(OR(MOD(K75-C$11,1440)&lt;C$12+ROUND(Planner!$D$5*60,0),MOD(K75-C$11,1440)&gt;=1440-ROUND(Planner!$B$5*60,0)),1,0))</f>
        <v>2</v>
      </c>
      <c r="BO75">
        <f>IF(MOD(L75-D$11,1440)&lt;D$12,2,IF(OR(MOD(L75-D$11,1440)&lt;D$12+ROUND(Planner!$D$5*60,0),MOD(L75-D$11,1440)&gt;=1440-ROUND(Planner!$B$5*60,0)),1,0))</f>
        <v>2</v>
      </c>
      <c r="BP75">
        <f>IF(MOD(M75-E$11,1440)&lt;E$12,2,IF(OR(MOD(M75-E$11,1440)&lt;E$12+ROUND(Planner!$D$5*60,0),MOD(M75-E$11,1440)&gt;=1440-ROUND(Planner!$B$5*60,0)),1,0))</f>
        <v>2</v>
      </c>
      <c r="BQ75">
        <f>IF(MOD(N75-F$11,1440)&lt;F$12,2,IF(OR(MOD(N75-F$11,1440)&lt;F$12+ROUND(Planner!$D$5*60,0),MOD(N75-F$11,1440)&gt;=1440-ROUND(Planner!$B$5*60,0)),1,0))</f>
        <v>2</v>
      </c>
      <c r="BR75">
        <f>IF(MOD(O75-G$11,1440)&lt;G$12,2,IF(OR(MOD(O75-G$11,1440)&lt;G$12+ROUND(Planner!$D$5*60,0),MOD(O75-G$11,1440)&gt;=1440-ROUND(Planner!$B$5*60,0)),1,0))</f>
        <v>0</v>
      </c>
      <c r="BS75">
        <f>IF(MOD(P75-H$11,1440)&lt;H$12,2,IF(OR(MOD(P75-H$11,1440)&lt;H$12+ROUND(Planner!$D$5*60,0),MOD(P75-H$11,1440)&gt;=1440-ROUND(Planner!$B$5*60,0)),1,0))</f>
        <v>0</v>
      </c>
    </row>
    <row r="76" spans="1:71">
      <c r="A76" s="22">
        <f>ROUND(($B$6+35*Planner!$F$4/1440)*1440,0)/1440</f>
        <v>46289.4375</v>
      </c>
      <c r="B76" s="22">
        <f>IF(COUNTIFS(ZonePeriods[Code],Planner!B$9,ZonePeriods[FromUtc],"&lt;="&amp;$A76,ZonePeriods[UntilUtc],"&gt;"&amp;$A76)=1,ROUND(($A76+SUMIFS(ZonePeriods[OffsetHours],ZonePeriods[Code],Planner!B$9,ZonePeriods[FromUtc],"&lt;="&amp;$A76,ZonePeriods[UntilUtc],"&gt;"&amp;$A76)/24)*1440,0)/1440,NA())</f>
        <v>46289.729166666664</v>
      </c>
      <c r="C76" s="22">
        <f>IF(COUNTIFS(ZonePeriods[Code],Planner!C$9,ZonePeriods[FromUtc],"&lt;="&amp;$A76,ZonePeriods[UntilUtc],"&gt;"&amp;$A76)=1,ROUND(($A76+SUMIFS(ZonePeriods[OffsetHours],ZonePeriods[Code],Planner!C$9,ZonePeriods[FromUtc],"&lt;="&amp;$A76,ZonePeriods[UntilUtc],"&gt;"&amp;$A76)/24)*1440,0)/1440,NA())</f>
        <v>46289.666666666664</v>
      </c>
      <c r="D76" s="22">
        <f>IF(COUNTIFS(ZonePeriods[Code],Planner!D$9,ZonePeriods[FromUtc],"&lt;="&amp;$A76,ZonePeriods[UntilUtc],"&gt;"&amp;$A76)=1,ROUND(($A76+SUMIFS(ZonePeriods[OffsetHours],ZonePeriods[Code],Planner!D$9,ZonePeriods[FromUtc],"&lt;="&amp;$A76,ZonePeriods[UntilUtc],"&gt;"&amp;$A76)/24)*1440,0)/1440,NA())</f>
        <v>46289.5625</v>
      </c>
      <c r="E76" s="22">
        <f>IF(COUNTIFS(ZonePeriods[Code],Planner!E$9,ZonePeriods[FromUtc],"&lt;="&amp;$A76,ZonePeriods[UntilUtc],"&gt;"&amp;$A76)=1,ROUND(($A76+SUMIFS(ZonePeriods[OffsetHours],ZonePeriods[Code],Planner!E$9,ZonePeriods[FromUtc],"&lt;="&amp;$A76,ZonePeriods[UntilUtc],"&gt;"&amp;$A76)/24)*1440,0)/1440,NA())</f>
        <v>46289.520833333336</v>
      </c>
      <c r="F76" s="22">
        <f>IF(COUNTIFS(ZonePeriods[Code],Planner!F$9,ZonePeriods[FromUtc],"&lt;="&amp;$A76,ZonePeriods[UntilUtc],"&gt;"&amp;$A76)=1,ROUND(($A76+SUMIFS(ZonePeriods[OffsetHours],ZonePeriods[Code],Planner!F$9,ZonePeriods[FromUtc],"&lt;="&amp;$A76,ZonePeriods[UntilUtc],"&gt;"&amp;$A76)/24)*1440,0)/1440,NA())</f>
        <v>46289.479166666664</v>
      </c>
      <c r="G76" s="22">
        <f>IF(COUNTIFS(ZonePeriods[Code],Planner!G$9,ZonePeriods[FromUtc],"&lt;="&amp;$A76,ZonePeriods[UntilUtc],"&gt;"&amp;$A76)=1,ROUND(($A76+SUMIFS(ZonePeriods[OffsetHours],ZonePeriods[Code],Planner!G$9,ZonePeriods[FromUtc],"&lt;="&amp;$A76,ZonePeriods[UntilUtc],"&gt;"&amp;$A76)/24)*1440,0)/1440,NA())</f>
        <v>46289.270833333336</v>
      </c>
      <c r="H76" s="22">
        <f>IF(COUNTIFS(ZonePeriods[Code],Planner!H$9,ZonePeriods[FromUtc],"&lt;="&amp;$A76,ZonePeriods[UntilUtc],"&gt;"&amp;$A76)=1,ROUND(($A76+SUMIFS(ZonePeriods[OffsetHours],ZonePeriods[Code],Planner!H$9,ZonePeriods[FromUtc],"&lt;="&amp;$A76,ZonePeriods[UntilUtc],"&gt;"&amp;$A76)/24)*1440,0)/1440,NA())</f>
        <v>46289.145833333336</v>
      </c>
      <c r="I76" s="1"/>
      <c r="J76" s="1">
        <f t="shared" si="14"/>
        <v>1050</v>
      </c>
      <c r="K76" s="1">
        <f t="shared" si="15"/>
        <v>960</v>
      </c>
      <c r="L76" s="1">
        <f t="shared" si="16"/>
        <v>810</v>
      </c>
      <c r="M76" s="1">
        <f t="shared" si="17"/>
        <v>750</v>
      </c>
      <c r="N76" s="1">
        <f t="shared" si="18"/>
        <v>690</v>
      </c>
      <c r="O76" s="1">
        <f t="shared" si="19"/>
        <v>390</v>
      </c>
      <c r="P76" s="1">
        <f t="shared" si="20"/>
        <v>210</v>
      </c>
      <c r="Q76" s="1"/>
      <c r="R76" s="1">
        <f t="shared" si="21"/>
        <v>2</v>
      </c>
      <c r="S76" s="1">
        <f t="shared" si="22"/>
        <v>2</v>
      </c>
      <c r="T76" s="1">
        <f t="shared" si="23"/>
        <v>2</v>
      </c>
      <c r="U76" s="1">
        <f t="shared" si="24"/>
        <v>2</v>
      </c>
      <c r="V76" s="1">
        <f t="shared" si="25"/>
        <v>2</v>
      </c>
      <c r="W76" s="1">
        <f t="shared" si="26"/>
        <v>0</v>
      </c>
      <c r="X76" s="1">
        <f t="shared" si="27"/>
        <v>0</v>
      </c>
      <c r="Y76" s="1"/>
      <c r="Z76" s="1">
        <f>IF(Planner!B$10="Nessuno",0,COUNTIFS(HolidayDates[Calendar],Planner!B$10,HolidayDates[Local date],INT(B76),HolidayDates[Active 0/1],1)+COUNTIFS(ImportedHolidays[Calendar],Planner!B$10,ImportedHolidays[Date],INT(B76),ImportedHolidays[Active],1,ImportedHolidays[Kind],"HOLIDAY"))</f>
        <v>0</v>
      </c>
      <c r="AA76" s="1">
        <f>IF(Planner!C$10="Nessuno",0,COUNTIFS(HolidayDates[Calendar],Planner!C$10,HolidayDates[Local date],INT(C76),HolidayDates[Active 0/1],1)+COUNTIFS(ImportedHolidays[Calendar],Planner!C$10,ImportedHolidays[Date],INT(C76),ImportedHolidays[Active],1,ImportedHolidays[Kind],"HOLIDAY"))</f>
        <v>0</v>
      </c>
      <c r="AB76" s="1">
        <f>IF(Planner!D$10="Nessuno",0,COUNTIFS(HolidayDates[Calendar],Planner!D$10,HolidayDates[Local date],INT(D76),HolidayDates[Active 0/1],1)+COUNTIFS(ImportedHolidays[Calendar],Planner!D$10,ImportedHolidays[Date],INT(D76),ImportedHolidays[Active],1,ImportedHolidays[Kind],"HOLIDAY"))</f>
        <v>0</v>
      </c>
      <c r="AC76" s="1">
        <f>IF(Planner!E$10="Nessuno",0,COUNTIFS(HolidayDates[Calendar],Planner!E$10,HolidayDates[Local date],INT(E76),HolidayDates[Active 0/1],1)+COUNTIFS(ImportedHolidays[Calendar],Planner!E$10,ImportedHolidays[Date],INT(E76),ImportedHolidays[Active],1,ImportedHolidays[Kind],"HOLIDAY"))</f>
        <v>0</v>
      </c>
      <c r="AD76" s="1">
        <f>IF(Planner!F$10="Nessuno",0,COUNTIFS(HolidayDates[Calendar],Planner!F$10,HolidayDates[Local date],INT(F76),HolidayDates[Active 0/1],1)+COUNTIFS(ImportedHolidays[Calendar],Planner!F$10,ImportedHolidays[Date],INT(F76),ImportedHolidays[Active],1,ImportedHolidays[Kind],"HOLIDAY"))</f>
        <v>0</v>
      </c>
      <c r="AE76" s="1">
        <f>IF(Planner!G$10="Nessuno",0,COUNTIFS(HolidayDates[Calendar],Planner!G$10,HolidayDates[Local date],INT(G76),HolidayDates[Active 0/1],1)+COUNTIFS(ImportedHolidays[Calendar],Planner!G$10,ImportedHolidays[Date],INT(G76),ImportedHolidays[Active],1,ImportedHolidays[Kind],"HOLIDAY"))</f>
        <v>0</v>
      </c>
      <c r="AF76" s="1">
        <f>IF(Planner!H$10="Nessuno",0,COUNTIFS(HolidayDates[Calendar],Planner!H$10,HolidayDates[Local date],INT(H76),HolidayDates[Active 0/1],1)+COUNTIFS(ImportedHolidays[Calendar],Planner!H$10,ImportedHolidays[Date],INT(H76),ImportedHolidays[Active],1,ImportedHolidays[Kind],"HOLIDAY"))</f>
        <v>0</v>
      </c>
      <c r="AG76" s="1"/>
      <c r="AH76" s="1" t="b">
        <f>INDEX(Parametri!$G12:$M12,1,WEEKDAY(INT(B76),2))=1</f>
        <v>0</v>
      </c>
      <c r="AI76" s="1" t="b">
        <f>INDEX(Parametri!$G13:$M13,1,WEEKDAY(INT(C76),2))=1</f>
        <v>0</v>
      </c>
      <c r="AJ76" s="1" t="b">
        <f>INDEX(Parametri!$G14:$M14,1,WEEKDAY(INT(D76),2))=1</f>
        <v>0</v>
      </c>
      <c r="AK76" s="1" t="b">
        <f>INDEX(Parametri!$G15:$M15,1,WEEKDAY(INT(E76),2))=1</f>
        <v>0</v>
      </c>
      <c r="AL76" s="1" t="b">
        <f>INDEX(Parametri!$G16:$M16,1,WEEKDAY(INT(F76),2))=1</f>
        <v>0</v>
      </c>
      <c r="AM76" s="1" t="b">
        <f>INDEX(Parametri!$G17:$M17,1,WEEKDAY(INT(G76),2))=1</f>
        <v>0</v>
      </c>
      <c r="AN76" s="1" t="b">
        <f>INDEX(Parametri!$G18:$M18,1,WEEKDAY(INT(H76),2))=1</f>
        <v>0</v>
      </c>
      <c r="AO76">
        <f>COUNTIFS(PersonalExceptions[Colonna],1,PersonalExceptions[Dal],"&lt;="&amp;INT(B76),PersonalExceptions[Al],"&gt;="&amp;INT(B76),PersonalExceptions[Active 0/1],1,PersonalExceptions[Effetto],"Rest")</f>
        <v>0</v>
      </c>
      <c r="AP76">
        <f>COUNTIFS(PersonalExceptions[Colonna],2,PersonalExceptions[Dal],"&lt;="&amp;INT(C76),PersonalExceptions[Al],"&gt;="&amp;INT(C76),PersonalExceptions[Active 0/1],1,PersonalExceptions[Effetto],"Rest")</f>
        <v>0</v>
      </c>
      <c r="AQ76">
        <f>COUNTIFS(PersonalExceptions[Colonna],3,PersonalExceptions[Dal],"&lt;="&amp;INT(D76),PersonalExceptions[Al],"&gt;="&amp;INT(D76),PersonalExceptions[Active 0/1],1,PersonalExceptions[Effetto],"Rest")</f>
        <v>0</v>
      </c>
      <c r="AR76">
        <f>COUNTIFS(PersonalExceptions[Colonna],4,PersonalExceptions[Dal],"&lt;="&amp;INT(E76),PersonalExceptions[Al],"&gt;="&amp;INT(E76),PersonalExceptions[Active 0/1],1,PersonalExceptions[Effetto],"Rest")</f>
        <v>0</v>
      </c>
      <c r="AS76">
        <f>COUNTIFS(PersonalExceptions[Colonna],5,PersonalExceptions[Dal],"&lt;="&amp;INT(F76),PersonalExceptions[Al],"&gt;="&amp;INT(F76),PersonalExceptions[Active 0/1],1,PersonalExceptions[Effetto],"Rest")</f>
        <v>0</v>
      </c>
      <c r="AT76">
        <f>COUNTIFS(PersonalExceptions[Colonna],6,PersonalExceptions[Dal],"&lt;="&amp;INT(G76),PersonalExceptions[Al],"&gt;="&amp;INT(G76),PersonalExceptions[Active 0/1],1,PersonalExceptions[Effetto],"Rest")</f>
        <v>0</v>
      </c>
      <c r="AU76">
        <f>COUNTIFS(PersonalExceptions[Colonna],7,PersonalExceptions[Dal],"&lt;="&amp;INT(H76),PersonalExceptions[Al],"&gt;="&amp;INT(H76),PersonalExceptions[Active 0/1],1,PersonalExceptions[Effetto],"Rest")</f>
        <v>0</v>
      </c>
      <c r="AW76">
        <f>COUNTIFS(PersonalExceptions[Colonna],1,PersonalExceptions[Dal],"&lt;="&amp;INT(B76),PersonalExceptions[Al],"&gt;="&amp;INT(B76),PersonalExceptions[Active 0/1],1,PersonalExceptions[Effetto],"Activity")</f>
        <v>0</v>
      </c>
      <c r="AX76">
        <f>COUNTIFS(PersonalExceptions[Colonna],2,PersonalExceptions[Dal],"&lt;="&amp;INT(C76),PersonalExceptions[Al],"&gt;="&amp;INT(C76),PersonalExceptions[Active 0/1],1,PersonalExceptions[Effetto],"Activity")</f>
        <v>0</v>
      </c>
      <c r="AY76">
        <f>COUNTIFS(PersonalExceptions[Colonna],3,PersonalExceptions[Dal],"&lt;="&amp;INT(D76),PersonalExceptions[Al],"&gt;="&amp;INT(D76),PersonalExceptions[Active 0/1],1,PersonalExceptions[Effetto],"Activity")</f>
        <v>0</v>
      </c>
      <c r="AZ76">
        <f>COUNTIFS(PersonalExceptions[Colonna],4,PersonalExceptions[Dal],"&lt;="&amp;INT(E76),PersonalExceptions[Al],"&gt;="&amp;INT(E76),PersonalExceptions[Active 0/1],1,PersonalExceptions[Effetto],"Activity")</f>
        <v>0</v>
      </c>
      <c r="BA76">
        <f>COUNTIFS(PersonalExceptions[Colonna],5,PersonalExceptions[Dal],"&lt;="&amp;INT(F76),PersonalExceptions[Al],"&gt;="&amp;INT(F76),PersonalExceptions[Active 0/1],1,PersonalExceptions[Effetto],"Activity")</f>
        <v>0</v>
      </c>
      <c r="BB76">
        <f>COUNTIFS(PersonalExceptions[Colonna],6,PersonalExceptions[Dal],"&lt;="&amp;INT(G76),PersonalExceptions[Al],"&gt;="&amp;INT(G76),PersonalExceptions[Active 0/1],1,PersonalExceptions[Effetto],"Activity")</f>
        <v>0</v>
      </c>
      <c r="BC76">
        <f>COUNTIFS(PersonalExceptions[Colonna],7,PersonalExceptions[Dal],"&lt;="&amp;INT(H76),PersonalExceptions[Al],"&gt;="&amp;INT(H76),PersonalExceptions[Active 0/1],1,PersonalExceptions[Effetto],"Activity")</f>
        <v>0</v>
      </c>
      <c r="BE76">
        <f>IF(Planner!B$10="Nessuno",0,COUNTIFS(ImportedHolidays[Calendar],Planner!B$10,ImportedHolidays[Date],INT(B76),ImportedHolidays[Active],1,ImportedHolidays[Kind],"WORKDAY"))</f>
        <v>0</v>
      </c>
      <c r="BF76">
        <f>IF(Planner!C$10="Nessuno",0,COUNTIFS(ImportedHolidays[Calendar],Planner!C$10,ImportedHolidays[Date],INT(C76),ImportedHolidays[Active],1,ImportedHolidays[Kind],"WORKDAY"))</f>
        <v>0</v>
      </c>
      <c r="BG76">
        <f>IF(Planner!D$10="Nessuno",0,COUNTIFS(ImportedHolidays[Calendar],Planner!D$10,ImportedHolidays[Date],INT(D76),ImportedHolidays[Active],1,ImportedHolidays[Kind],"WORKDAY"))</f>
        <v>0</v>
      </c>
      <c r="BH76">
        <f>IF(Planner!E$10="Nessuno",0,COUNTIFS(ImportedHolidays[Calendar],Planner!E$10,ImportedHolidays[Date],INT(E76),ImportedHolidays[Active],1,ImportedHolidays[Kind],"WORKDAY"))</f>
        <v>0</v>
      </c>
      <c r="BI76">
        <f>IF(Planner!F$10="Nessuno",0,COUNTIFS(ImportedHolidays[Calendar],Planner!F$10,ImportedHolidays[Date],INT(F76),ImportedHolidays[Active],1,ImportedHolidays[Kind],"WORKDAY"))</f>
        <v>0</v>
      </c>
      <c r="BJ76">
        <f>IF(Planner!G$10="Nessuno",0,COUNTIFS(ImportedHolidays[Calendar],Planner!G$10,ImportedHolidays[Date],INT(G76),ImportedHolidays[Active],1,ImportedHolidays[Kind],"WORKDAY"))</f>
        <v>0</v>
      </c>
      <c r="BK76">
        <f>IF(Planner!H$10="Nessuno",0,COUNTIFS(ImportedHolidays[Calendar],Planner!H$10,ImportedHolidays[Date],INT(H76),ImportedHolidays[Active],1,ImportedHolidays[Kind],"WORKDAY"))</f>
        <v>0</v>
      </c>
      <c r="BM76">
        <f>IF(MOD(J76-B$11,1440)&lt;B$12,2,IF(OR(MOD(J76-B$11,1440)&lt;B$12+ROUND(Planner!$D$5*60,0),MOD(J76-B$11,1440)&gt;=1440-ROUND(Planner!$B$5*60,0)),1,0))</f>
        <v>2</v>
      </c>
      <c r="BN76">
        <f>IF(MOD(K76-C$11,1440)&lt;C$12,2,IF(OR(MOD(K76-C$11,1440)&lt;C$12+ROUND(Planner!$D$5*60,0),MOD(K76-C$11,1440)&gt;=1440-ROUND(Planner!$B$5*60,0)),1,0))</f>
        <v>2</v>
      </c>
      <c r="BO76">
        <f>IF(MOD(L76-D$11,1440)&lt;D$12,2,IF(OR(MOD(L76-D$11,1440)&lt;D$12+ROUND(Planner!$D$5*60,0),MOD(L76-D$11,1440)&gt;=1440-ROUND(Planner!$B$5*60,0)),1,0))</f>
        <v>2</v>
      </c>
      <c r="BP76">
        <f>IF(MOD(M76-E$11,1440)&lt;E$12,2,IF(OR(MOD(M76-E$11,1440)&lt;E$12+ROUND(Planner!$D$5*60,0),MOD(M76-E$11,1440)&gt;=1440-ROUND(Planner!$B$5*60,0)),1,0))</f>
        <v>2</v>
      </c>
      <c r="BQ76">
        <f>IF(MOD(N76-F$11,1440)&lt;F$12,2,IF(OR(MOD(N76-F$11,1440)&lt;F$12+ROUND(Planner!$D$5*60,0),MOD(N76-F$11,1440)&gt;=1440-ROUND(Planner!$B$5*60,0)),1,0))</f>
        <v>2</v>
      </c>
      <c r="BR76">
        <f>IF(MOD(O76-G$11,1440)&lt;G$12,2,IF(OR(MOD(O76-G$11,1440)&lt;G$12+ROUND(Planner!$D$5*60,0),MOD(O76-G$11,1440)&gt;=1440-ROUND(Planner!$B$5*60,0)),1,0))</f>
        <v>0</v>
      </c>
      <c r="BS76">
        <f>IF(MOD(P76-H$11,1440)&lt;H$12,2,IF(OR(MOD(P76-H$11,1440)&lt;H$12+ROUND(Planner!$D$5*60,0),MOD(P76-H$11,1440)&gt;=1440-ROUND(Planner!$B$5*60,0)),1,0))</f>
        <v>0</v>
      </c>
    </row>
    <row r="77" spans="1:71">
      <c r="A77" s="22">
        <f>ROUND(($B$6+36*Planner!$F$4/1440)*1440,0)/1440</f>
        <v>46289.458333333336</v>
      </c>
      <c r="B77" s="22">
        <f>IF(COUNTIFS(ZonePeriods[Code],Planner!B$9,ZonePeriods[FromUtc],"&lt;="&amp;$A77,ZonePeriods[UntilUtc],"&gt;"&amp;$A77)=1,ROUND(($A77+SUMIFS(ZonePeriods[OffsetHours],ZonePeriods[Code],Planner!B$9,ZonePeriods[FromUtc],"&lt;="&amp;$A77,ZonePeriods[UntilUtc],"&gt;"&amp;$A77)/24)*1440,0)/1440,NA())</f>
        <v>46289.75</v>
      </c>
      <c r="C77" s="22">
        <f>IF(COUNTIFS(ZonePeriods[Code],Planner!C$9,ZonePeriods[FromUtc],"&lt;="&amp;$A77,ZonePeriods[UntilUtc],"&gt;"&amp;$A77)=1,ROUND(($A77+SUMIFS(ZonePeriods[OffsetHours],ZonePeriods[Code],Planner!C$9,ZonePeriods[FromUtc],"&lt;="&amp;$A77,ZonePeriods[UntilUtc],"&gt;"&amp;$A77)/24)*1440,0)/1440,NA())</f>
        <v>46289.6875</v>
      </c>
      <c r="D77" s="22">
        <f>IF(COUNTIFS(ZonePeriods[Code],Planner!D$9,ZonePeriods[FromUtc],"&lt;="&amp;$A77,ZonePeriods[UntilUtc],"&gt;"&amp;$A77)=1,ROUND(($A77+SUMIFS(ZonePeriods[OffsetHours],ZonePeriods[Code],Planner!D$9,ZonePeriods[FromUtc],"&lt;="&amp;$A77,ZonePeriods[UntilUtc],"&gt;"&amp;$A77)/24)*1440,0)/1440,NA())</f>
        <v>46289.583333333336</v>
      </c>
      <c r="E77" s="22">
        <f>IF(COUNTIFS(ZonePeriods[Code],Planner!E$9,ZonePeriods[FromUtc],"&lt;="&amp;$A77,ZonePeriods[UntilUtc],"&gt;"&amp;$A77)=1,ROUND(($A77+SUMIFS(ZonePeriods[OffsetHours],ZonePeriods[Code],Planner!E$9,ZonePeriods[FromUtc],"&lt;="&amp;$A77,ZonePeriods[UntilUtc],"&gt;"&amp;$A77)/24)*1440,0)/1440,NA())</f>
        <v>46289.541666666664</v>
      </c>
      <c r="F77" s="22">
        <f>IF(COUNTIFS(ZonePeriods[Code],Planner!F$9,ZonePeriods[FromUtc],"&lt;="&amp;$A77,ZonePeriods[UntilUtc],"&gt;"&amp;$A77)=1,ROUND(($A77+SUMIFS(ZonePeriods[OffsetHours],ZonePeriods[Code],Planner!F$9,ZonePeriods[FromUtc],"&lt;="&amp;$A77,ZonePeriods[UntilUtc],"&gt;"&amp;$A77)/24)*1440,0)/1440,NA())</f>
        <v>46289.5</v>
      </c>
      <c r="G77" s="22">
        <f>IF(COUNTIFS(ZonePeriods[Code],Planner!G$9,ZonePeriods[FromUtc],"&lt;="&amp;$A77,ZonePeriods[UntilUtc],"&gt;"&amp;$A77)=1,ROUND(($A77+SUMIFS(ZonePeriods[OffsetHours],ZonePeriods[Code],Planner!G$9,ZonePeriods[FromUtc],"&lt;="&amp;$A77,ZonePeriods[UntilUtc],"&gt;"&amp;$A77)/24)*1440,0)/1440,NA())</f>
        <v>46289.291666666664</v>
      </c>
      <c r="H77" s="22">
        <f>IF(COUNTIFS(ZonePeriods[Code],Planner!H$9,ZonePeriods[FromUtc],"&lt;="&amp;$A77,ZonePeriods[UntilUtc],"&gt;"&amp;$A77)=1,ROUND(($A77+SUMIFS(ZonePeriods[OffsetHours],ZonePeriods[Code],Planner!H$9,ZonePeriods[FromUtc],"&lt;="&amp;$A77,ZonePeriods[UntilUtc],"&gt;"&amp;$A77)/24)*1440,0)/1440,NA())</f>
        <v>46289.166666666664</v>
      </c>
      <c r="I77" s="1"/>
      <c r="J77" s="1">
        <f t="shared" si="14"/>
        <v>1080</v>
      </c>
      <c r="K77" s="1">
        <f t="shared" si="15"/>
        <v>990</v>
      </c>
      <c r="L77" s="1">
        <f t="shared" si="16"/>
        <v>840</v>
      </c>
      <c r="M77" s="1">
        <f t="shared" si="17"/>
        <v>780</v>
      </c>
      <c r="N77" s="1">
        <f t="shared" si="18"/>
        <v>720</v>
      </c>
      <c r="O77" s="1">
        <f t="shared" si="19"/>
        <v>420</v>
      </c>
      <c r="P77" s="1">
        <f t="shared" si="20"/>
        <v>240</v>
      </c>
      <c r="Q77" s="1"/>
      <c r="R77" s="1">
        <f t="shared" si="21"/>
        <v>2</v>
      </c>
      <c r="S77" s="1">
        <f t="shared" si="22"/>
        <v>2</v>
      </c>
      <c r="T77" s="1">
        <f t="shared" si="23"/>
        <v>2</v>
      </c>
      <c r="U77" s="1">
        <f t="shared" si="24"/>
        <v>2</v>
      </c>
      <c r="V77" s="1">
        <f t="shared" si="25"/>
        <v>2</v>
      </c>
      <c r="W77" s="1">
        <f t="shared" si="26"/>
        <v>1</v>
      </c>
      <c r="X77" s="1">
        <f t="shared" si="27"/>
        <v>0</v>
      </c>
      <c r="Y77" s="1"/>
      <c r="Z77" s="1">
        <f>IF(Planner!B$10="Nessuno",0,COUNTIFS(HolidayDates[Calendar],Planner!B$10,HolidayDates[Local date],INT(B77),HolidayDates[Active 0/1],1)+COUNTIFS(ImportedHolidays[Calendar],Planner!B$10,ImportedHolidays[Date],INT(B77),ImportedHolidays[Active],1,ImportedHolidays[Kind],"HOLIDAY"))</f>
        <v>0</v>
      </c>
      <c r="AA77" s="1">
        <f>IF(Planner!C$10="Nessuno",0,COUNTIFS(HolidayDates[Calendar],Planner!C$10,HolidayDates[Local date],INT(C77),HolidayDates[Active 0/1],1)+COUNTIFS(ImportedHolidays[Calendar],Planner!C$10,ImportedHolidays[Date],INT(C77),ImportedHolidays[Active],1,ImportedHolidays[Kind],"HOLIDAY"))</f>
        <v>0</v>
      </c>
      <c r="AB77" s="1">
        <f>IF(Planner!D$10="Nessuno",0,COUNTIFS(HolidayDates[Calendar],Planner!D$10,HolidayDates[Local date],INT(D77),HolidayDates[Active 0/1],1)+COUNTIFS(ImportedHolidays[Calendar],Planner!D$10,ImportedHolidays[Date],INT(D77),ImportedHolidays[Active],1,ImportedHolidays[Kind],"HOLIDAY"))</f>
        <v>0</v>
      </c>
      <c r="AC77" s="1">
        <f>IF(Planner!E$10="Nessuno",0,COUNTIFS(HolidayDates[Calendar],Planner!E$10,HolidayDates[Local date],INT(E77),HolidayDates[Active 0/1],1)+COUNTIFS(ImportedHolidays[Calendar],Planner!E$10,ImportedHolidays[Date],INT(E77),ImportedHolidays[Active],1,ImportedHolidays[Kind],"HOLIDAY"))</f>
        <v>0</v>
      </c>
      <c r="AD77" s="1">
        <f>IF(Planner!F$10="Nessuno",0,COUNTIFS(HolidayDates[Calendar],Planner!F$10,HolidayDates[Local date],INT(F77),HolidayDates[Active 0/1],1)+COUNTIFS(ImportedHolidays[Calendar],Planner!F$10,ImportedHolidays[Date],INT(F77),ImportedHolidays[Active],1,ImportedHolidays[Kind],"HOLIDAY"))</f>
        <v>0</v>
      </c>
      <c r="AE77" s="1">
        <f>IF(Planner!G$10="Nessuno",0,COUNTIFS(HolidayDates[Calendar],Planner!G$10,HolidayDates[Local date],INT(G77),HolidayDates[Active 0/1],1)+COUNTIFS(ImportedHolidays[Calendar],Planner!G$10,ImportedHolidays[Date],INT(G77),ImportedHolidays[Active],1,ImportedHolidays[Kind],"HOLIDAY"))</f>
        <v>0</v>
      </c>
      <c r="AF77" s="1">
        <f>IF(Planner!H$10="Nessuno",0,COUNTIFS(HolidayDates[Calendar],Planner!H$10,HolidayDates[Local date],INT(H77),HolidayDates[Active 0/1],1)+COUNTIFS(ImportedHolidays[Calendar],Planner!H$10,ImportedHolidays[Date],INT(H77),ImportedHolidays[Active],1,ImportedHolidays[Kind],"HOLIDAY"))</f>
        <v>0</v>
      </c>
      <c r="AG77" s="1"/>
      <c r="AH77" s="1" t="b">
        <f>INDEX(Parametri!$G12:$M12,1,WEEKDAY(INT(B77),2))=1</f>
        <v>0</v>
      </c>
      <c r="AI77" s="1" t="b">
        <f>INDEX(Parametri!$G13:$M13,1,WEEKDAY(INT(C77),2))=1</f>
        <v>0</v>
      </c>
      <c r="AJ77" s="1" t="b">
        <f>INDEX(Parametri!$G14:$M14,1,WEEKDAY(INT(D77),2))=1</f>
        <v>0</v>
      </c>
      <c r="AK77" s="1" t="b">
        <f>INDEX(Parametri!$G15:$M15,1,WEEKDAY(INT(E77),2))=1</f>
        <v>0</v>
      </c>
      <c r="AL77" s="1" t="b">
        <f>INDEX(Parametri!$G16:$M16,1,WEEKDAY(INT(F77),2))=1</f>
        <v>0</v>
      </c>
      <c r="AM77" s="1" t="b">
        <f>INDEX(Parametri!$G17:$M17,1,WEEKDAY(INT(G77),2))=1</f>
        <v>0</v>
      </c>
      <c r="AN77" s="1" t="b">
        <f>INDEX(Parametri!$G18:$M18,1,WEEKDAY(INT(H77),2))=1</f>
        <v>0</v>
      </c>
      <c r="AO77">
        <f>COUNTIFS(PersonalExceptions[Colonna],1,PersonalExceptions[Dal],"&lt;="&amp;INT(B77),PersonalExceptions[Al],"&gt;="&amp;INT(B77),PersonalExceptions[Active 0/1],1,PersonalExceptions[Effetto],"Rest")</f>
        <v>0</v>
      </c>
      <c r="AP77">
        <f>COUNTIFS(PersonalExceptions[Colonna],2,PersonalExceptions[Dal],"&lt;="&amp;INT(C77),PersonalExceptions[Al],"&gt;="&amp;INT(C77),PersonalExceptions[Active 0/1],1,PersonalExceptions[Effetto],"Rest")</f>
        <v>0</v>
      </c>
      <c r="AQ77">
        <f>COUNTIFS(PersonalExceptions[Colonna],3,PersonalExceptions[Dal],"&lt;="&amp;INT(D77),PersonalExceptions[Al],"&gt;="&amp;INT(D77),PersonalExceptions[Active 0/1],1,PersonalExceptions[Effetto],"Rest")</f>
        <v>0</v>
      </c>
      <c r="AR77">
        <f>COUNTIFS(PersonalExceptions[Colonna],4,PersonalExceptions[Dal],"&lt;="&amp;INT(E77),PersonalExceptions[Al],"&gt;="&amp;INT(E77),PersonalExceptions[Active 0/1],1,PersonalExceptions[Effetto],"Rest")</f>
        <v>0</v>
      </c>
      <c r="AS77">
        <f>COUNTIFS(PersonalExceptions[Colonna],5,PersonalExceptions[Dal],"&lt;="&amp;INT(F77),PersonalExceptions[Al],"&gt;="&amp;INT(F77),PersonalExceptions[Active 0/1],1,PersonalExceptions[Effetto],"Rest")</f>
        <v>0</v>
      </c>
      <c r="AT77">
        <f>COUNTIFS(PersonalExceptions[Colonna],6,PersonalExceptions[Dal],"&lt;="&amp;INT(G77),PersonalExceptions[Al],"&gt;="&amp;INT(G77),PersonalExceptions[Active 0/1],1,PersonalExceptions[Effetto],"Rest")</f>
        <v>0</v>
      </c>
      <c r="AU77">
        <f>COUNTIFS(PersonalExceptions[Colonna],7,PersonalExceptions[Dal],"&lt;="&amp;INT(H77),PersonalExceptions[Al],"&gt;="&amp;INT(H77),PersonalExceptions[Active 0/1],1,PersonalExceptions[Effetto],"Rest")</f>
        <v>0</v>
      </c>
      <c r="AW77">
        <f>COUNTIFS(PersonalExceptions[Colonna],1,PersonalExceptions[Dal],"&lt;="&amp;INT(B77),PersonalExceptions[Al],"&gt;="&amp;INT(B77),PersonalExceptions[Active 0/1],1,PersonalExceptions[Effetto],"Activity")</f>
        <v>0</v>
      </c>
      <c r="AX77">
        <f>COUNTIFS(PersonalExceptions[Colonna],2,PersonalExceptions[Dal],"&lt;="&amp;INT(C77),PersonalExceptions[Al],"&gt;="&amp;INT(C77),PersonalExceptions[Active 0/1],1,PersonalExceptions[Effetto],"Activity")</f>
        <v>0</v>
      </c>
      <c r="AY77">
        <f>COUNTIFS(PersonalExceptions[Colonna],3,PersonalExceptions[Dal],"&lt;="&amp;INT(D77),PersonalExceptions[Al],"&gt;="&amp;INT(D77),PersonalExceptions[Active 0/1],1,PersonalExceptions[Effetto],"Activity")</f>
        <v>0</v>
      </c>
      <c r="AZ77">
        <f>COUNTIFS(PersonalExceptions[Colonna],4,PersonalExceptions[Dal],"&lt;="&amp;INT(E77),PersonalExceptions[Al],"&gt;="&amp;INT(E77),PersonalExceptions[Active 0/1],1,PersonalExceptions[Effetto],"Activity")</f>
        <v>0</v>
      </c>
      <c r="BA77">
        <f>COUNTIFS(PersonalExceptions[Colonna],5,PersonalExceptions[Dal],"&lt;="&amp;INT(F77),PersonalExceptions[Al],"&gt;="&amp;INT(F77),PersonalExceptions[Active 0/1],1,PersonalExceptions[Effetto],"Activity")</f>
        <v>0</v>
      </c>
      <c r="BB77">
        <f>COUNTIFS(PersonalExceptions[Colonna],6,PersonalExceptions[Dal],"&lt;="&amp;INT(G77),PersonalExceptions[Al],"&gt;="&amp;INT(G77),PersonalExceptions[Active 0/1],1,PersonalExceptions[Effetto],"Activity")</f>
        <v>0</v>
      </c>
      <c r="BC77">
        <f>COUNTIFS(PersonalExceptions[Colonna],7,PersonalExceptions[Dal],"&lt;="&amp;INT(H77),PersonalExceptions[Al],"&gt;="&amp;INT(H77),PersonalExceptions[Active 0/1],1,PersonalExceptions[Effetto],"Activity")</f>
        <v>0</v>
      </c>
      <c r="BE77">
        <f>IF(Planner!B$10="Nessuno",0,COUNTIFS(ImportedHolidays[Calendar],Planner!B$10,ImportedHolidays[Date],INT(B77),ImportedHolidays[Active],1,ImportedHolidays[Kind],"WORKDAY"))</f>
        <v>0</v>
      </c>
      <c r="BF77">
        <f>IF(Planner!C$10="Nessuno",0,COUNTIFS(ImportedHolidays[Calendar],Planner!C$10,ImportedHolidays[Date],INT(C77),ImportedHolidays[Active],1,ImportedHolidays[Kind],"WORKDAY"))</f>
        <v>0</v>
      </c>
      <c r="BG77">
        <f>IF(Planner!D$10="Nessuno",0,COUNTIFS(ImportedHolidays[Calendar],Planner!D$10,ImportedHolidays[Date],INT(D77),ImportedHolidays[Active],1,ImportedHolidays[Kind],"WORKDAY"))</f>
        <v>0</v>
      </c>
      <c r="BH77">
        <f>IF(Planner!E$10="Nessuno",0,COUNTIFS(ImportedHolidays[Calendar],Planner!E$10,ImportedHolidays[Date],INT(E77),ImportedHolidays[Active],1,ImportedHolidays[Kind],"WORKDAY"))</f>
        <v>0</v>
      </c>
      <c r="BI77">
        <f>IF(Planner!F$10="Nessuno",0,COUNTIFS(ImportedHolidays[Calendar],Planner!F$10,ImportedHolidays[Date],INT(F77),ImportedHolidays[Active],1,ImportedHolidays[Kind],"WORKDAY"))</f>
        <v>0</v>
      </c>
      <c r="BJ77">
        <f>IF(Planner!G$10="Nessuno",0,COUNTIFS(ImportedHolidays[Calendar],Planner!G$10,ImportedHolidays[Date],INT(G77),ImportedHolidays[Active],1,ImportedHolidays[Kind],"WORKDAY"))</f>
        <v>0</v>
      </c>
      <c r="BK77">
        <f>IF(Planner!H$10="Nessuno",0,COUNTIFS(ImportedHolidays[Calendar],Planner!H$10,ImportedHolidays[Date],INT(H77),ImportedHolidays[Active],1,ImportedHolidays[Kind],"WORKDAY"))</f>
        <v>0</v>
      </c>
      <c r="BM77">
        <f>IF(MOD(J77-B$11,1440)&lt;B$12,2,IF(OR(MOD(J77-B$11,1440)&lt;B$12+ROUND(Planner!$D$5*60,0),MOD(J77-B$11,1440)&gt;=1440-ROUND(Planner!$B$5*60,0)),1,0))</f>
        <v>2</v>
      </c>
      <c r="BN77">
        <f>IF(MOD(K77-C$11,1440)&lt;C$12,2,IF(OR(MOD(K77-C$11,1440)&lt;C$12+ROUND(Planner!$D$5*60,0),MOD(K77-C$11,1440)&gt;=1440-ROUND(Planner!$B$5*60,0)),1,0))</f>
        <v>2</v>
      </c>
      <c r="BO77">
        <f>IF(MOD(L77-D$11,1440)&lt;D$12,2,IF(OR(MOD(L77-D$11,1440)&lt;D$12+ROUND(Planner!$D$5*60,0),MOD(L77-D$11,1440)&gt;=1440-ROUND(Planner!$B$5*60,0)),1,0))</f>
        <v>2</v>
      </c>
      <c r="BP77">
        <f>IF(MOD(M77-E$11,1440)&lt;E$12,2,IF(OR(MOD(M77-E$11,1440)&lt;E$12+ROUND(Planner!$D$5*60,0),MOD(M77-E$11,1440)&gt;=1440-ROUND(Planner!$B$5*60,0)),1,0))</f>
        <v>2</v>
      </c>
      <c r="BQ77">
        <f>IF(MOD(N77-F$11,1440)&lt;F$12,2,IF(OR(MOD(N77-F$11,1440)&lt;F$12+ROUND(Planner!$D$5*60,0),MOD(N77-F$11,1440)&gt;=1440-ROUND(Planner!$B$5*60,0)),1,0))</f>
        <v>2</v>
      </c>
      <c r="BR77">
        <f>IF(MOD(O77-G$11,1440)&lt;G$12,2,IF(OR(MOD(O77-G$11,1440)&lt;G$12+ROUND(Planner!$D$5*60,0),MOD(O77-G$11,1440)&gt;=1440-ROUND(Planner!$B$5*60,0)),1,0))</f>
        <v>1</v>
      </c>
      <c r="BS77">
        <f>IF(MOD(P77-H$11,1440)&lt;H$12,2,IF(OR(MOD(P77-H$11,1440)&lt;H$12+ROUND(Planner!$D$5*60,0),MOD(P77-H$11,1440)&gt;=1440-ROUND(Planner!$B$5*60,0)),1,0))</f>
        <v>0</v>
      </c>
    </row>
    <row r="78" spans="1:71">
      <c r="A78" s="22">
        <f>ROUND(($B$6+37*Planner!$F$4/1440)*1440,0)/1440</f>
        <v>46289.479166666664</v>
      </c>
      <c r="B78" s="22">
        <f>IF(COUNTIFS(ZonePeriods[Code],Planner!B$9,ZonePeriods[FromUtc],"&lt;="&amp;$A78,ZonePeriods[UntilUtc],"&gt;"&amp;$A78)=1,ROUND(($A78+SUMIFS(ZonePeriods[OffsetHours],ZonePeriods[Code],Planner!B$9,ZonePeriods[FromUtc],"&lt;="&amp;$A78,ZonePeriods[UntilUtc],"&gt;"&amp;$A78)/24)*1440,0)/1440,NA())</f>
        <v>46289.770833333336</v>
      </c>
      <c r="C78" s="22">
        <f>IF(COUNTIFS(ZonePeriods[Code],Planner!C$9,ZonePeriods[FromUtc],"&lt;="&amp;$A78,ZonePeriods[UntilUtc],"&gt;"&amp;$A78)=1,ROUND(($A78+SUMIFS(ZonePeriods[OffsetHours],ZonePeriods[Code],Planner!C$9,ZonePeriods[FromUtc],"&lt;="&amp;$A78,ZonePeriods[UntilUtc],"&gt;"&amp;$A78)/24)*1440,0)/1440,NA())</f>
        <v>46289.708333333336</v>
      </c>
      <c r="D78" s="22">
        <f>IF(COUNTIFS(ZonePeriods[Code],Planner!D$9,ZonePeriods[FromUtc],"&lt;="&amp;$A78,ZonePeriods[UntilUtc],"&gt;"&amp;$A78)=1,ROUND(($A78+SUMIFS(ZonePeriods[OffsetHours],ZonePeriods[Code],Planner!D$9,ZonePeriods[FromUtc],"&lt;="&amp;$A78,ZonePeriods[UntilUtc],"&gt;"&amp;$A78)/24)*1440,0)/1440,NA())</f>
        <v>46289.604166666664</v>
      </c>
      <c r="E78" s="22">
        <f>IF(COUNTIFS(ZonePeriods[Code],Planner!E$9,ZonePeriods[FromUtc],"&lt;="&amp;$A78,ZonePeriods[UntilUtc],"&gt;"&amp;$A78)=1,ROUND(($A78+SUMIFS(ZonePeriods[OffsetHours],ZonePeriods[Code],Planner!E$9,ZonePeriods[FromUtc],"&lt;="&amp;$A78,ZonePeriods[UntilUtc],"&gt;"&amp;$A78)/24)*1440,0)/1440,NA())</f>
        <v>46289.5625</v>
      </c>
      <c r="F78" s="22">
        <f>IF(COUNTIFS(ZonePeriods[Code],Planner!F$9,ZonePeriods[FromUtc],"&lt;="&amp;$A78,ZonePeriods[UntilUtc],"&gt;"&amp;$A78)=1,ROUND(($A78+SUMIFS(ZonePeriods[OffsetHours],ZonePeriods[Code],Planner!F$9,ZonePeriods[FromUtc],"&lt;="&amp;$A78,ZonePeriods[UntilUtc],"&gt;"&amp;$A78)/24)*1440,0)/1440,NA())</f>
        <v>46289.520833333336</v>
      </c>
      <c r="G78" s="22">
        <f>IF(COUNTIFS(ZonePeriods[Code],Planner!G$9,ZonePeriods[FromUtc],"&lt;="&amp;$A78,ZonePeriods[UntilUtc],"&gt;"&amp;$A78)=1,ROUND(($A78+SUMIFS(ZonePeriods[OffsetHours],ZonePeriods[Code],Planner!G$9,ZonePeriods[FromUtc],"&lt;="&amp;$A78,ZonePeriods[UntilUtc],"&gt;"&amp;$A78)/24)*1440,0)/1440,NA())</f>
        <v>46289.3125</v>
      </c>
      <c r="H78" s="22">
        <f>IF(COUNTIFS(ZonePeriods[Code],Planner!H$9,ZonePeriods[FromUtc],"&lt;="&amp;$A78,ZonePeriods[UntilUtc],"&gt;"&amp;$A78)=1,ROUND(($A78+SUMIFS(ZonePeriods[OffsetHours],ZonePeriods[Code],Planner!H$9,ZonePeriods[FromUtc],"&lt;="&amp;$A78,ZonePeriods[UntilUtc],"&gt;"&amp;$A78)/24)*1440,0)/1440,NA())</f>
        <v>46289.1875</v>
      </c>
      <c r="I78" s="1"/>
      <c r="J78" s="1">
        <f t="shared" si="14"/>
        <v>1110</v>
      </c>
      <c r="K78" s="1">
        <f t="shared" si="15"/>
        <v>1020</v>
      </c>
      <c r="L78" s="1">
        <f t="shared" si="16"/>
        <v>870</v>
      </c>
      <c r="M78" s="1">
        <f t="shared" si="17"/>
        <v>810</v>
      </c>
      <c r="N78" s="1">
        <f t="shared" si="18"/>
        <v>750</v>
      </c>
      <c r="O78" s="1">
        <f t="shared" si="19"/>
        <v>450</v>
      </c>
      <c r="P78" s="1">
        <f t="shared" si="20"/>
        <v>270</v>
      </c>
      <c r="Q78" s="1"/>
      <c r="R78" s="1">
        <f t="shared" si="21"/>
        <v>2</v>
      </c>
      <c r="S78" s="1">
        <f t="shared" si="22"/>
        <v>2</v>
      </c>
      <c r="T78" s="1">
        <f t="shared" si="23"/>
        <v>2</v>
      </c>
      <c r="U78" s="1">
        <f t="shared" si="24"/>
        <v>2</v>
      </c>
      <c r="V78" s="1">
        <f t="shared" si="25"/>
        <v>2</v>
      </c>
      <c r="W78" s="1">
        <f t="shared" si="26"/>
        <v>1</v>
      </c>
      <c r="X78" s="1">
        <f t="shared" si="27"/>
        <v>0</v>
      </c>
      <c r="Y78" s="1"/>
      <c r="Z78" s="1">
        <f>IF(Planner!B$10="Nessuno",0,COUNTIFS(HolidayDates[Calendar],Planner!B$10,HolidayDates[Local date],INT(B78),HolidayDates[Active 0/1],1)+COUNTIFS(ImportedHolidays[Calendar],Planner!B$10,ImportedHolidays[Date],INT(B78),ImportedHolidays[Active],1,ImportedHolidays[Kind],"HOLIDAY"))</f>
        <v>0</v>
      </c>
      <c r="AA78" s="1">
        <f>IF(Planner!C$10="Nessuno",0,COUNTIFS(HolidayDates[Calendar],Planner!C$10,HolidayDates[Local date],INT(C78),HolidayDates[Active 0/1],1)+COUNTIFS(ImportedHolidays[Calendar],Planner!C$10,ImportedHolidays[Date],INT(C78),ImportedHolidays[Active],1,ImportedHolidays[Kind],"HOLIDAY"))</f>
        <v>0</v>
      </c>
      <c r="AB78" s="1">
        <f>IF(Planner!D$10="Nessuno",0,COUNTIFS(HolidayDates[Calendar],Planner!D$10,HolidayDates[Local date],INT(D78),HolidayDates[Active 0/1],1)+COUNTIFS(ImportedHolidays[Calendar],Planner!D$10,ImportedHolidays[Date],INT(D78),ImportedHolidays[Active],1,ImportedHolidays[Kind],"HOLIDAY"))</f>
        <v>0</v>
      </c>
      <c r="AC78" s="1">
        <f>IF(Planner!E$10="Nessuno",0,COUNTIFS(HolidayDates[Calendar],Planner!E$10,HolidayDates[Local date],INT(E78),HolidayDates[Active 0/1],1)+COUNTIFS(ImportedHolidays[Calendar],Planner!E$10,ImportedHolidays[Date],INT(E78),ImportedHolidays[Active],1,ImportedHolidays[Kind],"HOLIDAY"))</f>
        <v>0</v>
      </c>
      <c r="AD78" s="1">
        <f>IF(Planner!F$10="Nessuno",0,COUNTIFS(HolidayDates[Calendar],Planner!F$10,HolidayDates[Local date],INT(F78),HolidayDates[Active 0/1],1)+COUNTIFS(ImportedHolidays[Calendar],Planner!F$10,ImportedHolidays[Date],INT(F78),ImportedHolidays[Active],1,ImportedHolidays[Kind],"HOLIDAY"))</f>
        <v>0</v>
      </c>
      <c r="AE78" s="1">
        <f>IF(Planner!G$10="Nessuno",0,COUNTIFS(HolidayDates[Calendar],Planner!G$10,HolidayDates[Local date],INT(G78),HolidayDates[Active 0/1],1)+COUNTIFS(ImportedHolidays[Calendar],Planner!G$10,ImportedHolidays[Date],INT(G78),ImportedHolidays[Active],1,ImportedHolidays[Kind],"HOLIDAY"))</f>
        <v>0</v>
      </c>
      <c r="AF78" s="1">
        <f>IF(Planner!H$10="Nessuno",0,COUNTIFS(HolidayDates[Calendar],Planner!H$10,HolidayDates[Local date],INT(H78),HolidayDates[Active 0/1],1)+COUNTIFS(ImportedHolidays[Calendar],Planner!H$10,ImportedHolidays[Date],INT(H78),ImportedHolidays[Active],1,ImportedHolidays[Kind],"HOLIDAY"))</f>
        <v>0</v>
      </c>
      <c r="AG78" s="1"/>
      <c r="AH78" s="1" t="b">
        <f>INDEX(Parametri!$G12:$M12,1,WEEKDAY(INT(B78),2))=1</f>
        <v>0</v>
      </c>
      <c r="AI78" s="1" t="b">
        <f>INDEX(Parametri!$G13:$M13,1,WEEKDAY(INT(C78),2))=1</f>
        <v>0</v>
      </c>
      <c r="AJ78" s="1" t="b">
        <f>INDEX(Parametri!$G14:$M14,1,WEEKDAY(INT(D78),2))=1</f>
        <v>0</v>
      </c>
      <c r="AK78" s="1" t="b">
        <f>INDEX(Parametri!$G15:$M15,1,WEEKDAY(INT(E78),2))=1</f>
        <v>0</v>
      </c>
      <c r="AL78" s="1" t="b">
        <f>INDEX(Parametri!$G16:$M16,1,WEEKDAY(INT(F78),2))=1</f>
        <v>0</v>
      </c>
      <c r="AM78" s="1" t="b">
        <f>INDEX(Parametri!$G17:$M17,1,WEEKDAY(INT(G78),2))=1</f>
        <v>0</v>
      </c>
      <c r="AN78" s="1" t="b">
        <f>INDEX(Parametri!$G18:$M18,1,WEEKDAY(INT(H78),2))=1</f>
        <v>0</v>
      </c>
      <c r="AO78">
        <f>COUNTIFS(PersonalExceptions[Colonna],1,PersonalExceptions[Dal],"&lt;="&amp;INT(B78),PersonalExceptions[Al],"&gt;="&amp;INT(B78),PersonalExceptions[Active 0/1],1,PersonalExceptions[Effetto],"Rest")</f>
        <v>0</v>
      </c>
      <c r="AP78">
        <f>COUNTIFS(PersonalExceptions[Colonna],2,PersonalExceptions[Dal],"&lt;="&amp;INT(C78),PersonalExceptions[Al],"&gt;="&amp;INT(C78),PersonalExceptions[Active 0/1],1,PersonalExceptions[Effetto],"Rest")</f>
        <v>0</v>
      </c>
      <c r="AQ78">
        <f>COUNTIFS(PersonalExceptions[Colonna],3,PersonalExceptions[Dal],"&lt;="&amp;INT(D78),PersonalExceptions[Al],"&gt;="&amp;INT(D78),PersonalExceptions[Active 0/1],1,PersonalExceptions[Effetto],"Rest")</f>
        <v>0</v>
      </c>
      <c r="AR78">
        <f>COUNTIFS(PersonalExceptions[Colonna],4,PersonalExceptions[Dal],"&lt;="&amp;INT(E78),PersonalExceptions[Al],"&gt;="&amp;INT(E78),PersonalExceptions[Active 0/1],1,PersonalExceptions[Effetto],"Rest")</f>
        <v>0</v>
      </c>
      <c r="AS78">
        <f>COUNTIFS(PersonalExceptions[Colonna],5,PersonalExceptions[Dal],"&lt;="&amp;INT(F78),PersonalExceptions[Al],"&gt;="&amp;INT(F78),PersonalExceptions[Active 0/1],1,PersonalExceptions[Effetto],"Rest")</f>
        <v>0</v>
      </c>
      <c r="AT78">
        <f>COUNTIFS(PersonalExceptions[Colonna],6,PersonalExceptions[Dal],"&lt;="&amp;INT(G78),PersonalExceptions[Al],"&gt;="&amp;INT(G78),PersonalExceptions[Active 0/1],1,PersonalExceptions[Effetto],"Rest")</f>
        <v>0</v>
      </c>
      <c r="AU78">
        <f>COUNTIFS(PersonalExceptions[Colonna],7,PersonalExceptions[Dal],"&lt;="&amp;INT(H78),PersonalExceptions[Al],"&gt;="&amp;INT(H78),PersonalExceptions[Active 0/1],1,PersonalExceptions[Effetto],"Rest")</f>
        <v>0</v>
      </c>
      <c r="AW78">
        <f>COUNTIFS(PersonalExceptions[Colonna],1,PersonalExceptions[Dal],"&lt;="&amp;INT(B78),PersonalExceptions[Al],"&gt;="&amp;INT(B78),PersonalExceptions[Active 0/1],1,PersonalExceptions[Effetto],"Activity")</f>
        <v>0</v>
      </c>
      <c r="AX78">
        <f>COUNTIFS(PersonalExceptions[Colonna],2,PersonalExceptions[Dal],"&lt;="&amp;INT(C78),PersonalExceptions[Al],"&gt;="&amp;INT(C78),PersonalExceptions[Active 0/1],1,PersonalExceptions[Effetto],"Activity")</f>
        <v>0</v>
      </c>
      <c r="AY78">
        <f>COUNTIFS(PersonalExceptions[Colonna],3,PersonalExceptions[Dal],"&lt;="&amp;INT(D78),PersonalExceptions[Al],"&gt;="&amp;INT(D78),PersonalExceptions[Active 0/1],1,PersonalExceptions[Effetto],"Activity")</f>
        <v>0</v>
      </c>
      <c r="AZ78">
        <f>COUNTIFS(PersonalExceptions[Colonna],4,PersonalExceptions[Dal],"&lt;="&amp;INT(E78),PersonalExceptions[Al],"&gt;="&amp;INT(E78),PersonalExceptions[Active 0/1],1,PersonalExceptions[Effetto],"Activity")</f>
        <v>0</v>
      </c>
      <c r="BA78">
        <f>COUNTIFS(PersonalExceptions[Colonna],5,PersonalExceptions[Dal],"&lt;="&amp;INT(F78),PersonalExceptions[Al],"&gt;="&amp;INT(F78),PersonalExceptions[Active 0/1],1,PersonalExceptions[Effetto],"Activity")</f>
        <v>0</v>
      </c>
      <c r="BB78">
        <f>COUNTIFS(PersonalExceptions[Colonna],6,PersonalExceptions[Dal],"&lt;="&amp;INT(G78),PersonalExceptions[Al],"&gt;="&amp;INT(G78),PersonalExceptions[Active 0/1],1,PersonalExceptions[Effetto],"Activity")</f>
        <v>0</v>
      </c>
      <c r="BC78">
        <f>COUNTIFS(PersonalExceptions[Colonna],7,PersonalExceptions[Dal],"&lt;="&amp;INT(H78),PersonalExceptions[Al],"&gt;="&amp;INT(H78),PersonalExceptions[Active 0/1],1,PersonalExceptions[Effetto],"Activity")</f>
        <v>0</v>
      </c>
      <c r="BE78">
        <f>IF(Planner!B$10="Nessuno",0,COUNTIFS(ImportedHolidays[Calendar],Planner!B$10,ImportedHolidays[Date],INT(B78),ImportedHolidays[Active],1,ImportedHolidays[Kind],"WORKDAY"))</f>
        <v>0</v>
      </c>
      <c r="BF78">
        <f>IF(Planner!C$10="Nessuno",0,COUNTIFS(ImportedHolidays[Calendar],Planner!C$10,ImportedHolidays[Date],INT(C78),ImportedHolidays[Active],1,ImportedHolidays[Kind],"WORKDAY"))</f>
        <v>0</v>
      </c>
      <c r="BG78">
        <f>IF(Planner!D$10="Nessuno",0,COUNTIFS(ImportedHolidays[Calendar],Planner!D$10,ImportedHolidays[Date],INT(D78),ImportedHolidays[Active],1,ImportedHolidays[Kind],"WORKDAY"))</f>
        <v>0</v>
      </c>
      <c r="BH78">
        <f>IF(Planner!E$10="Nessuno",0,COUNTIFS(ImportedHolidays[Calendar],Planner!E$10,ImportedHolidays[Date],INT(E78),ImportedHolidays[Active],1,ImportedHolidays[Kind],"WORKDAY"))</f>
        <v>0</v>
      </c>
      <c r="BI78">
        <f>IF(Planner!F$10="Nessuno",0,COUNTIFS(ImportedHolidays[Calendar],Planner!F$10,ImportedHolidays[Date],INT(F78),ImportedHolidays[Active],1,ImportedHolidays[Kind],"WORKDAY"))</f>
        <v>0</v>
      </c>
      <c r="BJ78">
        <f>IF(Planner!G$10="Nessuno",0,COUNTIFS(ImportedHolidays[Calendar],Planner!G$10,ImportedHolidays[Date],INT(G78),ImportedHolidays[Active],1,ImportedHolidays[Kind],"WORKDAY"))</f>
        <v>0</v>
      </c>
      <c r="BK78">
        <f>IF(Planner!H$10="Nessuno",0,COUNTIFS(ImportedHolidays[Calendar],Planner!H$10,ImportedHolidays[Date],INT(H78),ImportedHolidays[Active],1,ImportedHolidays[Kind],"WORKDAY"))</f>
        <v>0</v>
      </c>
      <c r="BM78">
        <f>IF(MOD(J78-B$11,1440)&lt;B$12,2,IF(OR(MOD(J78-B$11,1440)&lt;B$12+ROUND(Planner!$D$5*60,0),MOD(J78-B$11,1440)&gt;=1440-ROUND(Planner!$B$5*60,0)),1,0))</f>
        <v>2</v>
      </c>
      <c r="BN78">
        <f>IF(MOD(K78-C$11,1440)&lt;C$12,2,IF(OR(MOD(K78-C$11,1440)&lt;C$12+ROUND(Planner!$D$5*60,0),MOD(K78-C$11,1440)&gt;=1440-ROUND(Planner!$B$5*60,0)),1,0))</f>
        <v>2</v>
      </c>
      <c r="BO78">
        <f>IF(MOD(L78-D$11,1440)&lt;D$12,2,IF(OR(MOD(L78-D$11,1440)&lt;D$12+ROUND(Planner!$D$5*60,0),MOD(L78-D$11,1440)&gt;=1440-ROUND(Planner!$B$5*60,0)),1,0))</f>
        <v>2</v>
      </c>
      <c r="BP78">
        <f>IF(MOD(M78-E$11,1440)&lt;E$12,2,IF(OR(MOD(M78-E$11,1440)&lt;E$12+ROUND(Planner!$D$5*60,0),MOD(M78-E$11,1440)&gt;=1440-ROUND(Planner!$B$5*60,0)),1,0))</f>
        <v>2</v>
      </c>
      <c r="BQ78">
        <f>IF(MOD(N78-F$11,1440)&lt;F$12,2,IF(OR(MOD(N78-F$11,1440)&lt;F$12+ROUND(Planner!$D$5*60,0),MOD(N78-F$11,1440)&gt;=1440-ROUND(Planner!$B$5*60,0)),1,0))</f>
        <v>2</v>
      </c>
      <c r="BR78">
        <f>IF(MOD(O78-G$11,1440)&lt;G$12,2,IF(OR(MOD(O78-G$11,1440)&lt;G$12+ROUND(Planner!$D$5*60,0),MOD(O78-G$11,1440)&gt;=1440-ROUND(Planner!$B$5*60,0)),1,0))</f>
        <v>1</v>
      </c>
      <c r="BS78">
        <f>IF(MOD(P78-H$11,1440)&lt;H$12,2,IF(OR(MOD(P78-H$11,1440)&lt;H$12+ROUND(Planner!$D$5*60,0),MOD(P78-H$11,1440)&gt;=1440-ROUND(Planner!$B$5*60,0)),1,0))</f>
        <v>0</v>
      </c>
    </row>
    <row r="79" spans="1:71">
      <c r="A79" s="22">
        <f>ROUND(($B$6+38*Planner!$F$4/1440)*1440,0)/1440</f>
        <v>46289.5</v>
      </c>
      <c r="B79" s="22">
        <f>IF(COUNTIFS(ZonePeriods[Code],Planner!B$9,ZonePeriods[FromUtc],"&lt;="&amp;$A79,ZonePeriods[UntilUtc],"&gt;"&amp;$A79)=1,ROUND(($A79+SUMIFS(ZonePeriods[OffsetHours],ZonePeriods[Code],Planner!B$9,ZonePeriods[FromUtc],"&lt;="&amp;$A79,ZonePeriods[UntilUtc],"&gt;"&amp;$A79)/24)*1440,0)/1440,NA())</f>
        <v>46289.791666666664</v>
      </c>
      <c r="C79" s="22">
        <f>IF(COUNTIFS(ZonePeriods[Code],Planner!C$9,ZonePeriods[FromUtc],"&lt;="&amp;$A79,ZonePeriods[UntilUtc],"&gt;"&amp;$A79)=1,ROUND(($A79+SUMIFS(ZonePeriods[OffsetHours],ZonePeriods[Code],Planner!C$9,ZonePeriods[FromUtc],"&lt;="&amp;$A79,ZonePeriods[UntilUtc],"&gt;"&amp;$A79)/24)*1440,0)/1440,NA())</f>
        <v>46289.729166666664</v>
      </c>
      <c r="D79" s="22">
        <f>IF(COUNTIFS(ZonePeriods[Code],Planner!D$9,ZonePeriods[FromUtc],"&lt;="&amp;$A79,ZonePeriods[UntilUtc],"&gt;"&amp;$A79)=1,ROUND(($A79+SUMIFS(ZonePeriods[OffsetHours],ZonePeriods[Code],Planner!D$9,ZonePeriods[FromUtc],"&lt;="&amp;$A79,ZonePeriods[UntilUtc],"&gt;"&amp;$A79)/24)*1440,0)/1440,NA())</f>
        <v>46289.625</v>
      </c>
      <c r="E79" s="22">
        <f>IF(COUNTIFS(ZonePeriods[Code],Planner!E$9,ZonePeriods[FromUtc],"&lt;="&amp;$A79,ZonePeriods[UntilUtc],"&gt;"&amp;$A79)=1,ROUND(($A79+SUMIFS(ZonePeriods[OffsetHours],ZonePeriods[Code],Planner!E$9,ZonePeriods[FromUtc],"&lt;="&amp;$A79,ZonePeriods[UntilUtc],"&gt;"&amp;$A79)/24)*1440,0)/1440,NA())</f>
        <v>46289.583333333336</v>
      </c>
      <c r="F79" s="22">
        <f>IF(COUNTIFS(ZonePeriods[Code],Planner!F$9,ZonePeriods[FromUtc],"&lt;="&amp;$A79,ZonePeriods[UntilUtc],"&gt;"&amp;$A79)=1,ROUND(($A79+SUMIFS(ZonePeriods[OffsetHours],ZonePeriods[Code],Planner!F$9,ZonePeriods[FromUtc],"&lt;="&amp;$A79,ZonePeriods[UntilUtc],"&gt;"&amp;$A79)/24)*1440,0)/1440,NA())</f>
        <v>46289.541666666664</v>
      </c>
      <c r="G79" s="22">
        <f>IF(COUNTIFS(ZonePeriods[Code],Planner!G$9,ZonePeriods[FromUtc],"&lt;="&amp;$A79,ZonePeriods[UntilUtc],"&gt;"&amp;$A79)=1,ROUND(($A79+SUMIFS(ZonePeriods[OffsetHours],ZonePeriods[Code],Planner!G$9,ZonePeriods[FromUtc],"&lt;="&amp;$A79,ZonePeriods[UntilUtc],"&gt;"&amp;$A79)/24)*1440,0)/1440,NA())</f>
        <v>46289.333333333336</v>
      </c>
      <c r="H79" s="22">
        <f>IF(COUNTIFS(ZonePeriods[Code],Planner!H$9,ZonePeriods[FromUtc],"&lt;="&amp;$A79,ZonePeriods[UntilUtc],"&gt;"&amp;$A79)=1,ROUND(($A79+SUMIFS(ZonePeriods[OffsetHours],ZonePeriods[Code],Planner!H$9,ZonePeriods[FromUtc],"&lt;="&amp;$A79,ZonePeriods[UntilUtc],"&gt;"&amp;$A79)/24)*1440,0)/1440,NA())</f>
        <v>46289.208333333336</v>
      </c>
      <c r="I79" s="1"/>
      <c r="J79" s="1">
        <f t="shared" si="14"/>
        <v>1140</v>
      </c>
      <c r="K79" s="1">
        <f t="shared" si="15"/>
        <v>1050</v>
      </c>
      <c r="L79" s="1">
        <f t="shared" si="16"/>
        <v>900</v>
      </c>
      <c r="M79" s="1">
        <f t="shared" si="17"/>
        <v>840</v>
      </c>
      <c r="N79" s="1">
        <f t="shared" si="18"/>
        <v>780</v>
      </c>
      <c r="O79" s="1">
        <f t="shared" si="19"/>
        <v>480</v>
      </c>
      <c r="P79" s="1">
        <f t="shared" si="20"/>
        <v>300</v>
      </c>
      <c r="Q79" s="1"/>
      <c r="R79" s="1">
        <f t="shared" si="21"/>
        <v>2</v>
      </c>
      <c r="S79" s="1">
        <f t="shared" si="22"/>
        <v>2</v>
      </c>
      <c r="T79" s="1">
        <f t="shared" si="23"/>
        <v>2</v>
      </c>
      <c r="U79" s="1">
        <f t="shared" si="24"/>
        <v>2</v>
      </c>
      <c r="V79" s="1">
        <f t="shared" si="25"/>
        <v>2</v>
      </c>
      <c r="W79" s="1">
        <f t="shared" si="26"/>
        <v>1</v>
      </c>
      <c r="X79" s="1">
        <f t="shared" si="27"/>
        <v>0</v>
      </c>
      <c r="Y79" s="1"/>
      <c r="Z79" s="1">
        <f>IF(Planner!B$10="Nessuno",0,COUNTIFS(HolidayDates[Calendar],Planner!B$10,HolidayDates[Local date],INT(B79),HolidayDates[Active 0/1],1)+COUNTIFS(ImportedHolidays[Calendar],Planner!B$10,ImportedHolidays[Date],INT(B79),ImportedHolidays[Active],1,ImportedHolidays[Kind],"HOLIDAY"))</f>
        <v>0</v>
      </c>
      <c r="AA79" s="1">
        <f>IF(Planner!C$10="Nessuno",0,COUNTIFS(HolidayDates[Calendar],Planner!C$10,HolidayDates[Local date],INT(C79),HolidayDates[Active 0/1],1)+COUNTIFS(ImportedHolidays[Calendar],Planner!C$10,ImportedHolidays[Date],INT(C79),ImportedHolidays[Active],1,ImportedHolidays[Kind],"HOLIDAY"))</f>
        <v>0</v>
      </c>
      <c r="AB79" s="1">
        <f>IF(Planner!D$10="Nessuno",0,COUNTIFS(HolidayDates[Calendar],Planner!D$10,HolidayDates[Local date],INT(D79),HolidayDates[Active 0/1],1)+COUNTIFS(ImportedHolidays[Calendar],Planner!D$10,ImportedHolidays[Date],INT(D79),ImportedHolidays[Active],1,ImportedHolidays[Kind],"HOLIDAY"))</f>
        <v>0</v>
      </c>
      <c r="AC79" s="1">
        <f>IF(Planner!E$10="Nessuno",0,COUNTIFS(HolidayDates[Calendar],Planner!E$10,HolidayDates[Local date],INT(E79),HolidayDates[Active 0/1],1)+COUNTIFS(ImportedHolidays[Calendar],Planner!E$10,ImportedHolidays[Date],INT(E79),ImportedHolidays[Active],1,ImportedHolidays[Kind],"HOLIDAY"))</f>
        <v>0</v>
      </c>
      <c r="AD79" s="1">
        <f>IF(Planner!F$10="Nessuno",0,COUNTIFS(HolidayDates[Calendar],Planner!F$10,HolidayDates[Local date],INT(F79),HolidayDates[Active 0/1],1)+COUNTIFS(ImportedHolidays[Calendar],Planner!F$10,ImportedHolidays[Date],INT(F79),ImportedHolidays[Active],1,ImportedHolidays[Kind],"HOLIDAY"))</f>
        <v>0</v>
      </c>
      <c r="AE79" s="1">
        <f>IF(Planner!G$10="Nessuno",0,COUNTIFS(HolidayDates[Calendar],Planner!G$10,HolidayDates[Local date],INT(G79),HolidayDates[Active 0/1],1)+COUNTIFS(ImportedHolidays[Calendar],Planner!G$10,ImportedHolidays[Date],INT(G79),ImportedHolidays[Active],1,ImportedHolidays[Kind],"HOLIDAY"))</f>
        <v>0</v>
      </c>
      <c r="AF79" s="1">
        <f>IF(Planner!H$10="Nessuno",0,COUNTIFS(HolidayDates[Calendar],Planner!H$10,HolidayDates[Local date],INT(H79),HolidayDates[Active 0/1],1)+COUNTIFS(ImportedHolidays[Calendar],Planner!H$10,ImportedHolidays[Date],INT(H79),ImportedHolidays[Active],1,ImportedHolidays[Kind],"HOLIDAY"))</f>
        <v>0</v>
      </c>
      <c r="AG79" s="1"/>
      <c r="AH79" s="1" t="b">
        <f>INDEX(Parametri!$G12:$M12,1,WEEKDAY(INT(B79),2))=1</f>
        <v>0</v>
      </c>
      <c r="AI79" s="1" t="b">
        <f>INDEX(Parametri!$G13:$M13,1,WEEKDAY(INT(C79),2))=1</f>
        <v>0</v>
      </c>
      <c r="AJ79" s="1" t="b">
        <f>INDEX(Parametri!$G14:$M14,1,WEEKDAY(INT(D79),2))=1</f>
        <v>0</v>
      </c>
      <c r="AK79" s="1" t="b">
        <f>INDEX(Parametri!$G15:$M15,1,WEEKDAY(INT(E79),2))=1</f>
        <v>0</v>
      </c>
      <c r="AL79" s="1" t="b">
        <f>INDEX(Parametri!$G16:$M16,1,WEEKDAY(INT(F79),2))=1</f>
        <v>0</v>
      </c>
      <c r="AM79" s="1" t="b">
        <f>INDEX(Parametri!$G17:$M17,1,WEEKDAY(INT(G79),2))=1</f>
        <v>0</v>
      </c>
      <c r="AN79" s="1" t="b">
        <f>INDEX(Parametri!$G18:$M18,1,WEEKDAY(INT(H79),2))=1</f>
        <v>0</v>
      </c>
      <c r="AO79">
        <f>COUNTIFS(PersonalExceptions[Colonna],1,PersonalExceptions[Dal],"&lt;="&amp;INT(B79),PersonalExceptions[Al],"&gt;="&amp;INT(B79),PersonalExceptions[Active 0/1],1,PersonalExceptions[Effetto],"Rest")</f>
        <v>0</v>
      </c>
      <c r="AP79">
        <f>COUNTIFS(PersonalExceptions[Colonna],2,PersonalExceptions[Dal],"&lt;="&amp;INT(C79),PersonalExceptions[Al],"&gt;="&amp;INT(C79),PersonalExceptions[Active 0/1],1,PersonalExceptions[Effetto],"Rest")</f>
        <v>0</v>
      </c>
      <c r="AQ79">
        <f>COUNTIFS(PersonalExceptions[Colonna],3,PersonalExceptions[Dal],"&lt;="&amp;INT(D79),PersonalExceptions[Al],"&gt;="&amp;INT(D79),PersonalExceptions[Active 0/1],1,PersonalExceptions[Effetto],"Rest")</f>
        <v>0</v>
      </c>
      <c r="AR79">
        <f>COUNTIFS(PersonalExceptions[Colonna],4,PersonalExceptions[Dal],"&lt;="&amp;INT(E79),PersonalExceptions[Al],"&gt;="&amp;INT(E79),PersonalExceptions[Active 0/1],1,PersonalExceptions[Effetto],"Rest")</f>
        <v>0</v>
      </c>
      <c r="AS79">
        <f>COUNTIFS(PersonalExceptions[Colonna],5,PersonalExceptions[Dal],"&lt;="&amp;INT(F79),PersonalExceptions[Al],"&gt;="&amp;INT(F79),PersonalExceptions[Active 0/1],1,PersonalExceptions[Effetto],"Rest")</f>
        <v>0</v>
      </c>
      <c r="AT79">
        <f>COUNTIFS(PersonalExceptions[Colonna],6,PersonalExceptions[Dal],"&lt;="&amp;INT(G79),PersonalExceptions[Al],"&gt;="&amp;INT(G79),PersonalExceptions[Active 0/1],1,PersonalExceptions[Effetto],"Rest")</f>
        <v>0</v>
      </c>
      <c r="AU79">
        <f>COUNTIFS(PersonalExceptions[Colonna],7,PersonalExceptions[Dal],"&lt;="&amp;INT(H79),PersonalExceptions[Al],"&gt;="&amp;INT(H79),PersonalExceptions[Active 0/1],1,PersonalExceptions[Effetto],"Rest")</f>
        <v>0</v>
      </c>
      <c r="AW79">
        <f>COUNTIFS(PersonalExceptions[Colonna],1,PersonalExceptions[Dal],"&lt;="&amp;INT(B79),PersonalExceptions[Al],"&gt;="&amp;INT(B79),PersonalExceptions[Active 0/1],1,PersonalExceptions[Effetto],"Activity")</f>
        <v>0</v>
      </c>
      <c r="AX79">
        <f>COUNTIFS(PersonalExceptions[Colonna],2,PersonalExceptions[Dal],"&lt;="&amp;INT(C79),PersonalExceptions[Al],"&gt;="&amp;INT(C79),PersonalExceptions[Active 0/1],1,PersonalExceptions[Effetto],"Activity")</f>
        <v>0</v>
      </c>
      <c r="AY79">
        <f>COUNTIFS(PersonalExceptions[Colonna],3,PersonalExceptions[Dal],"&lt;="&amp;INT(D79),PersonalExceptions[Al],"&gt;="&amp;INT(D79),PersonalExceptions[Active 0/1],1,PersonalExceptions[Effetto],"Activity")</f>
        <v>0</v>
      </c>
      <c r="AZ79">
        <f>COUNTIFS(PersonalExceptions[Colonna],4,PersonalExceptions[Dal],"&lt;="&amp;INT(E79),PersonalExceptions[Al],"&gt;="&amp;INT(E79),PersonalExceptions[Active 0/1],1,PersonalExceptions[Effetto],"Activity")</f>
        <v>0</v>
      </c>
      <c r="BA79">
        <f>COUNTIFS(PersonalExceptions[Colonna],5,PersonalExceptions[Dal],"&lt;="&amp;INT(F79),PersonalExceptions[Al],"&gt;="&amp;INT(F79),PersonalExceptions[Active 0/1],1,PersonalExceptions[Effetto],"Activity")</f>
        <v>0</v>
      </c>
      <c r="BB79">
        <f>COUNTIFS(PersonalExceptions[Colonna],6,PersonalExceptions[Dal],"&lt;="&amp;INT(G79),PersonalExceptions[Al],"&gt;="&amp;INT(G79),PersonalExceptions[Active 0/1],1,PersonalExceptions[Effetto],"Activity")</f>
        <v>0</v>
      </c>
      <c r="BC79">
        <f>COUNTIFS(PersonalExceptions[Colonna],7,PersonalExceptions[Dal],"&lt;="&amp;INT(H79),PersonalExceptions[Al],"&gt;="&amp;INT(H79),PersonalExceptions[Active 0/1],1,PersonalExceptions[Effetto],"Activity")</f>
        <v>0</v>
      </c>
      <c r="BE79">
        <f>IF(Planner!B$10="Nessuno",0,COUNTIFS(ImportedHolidays[Calendar],Planner!B$10,ImportedHolidays[Date],INT(B79),ImportedHolidays[Active],1,ImportedHolidays[Kind],"WORKDAY"))</f>
        <v>0</v>
      </c>
      <c r="BF79">
        <f>IF(Planner!C$10="Nessuno",0,COUNTIFS(ImportedHolidays[Calendar],Planner!C$10,ImportedHolidays[Date],INT(C79),ImportedHolidays[Active],1,ImportedHolidays[Kind],"WORKDAY"))</f>
        <v>0</v>
      </c>
      <c r="BG79">
        <f>IF(Planner!D$10="Nessuno",0,COUNTIFS(ImportedHolidays[Calendar],Planner!D$10,ImportedHolidays[Date],INT(D79),ImportedHolidays[Active],1,ImportedHolidays[Kind],"WORKDAY"))</f>
        <v>0</v>
      </c>
      <c r="BH79">
        <f>IF(Planner!E$10="Nessuno",0,COUNTIFS(ImportedHolidays[Calendar],Planner!E$10,ImportedHolidays[Date],INT(E79),ImportedHolidays[Active],1,ImportedHolidays[Kind],"WORKDAY"))</f>
        <v>0</v>
      </c>
      <c r="BI79">
        <f>IF(Planner!F$10="Nessuno",0,COUNTIFS(ImportedHolidays[Calendar],Planner!F$10,ImportedHolidays[Date],INT(F79),ImportedHolidays[Active],1,ImportedHolidays[Kind],"WORKDAY"))</f>
        <v>0</v>
      </c>
      <c r="BJ79">
        <f>IF(Planner!G$10="Nessuno",0,COUNTIFS(ImportedHolidays[Calendar],Planner!G$10,ImportedHolidays[Date],INT(G79),ImportedHolidays[Active],1,ImportedHolidays[Kind],"WORKDAY"))</f>
        <v>0</v>
      </c>
      <c r="BK79">
        <f>IF(Planner!H$10="Nessuno",0,COUNTIFS(ImportedHolidays[Calendar],Planner!H$10,ImportedHolidays[Date],INT(H79),ImportedHolidays[Active],1,ImportedHolidays[Kind],"WORKDAY"))</f>
        <v>0</v>
      </c>
      <c r="BM79">
        <f>IF(MOD(J79-B$11,1440)&lt;B$12,2,IF(OR(MOD(J79-B$11,1440)&lt;B$12+ROUND(Planner!$D$5*60,0),MOD(J79-B$11,1440)&gt;=1440-ROUND(Planner!$B$5*60,0)),1,0))</f>
        <v>2</v>
      </c>
      <c r="BN79">
        <f>IF(MOD(K79-C$11,1440)&lt;C$12,2,IF(OR(MOD(K79-C$11,1440)&lt;C$12+ROUND(Planner!$D$5*60,0),MOD(K79-C$11,1440)&gt;=1440-ROUND(Planner!$B$5*60,0)),1,0))</f>
        <v>2</v>
      </c>
      <c r="BO79">
        <f>IF(MOD(L79-D$11,1440)&lt;D$12,2,IF(OR(MOD(L79-D$11,1440)&lt;D$12+ROUND(Planner!$D$5*60,0),MOD(L79-D$11,1440)&gt;=1440-ROUND(Planner!$B$5*60,0)),1,0))</f>
        <v>2</v>
      </c>
      <c r="BP79">
        <f>IF(MOD(M79-E$11,1440)&lt;E$12,2,IF(OR(MOD(M79-E$11,1440)&lt;E$12+ROUND(Planner!$D$5*60,0),MOD(M79-E$11,1440)&gt;=1440-ROUND(Planner!$B$5*60,0)),1,0))</f>
        <v>2</v>
      </c>
      <c r="BQ79">
        <f>IF(MOD(N79-F$11,1440)&lt;F$12,2,IF(OR(MOD(N79-F$11,1440)&lt;F$12+ROUND(Planner!$D$5*60,0),MOD(N79-F$11,1440)&gt;=1440-ROUND(Planner!$B$5*60,0)),1,0))</f>
        <v>2</v>
      </c>
      <c r="BR79">
        <f>IF(MOD(O79-G$11,1440)&lt;G$12,2,IF(OR(MOD(O79-G$11,1440)&lt;G$12+ROUND(Planner!$D$5*60,0),MOD(O79-G$11,1440)&gt;=1440-ROUND(Planner!$B$5*60,0)),1,0))</f>
        <v>1</v>
      </c>
      <c r="BS79">
        <f>IF(MOD(P79-H$11,1440)&lt;H$12,2,IF(OR(MOD(P79-H$11,1440)&lt;H$12+ROUND(Planner!$D$5*60,0),MOD(P79-H$11,1440)&gt;=1440-ROUND(Planner!$B$5*60,0)),1,0))</f>
        <v>0</v>
      </c>
    </row>
    <row r="80" spans="1:71">
      <c r="A80" s="22">
        <f>ROUND(($B$6+39*Planner!$F$4/1440)*1440,0)/1440</f>
        <v>46289.520833333336</v>
      </c>
      <c r="B80" s="22">
        <f>IF(COUNTIFS(ZonePeriods[Code],Planner!B$9,ZonePeriods[FromUtc],"&lt;="&amp;$A80,ZonePeriods[UntilUtc],"&gt;"&amp;$A80)=1,ROUND(($A80+SUMIFS(ZonePeriods[OffsetHours],ZonePeriods[Code],Planner!B$9,ZonePeriods[FromUtc],"&lt;="&amp;$A80,ZonePeriods[UntilUtc],"&gt;"&amp;$A80)/24)*1440,0)/1440,NA())</f>
        <v>46289.8125</v>
      </c>
      <c r="C80" s="22">
        <f>IF(COUNTIFS(ZonePeriods[Code],Planner!C$9,ZonePeriods[FromUtc],"&lt;="&amp;$A80,ZonePeriods[UntilUtc],"&gt;"&amp;$A80)=1,ROUND(($A80+SUMIFS(ZonePeriods[OffsetHours],ZonePeriods[Code],Planner!C$9,ZonePeriods[FromUtc],"&lt;="&amp;$A80,ZonePeriods[UntilUtc],"&gt;"&amp;$A80)/24)*1440,0)/1440,NA())</f>
        <v>46289.75</v>
      </c>
      <c r="D80" s="22">
        <f>IF(COUNTIFS(ZonePeriods[Code],Planner!D$9,ZonePeriods[FromUtc],"&lt;="&amp;$A80,ZonePeriods[UntilUtc],"&gt;"&amp;$A80)=1,ROUND(($A80+SUMIFS(ZonePeriods[OffsetHours],ZonePeriods[Code],Planner!D$9,ZonePeriods[FromUtc],"&lt;="&amp;$A80,ZonePeriods[UntilUtc],"&gt;"&amp;$A80)/24)*1440,0)/1440,NA())</f>
        <v>46289.645833333336</v>
      </c>
      <c r="E80" s="22">
        <f>IF(COUNTIFS(ZonePeriods[Code],Planner!E$9,ZonePeriods[FromUtc],"&lt;="&amp;$A80,ZonePeriods[UntilUtc],"&gt;"&amp;$A80)=1,ROUND(($A80+SUMIFS(ZonePeriods[OffsetHours],ZonePeriods[Code],Planner!E$9,ZonePeriods[FromUtc],"&lt;="&amp;$A80,ZonePeriods[UntilUtc],"&gt;"&amp;$A80)/24)*1440,0)/1440,NA())</f>
        <v>46289.604166666664</v>
      </c>
      <c r="F80" s="22">
        <f>IF(COUNTIFS(ZonePeriods[Code],Planner!F$9,ZonePeriods[FromUtc],"&lt;="&amp;$A80,ZonePeriods[UntilUtc],"&gt;"&amp;$A80)=1,ROUND(($A80+SUMIFS(ZonePeriods[OffsetHours],ZonePeriods[Code],Planner!F$9,ZonePeriods[FromUtc],"&lt;="&amp;$A80,ZonePeriods[UntilUtc],"&gt;"&amp;$A80)/24)*1440,0)/1440,NA())</f>
        <v>46289.5625</v>
      </c>
      <c r="G80" s="22">
        <f>IF(COUNTIFS(ZonePeriods[Code],Planner!G$9,ZonePeriods[FromUtc],"&lt;="&amp;$A80,ZonePeriods[UntilUtc],"&gt;"&amp;$A80)=1,ROUND(($A80+SUMIFS(ZonePeriods[OffsetHours],ZonePeriods[Code],Planner!G$9,ZonePeriods[FromUtc],"&lt;="&amp;$A80,ZonePeriods[UntilUtc],"&gt;"&amp;$A80)/24)*1440,0)/1440,NA())</f>
        <v>46289.354166666664</v>
      </c>
      <c r="H80" s="22">
        <f>IF(COUNTIFS(ZonePeriods[Code],Planner!H$9,ZonePeriods[FromUtc],"&lt;="&amp;$A80,ZonePeriods[UntilUtc],"&gt;"&amp;$A80)=1,ROUND(($A80+SUMIFS(ZonePeriods[OffsetHours],ZonePeriods[Code],Planner!H$9,ZonePeriods[FromUtc],"&lt;="&amp;$A80,ZonePeriods[UntilUtc],"&gt;"&amp;$A80)/24)*1440,0)/1440,NA())</f>
        <v>46289.229166666664</v>
      </c>
      <c r="I80" s="1"/>
      <c r="J80" s="1">
        <f t="shared" si="14"/>
        <v>1170</v>
      </c>
      <c r="K80" s="1">
        <f t="shared" si="15"/>
        <v>1080</v>
      </c>
      <c r="L80" s="1">
        <f t="shared" si="16"/>
        <v>930</v>
      </c>
      <c r="M80" s="1">
        <f t="shared" si="17"/>
        <v>870</v>
      </c>
      <c r="N80" s="1">
        <f t="shared" si="18"/>
        <v>810</v>
      </c>
      <c r="O80" s="1">
        <f t="shared" si="19"/>
        <v>510</v>
      </c>
      <c r="P80" s="1">
        <f t="shared" si="20"/>
        <v>330</v>
      </c>
      <c r="Q80" s="1"/>
      <c r="R80" s="1">
        <f t="shared" si="21"/>
        <v>2</v>
      </c>
      <c r="S80" s="1">
        <f t="shared" si="22"/>
        <v>1</v>
      </c>
      <c r="T80" s="1">
        <f t="shared" si="23"/>
        <v>2</v>
      </c>
      <c r="U80" s="1">
        <f t="shared" si="24"/>
        <v>2</v>
      </c>
      <c r="V80" s="1">
        <f t="shared" si="25"/>
        <v>2</v>
      </c>
      <c r="W80" s="1">
        <f t="shared" si="26"/>
        <v>1</v>
      </c>
      <c r="X80" s="1">
        <f t="shared" si="27"/>
        <v>0</v>
      </c>
      <c r="Y80" s="1"/>
      <c r="Z80" s="1">
        <f>IF(Planner!B$10="Nessuno",0,COUNTIFS(HolidayDates[Calendar],Planner!B$10,HolidayDates[Local date],INT(B80),HolidayDates[Active 0/1],1)+COUNTIFS(ImportedHolidays[Calendar],Planner!B$10,ImportedHolidays[Date],INT(B80),ImportedHolidays[Active],1,ImportedHolidays[Kind],"HOLIDAY"))</f>
        <v>0</v>
      </c>
      <c r="AA80" s="1">
        <f>IF(Planner!C$10="Nessuno",0,COUNTIFS(HolidayDates[Calendar],Planner!C$10,HolidayDates[Local date],INT(C80),HolidayDates[Active 0/1],1)+COUNTIFS(ImportedHolidays[Calendar],Planner!C$10,ImportedHolidays[Date],INT(C80),ImportedHolidays[Active],1,ImportedHolidays[Kind],"HOLIDAY"))</f>
        <v>0</v>
      </c>
      <c r="AB80" s="1">
        <f>IF(Planner!D$10="Nessuno",0,COUNTIFS(HolidayDates[Calendar],Planner!D$10,HolidayDates[Local date],INT(D80),HolidayDates[Active 0/1],1)+COUNTIFS(ImportedHolidays[Calendar],Planner!D$10,ImportedHolidays[Date],INT(D80),ImportedHolidays[Active],1,ImportedHolidays[Kind],"HOLIDAY"))</f>
        <v>0</v>
      </c>
      <c r="AC80" s="1">
        <f>IF(Planner!E$10="Nessuno",0,COUNTIFS(HolidayDates[Calendar],Planner!E$10,HolidayDates[Local date],INT(E80),HolidayDates[Active 0/1],1)+COUNTIFS(ImportedHolidays[Calendar],Planner!E$10,ImportedHolidays[Date],INT(E80),ImportedHolidays[Active],1,ImportedHolidays[Kind],"HOLIDAY"))</f>
        <v>0</v>
      </c>
      <c r="AD80" s="1">
        <f>IF(Planner!F$10="Nessuno",0,COUNTIFS(HolidayDates[Calendar],Planner!F$10,HolidayDates[Local date],INT(F80),HolidayDates[Active 0/1],1)+COUNTIFS(ImportedHolidays[Calendar],Planner!F$10,ImportedHolidays[Date],INT(F80),ImportedHolidays[Active],1,ImportedHolidays[Kind],"HOLIDAY"))</f>
        <v>0</v>
      </c>
      <c r="AE80" s="1">
        <f>IF(Planner!G$10="Nessuno",0,COUNTIFS(HolidayDates[Calendar],Planner!G$10,HolidayDates[Local date],INT(G80),HolidayDates[Active 0/1],1)+COUNTIFS(ImportedHolidays[Calendar],Planner!G$10,ImportedHolidays[Date],INT(G80),ImportedHolidays[Active],1,ImportedHolidays[Kind],"HOLIDAY"))</f>
        <v>0</v>
      </c>
      <c r="AF80" s="1">
        <f>IF(Planner!H$10="Nessuno",0,COUNTIFS(HolidayDates[Calendar],Planner!H$10,HolidayDates[Local date],INT(H80),HolidayDates[Active 0/1],1)+COUNTIFS(ImportedHolidays[Calendar],Planner!H$10,ImportedHolidays[Date],INT(H80),ImportedHolidays[Active],1,ImportedHolidays[Kind],"HOLIDAY"))</f>
        <v>0</v>
      </c>
      <c r="AG80" s="1"/>
      <c r="AH80" s="1" t="b">
        <f>INDEX(Parametri!$G12:$M12,1,WEEKDAY(INT(B80),2))=1</f>
        <v>0</v>
      </c>
      <c r="AI80" s="1" t="b">
        <f>INDEX(Parametri!$G13:$M13,1,WEEKDAY(INT(C80),2))=1</f>
        <v>0</v>
      </c>
      <c r="AJ80" s="1" t="b">
        <f>INDEX(Parametri!$G14:$M14,1,WEEKDAY(INT(D80),2))=1</f>
        <v>0</v>
      </c>
      <c r="AK80" s="1" t="b">
        <f>INDEX(Parametri!$G15:$M15,1,WEEKDAY(INT(E80),2))=1</f>
        <v>0</v>
      </c>
      <c r="AL80" s="1" t="b">
        <f>INDEX(Parametri!$G16:$M16,1,WEEKDAY(INT(F80),2))=1</f>
        <v>0</v>
      </c>
      <c r="AM80" s="1" t="b">
        <f>INDEX(Parametri!$G17:$M17,1,WEEKDAY(INT(G80),2))=1</f>
        <v>0</v>
      </c>
      <c r="AN80" s="1" t="b">
        <f>INDEX(Parametri!$G18:$M18,1,WEEKDAY(INT(H80),2))=1</f>
        <v>0</v>
      </c>
      <c r="AO80">
        <f>COUNTIFS(PersonalExceptions[Colonna],1,PersonalExceptions[Dal],"&lt;="&amp;INT(B80),PersonalExceptions[Al],"&gt;="&amp;INT(B80),PersonalExceptions[Active 0/1],1,PersonalExceptions[Effetto],"Rest")</f>
        <v>0</v>
      </c>
      <c r="AP80">
        <f>COUNTIFS(PersonalExceptions[Colonna],2,PersonalExceptions[Dal],"&lt;="&amp;INT(C80),PersonalExceptions[Al],"&gt;="&amp;INT(C80),PersonalExceptions[Active 0/1],1,PersonalExceptions[Effetto],"Rest")</f>
        <v>0</v>
      </c>
      <c r="AQ80">
        <f>COUNTIFS(PersonalExceptions[Colonna],3,PersonalExceptions[Dal],"&lt;="&amp;INT(D80),PersonalExceptions[Al],"&gt;="&amp;INT(D80),PersonalExceptions[Active 0/1],1,PersonalExceptions[Effetto],"Rest")</f>
        <v>0</v>
      </c>
      <c r="AR80">
        <f>COUNTIFS(PersonalExceptions[Colonna],4,PersonalExceptions[Dal],"&lt;="&amp;INT(E80),PersonalExceptions[Al],"&gt;="&amp;INT(E80),PersonalExceptions[Active 0/1],1,PersonalExceptions[Effetto],"Rest")</f>
        <v>0</v>
      </c>
      <c r="AS80">
        <f>COUNTIFS(PersonalExceptions[Colonna],5,PersonalExceptions[Dal],"&lt;="&amp;INT(F80),PersonalExceptions[Al],"&gt;="&amp;INT(F80),PersonalExceptions[Active 0/1],1,PersonalExceptions[Effetto],"Rest")</f>
        <v>0</v>
      </c>
      <c r="AT80">
        <f>COUNTIFS(PersonalExceptions[Colonna],6,PersonalExceptions[Dal],"&lt;="&amp;INT(G80),PersonalExceptions[Al],"&gt;="&amp;INT(G80),PersonalExceptions[Active 0/1],1,PersonalExceptions[Effetto],"Rest")</f>
        <v>0</v>
      </c>
      <c r="AU80">
        <f>COUNTIFS(PersonalExceptions[Colonna],7,PersonalExceptions[Dal],"&lt;="&amp;INT(H80),PersonalExceptions[Al],"&gt;="&amp;INT(H80),PersonalExceptions[Active 0/1],1,PersonalExceptions[Effetto],"Rest")</f>
        <v>0</v>
      </c>
      <c r="AW80">
        <f>COUNTIFS(PersonalExceptions[Colonna],1,PersonalExceptions[Dal],"&lt;="&amp;INT(B80),PersonalExceptions[Al],"&gt;="&amp;INT(B80),PersonalExceptions[Active 0/1],1,PersonalExceptions[Effetto],"Activity")</f>
        <v>0</v>
      </c>
      <c r="AX80">
        <f>COUNTIFS(PersonalExceptions[Colonna],2,PersonalExceptions[Dal],"&lt;="&amp;INT(C80),PersonalExceptions[Al],"&gt;="&amp;INT(C80),PersonalExceptions[Active 0/1],1,PersonalExceptions[Effetto],"Activity")</f>
        <v>0</v>
      </c>
      <c r="AY80">
        <f>COUNTIFS(PersonalExceptions[Colonna],3,PersonalExceptions[Dal],"&lt;="&amp;INT(D80),PersonalExceptions[Al],"&gt;="&amp;INT(D80),PersonalExceptions[Active 0/1],1,PersonalExceptions[Effetto],"Activity")</f>
        <v>0</v>
      </c>
      <c r="AZ80">
        <f>COUNTIFS(PersonalExceptions[Colonna],4,PersonalExceptions[Dal],"&lt;="&amp;INT(E80),PersonalExceptions[Al],"&gt;="&amp;INT(E80),PersonalExceptions[Active 0/1],1,PersonalExceptions[Effetto],"Activity")</f>
        <v>0</v>
      </c>
      <c r="BA80">
        <f>COUNTIFS(PersonalExceptions[Colonna],5,PersonalExceptions[Dal],"&lt;="&amp;INT(F80),PersonalExceptions[Al],"&gt;="&amp;INT(F80),PersonalExceptions[Active 0/1],1,PersonalExceptions[Effetto],"Activity")</f>
        <v>0</v>
      </c>
      <c r="BB80">
        <f>COUNTIFS(PersonalExceptions[Colonna],6,PersonalExceptions[Dal],"&lt;="&amp;INT(G80),PersonalExceptions[Al],"&gt;="&amp;INT(G80),PersonalExceptions[Active 0/1],1,PersonalExceptions[Effetto],"Activity")</f>
        <v>0</v>
      </c>
      <c r="BC80">
        <f>COUNTIFS(PersonalExceptions[Colonna],7,PersonalExceptions[Dal],"&lt;="&amp;INT(H80),PersonalExceptions[Al],"&gt;="&amp;INT(H80),PersonalExceptions[Active 0/1],1,PersonalExceptions[Effetto],"Activity")</f>
        <v>0</v>
      </c>
      <c r="BE80">
        <f>IF(Planner!B$10="Nessuno",0,COUNTIFS(ImportedHolidays[Calendar],Planner!B$10,ImportedHolidays[Date],INT(B80),ImportedHolidays[Active],1,ImportedHolidays[Kind],"WORKDAY"))</f>
        <v>0</v>
      </c>
      <c r="BF80">
        <f>IF(Planner!C$10="Nessuno",0,COUNTIFS(ImportedHolidays[Calendar],Planner!C$10,ImportedHolidays[Date],INT(C80),ImportedHolidays[Active],1,ImportedHolidays[Kind],"WORKDAY"))</f>
        <v>0</v>
      </c>
      <c r="BG80">
        <f>IF(Planner!D$10="Nessuno",0,COUNTIFS(ImportedHolidays[Calendar],Planner!D$10,ImportedHolidays[Date],INT(D80),ImportedHolidays[Active],1,ImportedHolidays[Kind],"WORKDAY"))</f>
        <v>0</v>
      </c>
      <c r="BH80">
        <f>IF(Planner!E$10="Nessuno",0,COUNTIFS(ImportedHolidays[Calendar],Planner!E$10,ImportedHolidays[Date],INT(E80),ImportedHolidays[Active],1,ImportedHolidays[Kind],"WORKDAY"))</f>
        <v>0</v>
      </c>
      <c r="BI80">
        <f>IF(Planner!F$10="Nessuno",0,COUNTIFS(ImportedHolidays[Calendar],Planner!F$10,ImportedHolidays[Date],INT(F80),ImportedHolidays[Active],1,ImportedHolidays[Kind],"WORKDAY"))</f>
        <v>0</v>
      </c>
      <c r="BJ80">
        <f>IF(Planner!G$10="Nessuno",0,COUNTIFS(ImportedHolidays[Calendar],Planner!G$10,ImportedHolidays[Date],INT(G80),ImportedHolidays[Active],1,ImportedHolidays[Kind],"WORKDAY"))</f>
        <v>0</v>
      </c>
      <c r="BK80">
        <f>IF(Planner!H$10="Nessuno",0,COUNTIFS(ImportedHolidays[Calendar],Planner!H$10,ImportedHolidays[Date],INT(H80),ImportedHolidays[Active],1,ImportedHolidays[Kind],"WORKDAY"))</f>
        <v>0</v>
      </c>
      <c r="BM80">
        <f>IF(MOD(J80-B$11,1440)&lt;B$12,2,IF(OR(MOD(J80-B$11,1440)&lt;B$12+ROUND(Planner!$D$5*60,0),MOD(J80-B$11,1440)&gt;=1440-ROUND(Planner!$B$5*60,0)),1,0))</f>
        <v>2</v>
      </c>
      <c r="BN80">
        <f>IF(MOD(K80-C$11,1440)&lt;C$12,2,IF(OR(MOD(K80-C$11,1440)&lt;C$12+ROUND(Planner!$D$5*60,0),MOD(K80-C$11,1440)&gt;=1440-ROUND(Planner!$B$5*60,0)),1,0))</f>
        <v>1</v>
      </c>
      <c r="BO80">
        <f>IF(MOD(L80-D$11,1440)&lt;D$12,2,IF(OR(MOD(L80-D$11,1440)&lt;D$12+ROUND(Planner!$D$5*60,0),MOD(L80-D$11,1440)&gt;=1440-ROUND(Planner!$B$5*60,0)),1,0))</f>
        <v>2</v>
      </c>
      <c r="BP80">
        <f>IF(MOD(M80-E$11,1440)&lt;E$12,2,IF(OR(MOD(M80-E$11,1440)&lt;E$12+ROUND(Planner!$D$5*60,0),MOD(M80-E$11,1440)&gt;=1440-ROUND(Planner!$B$5*60,0)),1,0))</f>
        <v>2</v>
      </c>
      <c r="BQ80">
        <f>IF(MOD(N80-F$11,1440)&lt;F$12,2,IF(OR(MOD(N80-F$11,1440)&lt;F$12+ROUND(Planner!$D$5*60,0),MOD(N80-F$11,1440)&gt;=1440-ROUND(Planner!$B$5*60,0)),1,0))</f>
        <v>2</v>
      </c>
      <c r="BR80">
        <f>IF(MOD(O80-G$11,1440)&lt;G$12,2,IF(OR(MOD(O80-G$11,1440)&lt;G$12+ROUND(Planner!$D$5*60,0),MOD(O80-G$11,1440)&gt;=1440-ROUND(Planner!$B$5*60,0)),1,0))</f>
        <v>1</v>
      </c>
      <c r="BS80">
        <f>IF(MOD(P80-H$11,1440)&lt;H$12,2,IF(OR(MOD(P80-H$11,1440)&lt;H$12+ROUND(Planner!$D$5*60,0),MOD(P80-H$11,1440)&gt;=1440-ROUND(Planner!$B$5*60,0)),1,0))</f>
        <v>0</v>
      </c>
    </row>
    <row r="81" spans="1:71">
      <c r="A81" s="22">
        <f>ROUND(($B$6+40*Planner!$F$4/1440)*1440,0)/1440</f>
        <v>46289.541666666664</v>
      </c>
      <c r="B81" s="22">
        <f>IF(COUNTIFS(ZonePeriods[Code],Planner!B$9,ZonePeriods[FromUtc],"&lt;="&amp;$A81,ZonePeriods[UntilUtc],"&gt;"&amp;$A81)=1,ROUND(($A81+SUMIFS(ZonePeriods[OffsetHours],ZonePeriods[Code],Planner!B$9,ZonePeriods[FromUtc],"&lt;="&amp;$A81,ZonePeriods[UntilUtc],"&gt;"&amp;$A81)/24)*1440,0)/1440,NA())</f>
        <v>46289.833333333336</v>
      </c>
      <c r="C81" s="22">
        <f>IF(COUNTIFS(ZonePeriods[Code],Planner!C$9,ZonePeriods[FromUtc],"&lt;="&amp;$A81,ZonePeriods[UntilUtc],"&gt;"&amp;$A81)=1,ROUND(($A81+SUMIFS(ZonePeriods[OffsetHours],ZonePeriods[Code],Planner!C$9,ZonePeriods[FromUtc],"&lt;="&amp;$A81,ZonePeriods[UntilUtc],"&gt;"&amp;$A81)/24)*1440,0)/1440,NA())</f>
        <v>46289.770833333336</v>
      </c>
      <c r="D81" s="22">
        <f>IF(COUNTIFS(ZonePeriods[Code],Planner!D$9,ZonePeriods[FromUtc],"&lt;="&amp;$A81,ZonePeriods[UntilUtc],"&gt;"&amp;$A81)=1,ROUND(($A81+SUMIFS(ZonePeriods[OffsetHours],ZonePeriods[Code],Planner!D$9,ZonePeriods[FromUtc],"&lt;="&amp;$A81,ZonePeriods[UntilUtc],"&gt;"&amp;$A81)/24)*1440,0)/1440,NA())</f>
        <v>46289.666666666664</v>
      </c>
      <c r="E81" s="22">
        <f>IF(COUNTIFS(ZonePeriods[Code],Planner!E$9,ZonePeriods[FromUtc],"&lt;="&amp;$A81,ZonePeriods[UntilUtc],"&gt;"&amp;$A81)=1,ROUND(($A81+SUMIFS(ZonePeriods[OffsetHours],ZonePeriods[Code],Planner!E$9,ZonePeriods[FromUtc],"&lt;="&amp;$A81,ZonePeriods[UntilUtc],"&gt;"&amp;$A81)/24)*1440,0)/1440,NA())</f>
        <v>46289.625</v>
      </c>
      <c r="F81" s="22">
        <f>IF(COUNTIFS(ZonePeriods[Code],Planner!F$9,ZonePeriods[FromUtc],"&lt;="&amp;$A81,ZonePeriods[UntilUtc],"&gt;"&amp;$A81)=1,ROUND(($A81+SUMIFS(ZonePeriods[OffsetHours],ZonePeriods[Code],Planner!F$9,ZonePeriods[FromUtc],"&lt;="&amp;$A81,ZonePeriods[UntilUtc],"&gt;"&amp;$A81)/24)*1440,0)/1440,NA())</f>
        <v>46289.583333333336</v>
      </c>
      <c r="G81" s="22">
        <f>IF(COUNTIFS(ZonePeriods[Code],Planner!G$9,ZonePeriods[FromUtc],"&lt;="&amp;$A81,ZonePeriods[UntilUtc],"&gt;"&amp;$A81)=1,ROUND(($A81+SUMIFS(ZonePeriods[OffsetHours],ZonePeriods[Code],Planner!G$9,ZonePeriods[FromUtc],"&lt;="&amp;$A81,ZonePeriods[UntilUtc],"&gt;"&amp;$A81)/24)*1440,0)/1440,NA())</f>
        <v>46289.375</v>
      </c>
      <c r="H81" s="22">
        <f>IF(COUNTIFS(ZonePeriods[Code],Planner!H$9,ZonePeriods[FromUtc],"&lt;="&amp;$A81,ZonePeriods[UntilUtc],"&gt;"&amp;$A81)=1,ROUND(($A81+SUMIFS(ZonePeriods[OffsetHours],ZonePeriods[Code],Planner!H$9,ZonePeriods[FromUtc],"&lt;="&amp;$A81,ZonePeriods[UntilUtc],"&gt;"&amp;$A81)/24)*1440,0)/1440,NA())</f>
        <v>46289.25</v>
      </c>
      <c r="I81" s="1"/>
      <c r="J81" s="1">
        <f t="shared" ref="J81:J88" si="28">MOD(ROUND(B81*1440,0),1440)</f>
        <v>1200</v>
      </c>
      <c r="K81" s="1">
        <f t="shared" ref="K81:K88" si="29">MOD(ROUND(C81*1440,0),1440)</f>
        <v>1110</v>
      </c>
      <c r="L81" s="1">
        <f t="shared" ref="L81:L88" si="30">MOD(ROUND(D81*1440,0),1440)</f>
        <v>960</v>
      </c>
      <c r="M81" s="1">
        <f t="shared" ref="M81:M88" si="31">MOD(ROUND(E81*1440,0),1440)</f>
        <v>900</v>
      </c>
      <c r="N81" s="1">
        <f t="shared" ref="N81:N88" si="32">MOD(ROUND(F81*1440,0),1440)</f>
        <v>840</v>
      </c>
      <c r="O81" s="1">
        <f t="shared" ref="O81:O88" si="33">MOD(ROUND(G81*1440,0),1440)</f>
        <v>540</v>
      </c>
      <c r="P81" s="1">
        <f t="shared" ref="P81:P88" si="34">MOD(ROUND(H81*1440,0),1440)</f>
        <v>360</v>
      </c>
      <c r="Q81" s="1"/>
      <c r="R81" s="1">
        <f t="shared" ref="R81:R88" si="35">IFERROR(IF(AND($B$7,$B$8,B$10),IF(AO81+AW81&gt;1,-1,IF(AO81=1,0,IF(AW81=1,BM81,IF(Z81&gt;0,0,IF(AND(AH81,BE81=0),0,BM81))))),-1),-1)</f>
        <v>2</v>
      </c>
      <c r="S81" s="1">
        <f t="shared" ref="S81:S88" si="36">IFERROR(IF(AND($B$7,$B$8,C$10),IF(AP81+AX81&gt;1,-1,IF(AP81=1,0,IF(AX81=1,BN81,IF(AA81&gt;0,0,IF(AND(AI81,BF81=0),0,BN81))))),-1),-1)</f>
        <v>1</v>
      </c>
      <c r="T81" s="1">
        <f t="shared" ref="T81:T88" si="37">IFERROR(IF(AND($B$7,$B$8,D$10),IF(AQ81+AY81&gt;1,-1,IF(AQ81=1,0,IF(AY81=1,BO81,IF(AB81&gt;0,0,IF(AND(AJ81,BG81=0),0,BO81))))),-1),-1)</f>
        <v>2</v>
      </c>
      <c r="U81" s="1">
        <f t="shared" ref="U81:U88" si="38">IFERROR(IF(AND($B$7,$B$8,E$10),IF(AR81+AZ81&gt;1,-1,IF(AR81=1,0,IF(AZ81=1,BP81,IF(AC81&gt;0,0,IF(AND(AK81,BH81=0),0,BP81))))),-1),-1)</f>
        <v>2</v>
      </c>
      <c r="V81" s="1">
        <f t="shared" ref="V81:V88" si="39">IFERROR(IF(AND($B$7,$B$8,F$10),IF(AS81+BA81&gt;1,-1,IF(AS81=1,0,IF(BA81=1,BQ81,IF(AD81&gt;0,0,IF(AND(AL81,BI81=0),0,BQ81))))),-1),-1)</f>
        <v>2</v>
      </c>
      <c r="W81" s="1">
        <f t="shared" ref="W81:W88" si="40">IFERROR(IF(AND($B$7,$B$8,G$10),IF(AT81+BB81&gt;1,-1,IF(AT81=1,0,IF(BB81=1,BR81,IF(AE81&gt;0,0,IF(AND(AM81,BJ81=0),0,BR81))))),-1),-1)</f>
        <v>2</v>
      </c>
      <c r="X81" s="1">
        <f t="shared" ref="X81:X88" si="41">IFERROR(IF(AND($B$7,$B$8,H$10),IF(AU81+BC81&gt;1,-1,IF(AU81=1,0,IF(BC81=1,BS81,IF(AF81&gt;0,0,IF(AND(AN81,BK81=0),0,BS81))))),-1),-1)</f>
        <v>0</v>
      </c>
      <c r="Y81" s="1"/>
      <c r="Z81" s="1">
        <f>IF(Planner!B$10="Nessuno",0,COUNTIFS(HolidayDates[Calendar],Planner!B$10,HolidayDates[Local date],INT(B81),HolidayDates[Active 0/1],1)+COUNTIFS(ImportedHolidays[Calendar],Planner!B$10,ImportedHolidays[Date],INT(B81),ImportedHolidays[Active],1,ImportedHolidays[Kind],"HOLIDAY"))</f>
        <v>0</v>
      </c>
      <c r="AA81" s="1">
        <f>IF(Planner!C$10="Nessuno",0,COUNTIFS(HolidayDates[Calendar],Planner!C$10,HolidayDates[Local date],INT(C81),HolidayDates[Active 0/1],1)+COUNTIFS(ImportedHolidays[Calendar],Planner!C$10,ImportedHolidays[Date],INT(C81),ImportedHolidays[Active],1,ImportedHolidays[Kind],"HOLIDAY"))</f>
        <v>0</v>
      </c>
      <c r="AB81" s="1">
        <f>IF(Planner!D$10="Nessuno",0,COUNTIFS(HolidayDates[Calendar],Planner!D$10,HolidayDates[Local date],INT(D81),HolidayDates[Active 0/1],1)+COUNTIFS(ImportedHolidays[Calendar],Planner!D$10,ImportedHolidays[Date],INT(D81),ImportedHolidays[Active],1,ImportedHolidays[Kind],"HOLIDAY"))</f>
        <v>0</v>
      </c>
      <c r="AC81" s="1">
        <f>IF(Planner!E$10="Nessuno",0,COUNTIFS(HolidayDates[Calendar],Planner!E$10,HolidayDates[Local date],INT(E81),HolidayDates[Active 0/1],1)+COUNTIFS(ImportedHolidays[Calendar],Planner!E$10,ImportedHolidays[Date],INT(E81),ImportedHolidays[Active],1,ImportedHolidays[Kind],"HOLIDAY"))</f>
        <v>0</v>
      </c>
      <c r="AD81" s="1">
        <f>IF(Planner!F$10="Nessuno",0,COUNTIFS(HolidayDates[Calendar],Planner!F$10,HolidayDates[Local date],INT(F81),HolidayDates[Active 0/1],1)+COUNTIFS(ImportedHolidays[Calendar],Planner!F$10,ImportedHolidays[Date],INT(F81),ImportedHolidays[Active],1,ImportedHolidays[Kind],"HOLIDAY"))</f>
        <v>0</v>
      </c>
      <c r="AE81" s="1">
        <f>IF(Planner!G$10="Nessuno",0,COUNTIFS(HolidayDates[Calendar],Planner!G$10,HolidayDates[Local date],INT(G81),HolidayDates[Active 0/1],1)+COUNTIFS(ImportedHolidays[Calendar],Planner!G$10,ImportedHolidays[Date],INT(G81),ImportedHolidays[Active],1,ImportedHolidays[Kind],"HOLIDAY"))</f>
        <v>0</v>
      </c>
      <c r="AF81" s="1">
        <f>IF(Planner!H$10="Nessuno",0,COUNTIFS(HolidayDates[Calendar],Planner!H$10,HolidayDates[Local date],INT(H81),HolidayDates[Active 0/1],1)+COUNTIFS(ImportedHolidays[Calendar],Planner!H$10,ImportedHolidays[Date],INT(H81),ImportedHolidays[Active],1,ImportedHolidays[Kind],"HOLIDAY"))</f>
        <v>0</v>
      </c>
      <c r="AG81" s="1"/>
      <c r="AH81" s="1" t="b">
        <f>INDEX(Parametri!$G12:$M12,1,WEEKDAY(INT(B81),2))=1</f>
        <v>0</v>
      </c>
      <c r="AI81" s="1" t="b">
        <f>INDEX(Parametri!$G13:$M13,1,WEEKDAY(INT(C81),2))=1</f>
        <v>0</v>
      </c>
      <c r="AJ81" s="1" t="b">
        <f>INDEX(Parametri!$G14:$M14,1,WEEKDAY(INT(D81),2))=1</f>
        <v>0</v>
      </c>
      <c r="AK81" s="1" t="b">
        <f>INDEX(Parametri!$G15:$M15,1,WEEKDAY(INT(E81),2))=1</f>
        <v>0</v>
      </c>
      <c r="AL81" s="1" t="b">
        <f>INDEX(Parametri!$G16:$M16,1,WEEKDAY(INT(F81),2))=1</f>
        <v>0</v>
      </c>
      <c r="AM81" s="1" t="b">
        <f>INDEX(Parametri!$G17:$M17,1,WEEKDAY(INT(G81),2))=1</f>
        <v>0</v>
      </c>
      <c r="AN81" s="1" t="b">
        <f>INDEX(Parametri!$G18:$M18,1,WEEKDAY(INT(H81),2))=1</f>
        <v>0</v>
      </c>
      <c r="AO81">
        <f>COUNTIFS(PersonalExceptions[Colonna],1,PersonalExceptions[Dal],"&lt;="&amp;INT(B81),PersonalExceptions[Al],"&gt;="&amp;INT(B81),PersonalExceptions[Active 0/1],1,PersonalExceptions[Effetto],"Rest")</f>
        <v>0</v>
      </c>
      <c r="AP81">
        <f>COUNTIFS(PersonalExceptions[Colonna],2,PersonalExceptions[Dal],"&lt;="&amp;INT(C81),PersonalExceptions[Al],"&gt;="&amp;INT(C81),PersonalExceptions[Active 0/1],1,PersonalExceptions[Effetto],"Rest")</f>
        <v>0</v>
      </c>
      <c r="AQ81">
        <f>COUNTIFS(PersonalExceptions[Colonna],3,PersonalExceptions[Dal],"&lt;="&amp;INT(D81),PersonalExceptions[Al],"&gt;="&amp;INT(D81),PersonalExceptions[Active 0/1],1,PersonalExceptions[Effetto],"Rest")</f>
        <v>0</v>
      </c>
      <c r="AR81">
        <f>COUNTIFS(PersonalExceptions[Colonna],4,PersonalExceptions[Dal],"&lt;="&amp;INT(E81),PersonalExceptions[Al],"&gt;="&amp;INT(E81),PersonalExceptions[Active 0/1],1,PersonalExceptions[Effetto],"Rest")</f>
        <v>0</v>
      </c>
      <c r="AS81">
        <f>COUNTIFS(PersonalExceptions[Colonna],5,PersonalExceptions[Dal],"&lt;="&amp;INT(F81),PersonalExceptions[Al],"&gt;="&amp;INT(F81),PersonalExceptions[Active 0/1],1,PersonalExceptions[Effetto],"Rest")</f>
        <v>0</v>
      </c>
      <c r="AT81">
        <f>COUNTIFS(PersonalExceptions[Colonna],6,PersonalExceptions[Dal],"&lt;="&amp;INT(G81),PersonalExceptions[Al],"&gt;="&amp;INT(G81),PersonalExceptions[Active 0/1],1,PersonalExceptions[Effetto],"Rest")</f>
        <v>0</v>
      </c>
      <c r="AU81">
        <f>COUNTIFS(PersonalExceptions[Colonna],7,PersonalExceptions[Dal],"&lt;="&amp;INT(H81),PersonalExceptions[Al],"&gt;="&amp;INT(H81),PersonalExceptions[Active 0/1],1,PersonalExceptions[Effetto],"Rest")</f>
        <v>0</v>
      </c>
      <c r="AW81">
        <f>COUNTIFS(PersonalExceptions[Colonna],1,PersonalExceptions[Dal],"&lt;="&amp;INT(B81),PersonalExceptions[Al],"&gt;="&amp;INT(B81),PersonalExceptions[Active 0/1],1,PersonalExceptions[Effetto],"Activity")</f>
        <v>0</v>
      </c>
      <c r="AX81">
        <f>COUNTIFS(PersonalExceptions[Colonna],2,PersonalExceptions[Dal],"&lt;="&amp;INT(C81),PersonalExceptions[Al],"&gt;="&amp;INT(C81),PersonalExceptions[Active 0/1],1,PersonalExceptions[Effetto],"Activity")</f>
        <v>0</v>
      </c>
      <c r="AY81">
        <f>COUNTIFS(PersonalExceptions[Colonna],3,PersonalExceptions[Dal],"&lt;="&amp;INT(D81),PersonalExceptions[Al],"&gt;="&amp;INT(D81),PersonalExceptions[Active 0/1],1,PersonalExceptions[Effetto],"Activity")</f>
        <v>0</v>
      </c>
      <c r="AZ81">
        <f>COUNTIFS(PersonalExceptions[Colonna],4,PersonalExceptions[Dal],"&lt;="&amp;INT(E81),PersonalExceptions[Al],"&gt;="&amp;INT(E81),PersonalExceptions[Active 0/1],1,PersonalExceptions[Effetto],"Activity")</f>
        <v>0</v>
      </c>
      <c r="BA81">
        <f>COUNTIFS(PersonalExceptions[Colonna],5,PersonalExceptions[Dal],"&lt;="&amp;INT(F81),PersonalExceptions[Al],"&gt;="&amp;INT(F81),PersonalExceptions[Active 0/1],1,PersonalExceptions[Effetto],"Activity")</f>
        <v>0</v>
      </c>
      <c r="BB81">
        <f>COUNTIFS(PersonalExceptions[Colonna],6,PersonalExceptions[Dal],"&lt;="&amp;INT(G81),PersonalExceptions[Al],"&gt;="&amp;INT(G81),PersonalExceptions[Active 0/1],1,PersonalExceptions[Effetto],"Activity")</f>
        <v>0</v>
      </c>
      <c r="BC81">
        <f>COUNTIFS(PersonalExceptions[Colonna],7,PersonalExceptions[Dal],"&lt;="&amp;INT(H81),PersonalExceptions[Al],"&gt;="&amp;INT(H81),PersonalExceptions[Active 0/1],1,PersonalExceptions[Effetto],"Activity")</f>
        <v>0</v>
      </c>
      <c r="BE81">
        <f>IF(Planner!B$10="Nessuno",0,COUNTIFS(ImportedHolidays[Calendar],Planner!B$10,ImportedHolidays[Date],INT(B81),ImportedHolidays[Active],1,ImportedHolidays[Kind],"WORKDAY"))</f>
        <v>0</v>
      </c>
      <c r="BF81">
        <f>IF(Planner!C$10="Nessuno",0,COUNTIFS(ImportedHolidays[Calendar],Planner!C$10,ImportedHolidays[Date],INT(C81),ImportedHolidays[Active],1,ImportedHolidays[Kind],"WORKDAY"))</f>
        <v>0</v>
      </c>
      <c r="BG81">
        <f>IF(Planner!D$10="Nessuno",0,COUNTIFS(ImportedHolidays[Calendar],Planner!D$10,ImportedHolidays[Date],INT(D81),ImportedHolidays[Active],1,ImportedHolidays[Kind],"WORKDAY"))</f>
        <v>0</v>
      </c>
      <c r="BH81">
        <f>IF(Planner!E$10="Nessuno",0,COUNTIFS(ImportedHolidays[Calendar],Planner!E$10,ImportedHolidays[Date],INT(E81),ImportedHolidays[Active],1,ImportedHolidays[Kind],"WORKDAY"))</f>
        <v>0</v>
      </c>
      <c r="BI81">
        <f>IF(Planner!F$10="Nessuno",0,COUNTIFS(ImportedHolidays[Calendar],Planner!F$10,ImportedHolidays[Date],INT(F81),ImportedHolidays[Active],1,ImportedHolidays[Kind],"WORKDAY"))</f>
        <v>0</v>
      </c>
      <c r="BJ81">
        <f>IF(Planner!G$10="Nessuno",0,COUNTIFS(ImportedHolidays[Calendar],Planner!G$10,ImportedHolidays[Date],INT(G81),ImportedHolidays[Active],1,ImportedHolidays[Kind],"WORKDAY"))</f>
        <v>0</v>
      </c>
      <c r="BK81">
        <f>IF(Planner!H$10="Nessuno",0,COUNTIFS(ImportedHolidays[Calendar],Planner!H$10,ImportedHolidays[Date],INT(H81),ImportedHolidays[Active],1,ImportedHolidays[Kind],"WORKDAY"))</f>
        <v>0</v>
      </c>
      <c r="BM81">
        <f>IF(MOD(J81-B$11,1440)&lt;B$12,2,IF(OR(MOD(J81-B$11,1440)&lt;B$12+ROUND(Planner!$D$5*60,0),MOD(J81-B$11,1440)&gt;=1440-ROUND(Planner!$B$5*60,0)),1,0))</f>
        <v>2</v>
      </c>
      <c r="BN81">
        <f>IF(MOD(K81-C$11,1440)&lt;C$12,2,IF(OR(MOD(K81-C$11,1440)&lt;C$12+ROUND(Planner!$D$5*60,0),MOD(K81-C$11,1440)&gt;=1440-ROUND(Planner!$B$5*60,0)),1,0))</f>
        <v>1</v>
      </c>
      <c r="BO81">
        <f>IF(MOD(L81-D$11,1440)&lt;D$12,2,IF(OR(MOD(L81-D$11,1440)&lt;D$12+ROUND(Planner!$D$5*60,0),MOD(L81-D$11,1440)&gt;=1440-ROUND(Planner!$B$5*60,0)),1,0))</f>
        <v>2</v>
      </c>
      <c r="BP81">
        <f>IF(MOD(M81-E$11,1440)&lt;E$12,2,IF(OR(MOD(M81-E$11,1440)&lt;E$12+ROUND(Planner!$D$5*60,0),MOD(M81-E$11,1440)&gt;=1440-ROUND(Planner!$B$5*60,0)),1,0))</f>
        <v>2</v>
      </c>
      <c r="BQ81">
        <f>IF(MOD(N81-F$11,1440)&lt;F$12,2,IF(OR(MOD(N81-F$11,1440)&lt;F$12+ROUND(Planner!$D$5*60,0),MOD(N81-F$11,1440)&gt;=1440-ROUND(Planner!$B$5*60,0)),1,0))</f>
        <v>2</v>
      </c>
      <c r="BR81">
        <f>IF(MOD(O81-G$11,1440)&lt;G$12,2,IF(OR(MOD(O81-G$11,1440)&lt;G$12+ROUND(Planner!$D$5*60,0),MOD(O81-G$11,1440)&gt;=1440-ROUND(Planner!$B$5*60,0)),1,0))</f>
        <v>2</v>
      </c>
      <c r="BS81">
        <f>IF(MOD(P81-H$11,1440)&lt;H$12,2,IF(OR(MOD(P81-H$11,1440)&lt;H$12+ROUND(Planner!$D$5*60,0),MOD(P81-H$11,1440)&gt;=1440-ROUND(Planner!$B$5*60,0)),1,0))</f>
        <v>0</v>
      </c>
    </row>
    <row r="82" spans="1:71">
      <c r="A82" s="22">
        <f>ROUND(($B$6+41*Planner!$F$4/1440)*1440,0)/1440</f>
        <v>46289.5625</v>
      </c>
      <c r="B82" s="22">
        <f>IF(COUNTIFS(ZonePeriods[Code],Planner!B$9,ZonePeriods[FromUtc],"&lt;="&amp;$A82,ZonePeriods[UntilUtc],"&gt;"&amp;$A82)=1,ROUND(($A82+SUMIFS(ZonePeriods[OffsetHours],ZonePeriods[Code],Planner!B$9,ZonePeriods[FromUtc],"&lt;="&amp;$A82,ZonePeriods[UntilUtc],"&gt;"&amp;$A82)/24)*1440,0)/1440,NA())</f>
        <v>46289.854166666664</v>
      </c>
      <c r="C82" s="22">
        <f>IF(COUNTIFS(ZonePeriods[Code],Planner!C$9,ZonePeriods[FromUtc],"&lt;="&amp;$A82,ZonePeriods[UntilUtc],"&gt;"&amp;$A82)=1,ROUND(($A82+SUMIFS(ZonePeriods[OffsetHours],ZonePeriods[Code],Planner!C$9,ZonePeriods[FromUtc],"&lt;="&amp;$A82,ZonePeriods[UntilUtc],"&gt;"&amp;$A82)/24)*1440,0)/1440,NA())</f>
        <v>46289.791666666664</v>
      </c>
      <c r="D82" s="22">
        <f>IF(COUNTIFS(ZonePeriods[Code],Planner!D$9,ZonePeriods[FromUtc],"&lt;="&amp;$A82,ZonePeriods[UntilUtc],"&gt;"&amp;$A82)=1,ROUND(($A82+SUMIFS(ZonePeriods[OffsetHours],ZonePeriods[Code],Planner!D$9,ZonePeriods[FromUtc],"&lt;="&amp;$A82,ZonePeriods[UntilUtc],"&gt;"&amp;$A82)/24)*1440,0)/1440,NA())</f>
        <v>46289.6875</v>
      </c>
      <c r="E82" s="22">
        <f>IF(COUNTIFS(ZonePeriods[Code],Planner!E$9,ZonePeriods[FromUtc],"&lt;="&amp;$A82,ZonePeriods[UntilUtc],"&gt;"&amp;$A82)=1,ROUND(($A82+SUMIFS(ZonePeriods[OffsetHours],ZonePeriods[Code],Planner!E$9,ZonePeriods[FromUtc],"&lt;="&amp;$A82,ZonePeriods[UntilUtc],"&gt;"&amp;$A82)/24)*1440,0)/1440,NA())</f>
        <v>46289.645833333336</v>
      </c>
      <c r="F82" s="22">
        <f>IF(COUNTIFS(ZonePeriods[Code],Planner!F$9,ZonePeriods[FromUtc],"&lt;="&amp;$A82,ZonePeriods[UntilUtc],"&gt;"&amp;$A82)=1,ROUND(($A82+SUMIFS(ZonePeriods[OffsetHours],ZonePeriods[Code],Planner!F$9,ZonePeriods[FromUtc],"&lt;="&amp;$A82,ZonePeriods[UntilUtc],"&gt;"&amp;$A82)/24)*1440,0)/1440,NA())</f>
        <v>46289.604166666664</v>
      </c>
      <c r="G82" s="22">
        <f>IF(COUNTIFS(ZonePeriods[Code],Planner!G$9,ZonePeriods[FromUtc],"&lt;="&amp;$A82,ZonePeriods[UntilUtc],"&gt;"&amp;$A82)=1,ROUND(($A82+SUMIFS(ZonePeriods[OffsetHours],ZonePeriods[Code],Planner!G$9,ZonePeriods[FromUtc],"&lt;="&amp;$A82,ZonePeriods[UntilUtc],"&gt;"&amp;$A82)/24)*1440,0)/1440,NA())</f>
        <v>46289.395833333336</v>
      </c>
      <c r="H82" s="22">
        <f>IF(COUNTIFS(ZonePeriods[Code],Planner!H$9,ZonePeriods[FromUtc],"&lt;="&amp;$A82,ZonePeriods[UntilUtc],"&gt;"&amp;$A82)=1,ROUND(($A82+SUMIFS(ZonePeriods[OffsetHours],ZonePeriods[Code],Planner!H$9,ZonePeriods[FromUtc],"&lt;="&amp;$A82,ZonePeriods[UntilUtc],"&gt;"&amp;$A82)/24)*1440,0)/1440,NA())</f>
        <v>46289.270833333336</v>
      </c>
      <c r="I82" s="1"/>
      <c r="J82" s="1">
        <f t="shared" si="28"/>
        <v>1230</v>
      </c>
      <c r="K82" s="1">
        <f t="shared" si="29"/>
        <v>1140</v>
      </c>
      <c r="L82" s="1">
        <f t="shared" si="30"/>
        <v>990</v>
      </c>
      <c r="M82" s="1">
        <f t="shared" si="31"/>
        <v>930</v>
      </c>
      <c r="N82" s="1">
        <f t="shared" si="32"/>
        <v>870</v>
      </c>
      <c r="O82" s="1">
        <f t="shared" si="33"/>
        <v>570</v>
      </c>
      <c r="P82" s="1">
        <f t="shared" si="34"/>
        <v>390</v>
      </c>
      <c r="Q82" s="1"/>
      <c r="R82" s="1">
        <f t="shared" si="35"/>
        <v>2</v>
      </c>
      <c r="S82" s="1">
        <f t="shared" si="36"/>
        <v>1</v>
      </c>
      <c r="T82" s="1">
        <f t="shared" si="37"/>
        <v>2</v>
      </c>
      <c r="U82" s="1">
        <f t="shared" si="38"/>
        <v>2</v>
      </c>
      <c r="V82" s="1">
        <f t="shared" si="39"/>
        <v>2</v>
      </c>
      <c r="W82" s="1">
        <f t="shared" si="40"/>
        <v>2</v>
      </c>
      <c r="X82" s="1">
        <f t="shared" si="41"/>
        <v>0</v>
      </c>
      <c r="Y82" s="1"/>
      <c r="Z82" s="1">
        <f>IF(Planner!B$10="Nessuno",0,COUNTIFS(HolidayDates[Calendar],Planner!B$10,HolidayDates[Local date],INT(B82),HolidayDates[Active 0/1],1)+COUNTIFS(ImportedHolidays[Calendar],Planner!B$10,ImportedHolidays[Date],INT(B82),ImportedHolidays[Active],1,ImportedHolidays[Kind],"HOLIDAY"))</f>
        <v>0</v>
      </c>
      <c r="AA82" s="1">
        <f>IF(Planner!C$10="Nessuno",0,COUNTIFS(HolidayDates[Calendar],Planner!C$10,HolidayDates[Local date],INT(C82),HolidayDates[Active 0/1],1)+COUNTIFS(ImportedHolidays[Calendar],Planner!C$10,ImportedHolidays[Date],INT(C82),ImportedHolidays[Active],1,ImportedHolidays[Kind],"HOLIDAY"))</f>
        <v>0</v>
      </c>
      <c r="AB82" s="1">
        <f>IF(Planner!D$10="Nessuno",0,COUNTIFS(HolidayDates[Calendar],Planner!D$10,HolidayDates[Local date],INT(D82),HolidayDates[Active 0/1],1)+COUNTIFS(ImportedHolidays[Calendar],Planner!D$10,ImportedHolidays[Date],INT(D82),ImportedHolidays[Active],1,ImportedHolidays[Kind],"HOLIDAY"))</f>
        <v>0</v>
      </c>
      <c r="AC82" s="1">
        <f>IF(Planner!E$10="Nessuno",0,COUNTIFS(HolidayDates[Calendar],Planner!E$10,HolidayDates[Local date],INT(E82),HolidayDates[Active 0/1],1)+COUNTIFS(ImportedHolidays[Calendar],Planner!E$10,ImportedHolidays[Date],INT(E82),ImportedHolidays[Active],1,ImportedHolidays[Kind],"HOLIDAY"))</f>
        <v>0</v>
      </c>
      <c r="AD82" s="1">
        <f>IF(Planner!F$10="Nessuno",0,COUNTIFS(HolidayDates[Calendar],Planner!F$10,HolidayDates[Local date],INT(F82),HolidayDates[Active 0/1],1)+COUNTIFS(ImportedHolidays[Calendar],Planner!F$10,ImportedHolidays[Date],INT(F82),ImportedHolidays[Active],1,ImportedHolidays[Kind],"HOLIDAY"))</f>
        <v>0</v>
      </c>
      <c r="AE82" s="1">
        <f>IF(Planner!G$10="Nessuno",0,COUNTIFS(HolidayDates[Calendar],Planner!G$10,HolidayDates[Local date],INT(G82),HolidayDates[Active 0/1],1)+COUNTIFS(ImportedHolidays[Calendar],Planner!G$10,ImportedHolidays[Date],INT(G82),ImportedHolidays[Active],1,ImportedHolidays[Kind],"HOLIDAY"))</f>
        <v>0</v>
      </c>
      <c r="AF82" s="1">
        <f>IF(Planner!H$10="Nessuno",0,COUNTIFS(HolidayDates[Calendar],Planner!H$10,HolidayDates[Local date],INT(H82),HolidayDates[Active 0/1],1)+COUNTIFS(ImportedHolidays[Calendar],Planner!H$10,ImportedHolidays[Date],INT(H82),ImportedHolidays[Active],1,ImportedHolidays[Kind],"HOLIDAY"))</f>
        <v>0</v>
      </c>
      <c r="AG82" s="1"/>
      <c r="AH82" s="1" t="b">
        <f>INDEX(Parametri!$G12:$M12,1,WEEKDAY(INT(B82),2))=1</f>
        <v>0</v>
      </c>
      <c r="AI82" s="1" t="b">
        <f>INDEX(Parametri!$G13:$M13,1,WEEKDAY(INT(C82),2))=1</f>
        <v>0</v>
      </c>
      <c r="AJ82" s="1" t="b">
        <f>INDEX(Parametri!$G14:$M14,1,WEEKDAY(INT(D82),2))=1</f>
        <v>0</v>
      </c>
      <c r="AK82" s="1" t="b">
        <f>INDEX(Parametri!$G15:$M15,1,WEEKDAY(INT(E82),2))=1</f>
        <v>0</v>
      </c>
      <c r="AL82" s="1" t="b">
        <f>INDEX(Parametri!$G16:$M16,1,WEEKDAY(INT(F82),2))=1</f>
        <v>0</v>
      </c>
      <c r="AM82" s="1" t="b">
        <f>INDEX(Parametri!$G17:$M17,1,WEEKDAY(INT(G82),2))=1</f>
        <v>0</v>
      </c>
      <c r="AN82" s="1" t="b">
        <f>INDEX(Parametri!$G18:$M18,1,WEEKDAY(INT(H82),2))=1</f>
        <v>0</v>
      </c>
      <c r="AO82">
        <f>COUNTIFS(PersonalExceptions[Colonna],1,PersonalExceptions[Dal],"&lt;="&amp;INT(B82),PersonalExceptions[Al],"&gt;="&amp;INT(B82),PersonalExceptions[Active 0/1],1,PersonalExceptions[Effetto],"Rest")</f>
        <v>0</v>
      </c>
      <c r="AP82">
        <f>COUNTIFS(PersonalExceptions[Colonna],2,PersonalExceptions[Dal],"&lt;="&amp;INT(C82),PersonalExceptions[Al],"&gt;="&amp;INT(C82),PersonalExceptions[Active 0/1],1,PersonalExceptions[Effetto],"Rest")</f>
        <v>0</v>
      </c>
      <c r="AQ82">
        <f>COUNTIFS(PersonalExceptions[Colonna],3,PersonalExceptions[Dal],"&lt;="&amp;INT(D82),PersonalExceptions[Al],"&gt;="&amp;INT(D82),PersonalExceptions[Active 0/1],1,PersonalExceptions[Effetto],"Rest")</f>
        <v>0</v>
      </c>
      <c r="AR82">
        <f>COUNTIFS(PersonalExceptions[Colonna],4,PersonalExceptions[Dal],"&lt;="&amp;INT(E82),PersonalExceptions[Al],"&gt;="&amp;INT(E82),PersonalExceptions[Active 0/1],1,PersonalExceptions[Effetto],"Rest")</f>
        <v>0</v>
      </c>
      <c r="AS82">
        <f>COUNTIFS(PersonalExceptions[Colonna],5,PersonalExceptions[Dal],"&lt;="&amp;INT(F82),PersonalExceptions[Al],"&gt;="&amp;INT(F82),PersonalExceptions[Active 0/1],1,PersonalExceptions[Effetto],"Rest")</f>
        <v>0</v>
      </c>
      <c r="AT82">
        <f>COUNTIFS(PersonalExceptions[Colonna],6,PersonalExceptions[Dal],"&lt;="&amp;INT(G82),PersonalExceptions[Al],"&gt;="&amp;INT(G82),PersonalExceptions[Active 0/1],1,PersonalExceptions[Effetto],"Rest")</f>
        <v>0</v>
      </c>
      <c r="AU82">
        <f>COUNTIFS(PersonalExceptions[Colonna],7,PersonalExceptions[Dal],"&lt;="&amp;INT(H82),PersonalExceptions[Al],"&gt;="&amp;INT(H82),PersonalExceptions[Active 0/1],1,PersonalExceptions[Effetto],"Rest")</f>
        <v>0</v>
      </c>
      <c r="AW82">
        <f>COUNTIFS(PersonalExceptions[Colonna],1,PersonalExceptions[Dal],"&lt;="&amp;INT(B82),PersonalExceptions[Al],"&gt;="&amp;INT(B82),PersonalExceptions[Active 0/1],1,PersonalExceptions[Effetto],"Activity")</f>
        <v>0</v>
      </c>
      <c r="AX82">
        <f>COUNTIFS(PersonalExceptions[Colonna],2,PersonalExceptions[Dal],"&lt;="&amp;INT(C82),PersonalExceptions[Al],"&gt;="&amp;INT(C82),PersonalExceptions[Active 0/1],1,PersonalExceptions[Effetto],"Activity")</f>
        <v>0</v>
      </c>
      <c r="AY82">
        <f>COUNTIFS(PersonalExceptions[Colonna],3,PersonalExceptions[Dal],"&lt;="&amp;INT(D82),PersonalExceptions[Al],"&gt;="&amp;INT(D82),PersonalExceptions[Active 0/1],1,PersonalExceptions[Effetto],"Activity")</f>
        <v>0</v>
      </c>
      <c r="AZ82">
        <f>COUNTIFS(PersonalExceptions[Colonna],4,PersonalExceptions[Dal],"&lt;="&amp;INT(E82),PersonalExceptions[Al],"&gt;="&amp;INT(E82),PersonalExceptions[Active 0/1],1,PersonalExceptions[Effetto],"Activity")</f>
        <v>0</v>
      </c>
      <c r="BA82">
        <f>COUNTIFS(PersonalExceptions[Colonna],5,PersonalExceptions[Dal],"&lt;="&amp;INT(F82),PersonalExceptions[Al],"&gt;="&amp;INT(F82),PersonalExceptions[Active 0/1],1,PersonalExceptions[Effetto],"Activity")</f>
        <v>0</v>
      </c>
      <c r="BB82">
        <f>COUNTIFS(PersonalExceptions[Colonna],6,PersonalExceptions[Dal],"&lt;="&amp;INT(G82),PersonalExceptions[Al],"&gt;="&amp;INT(G82),PersonalExceptions[Active 0/1],1,PersonalExceptions[Effetto],"Activity")</f>
        <v>0</v>
      </c>
      <c r="BC82">
        <f>COUNTIFS(PersonalExceptions[Colonna],7,PersonalExceptions[Dal],"&lt;="&amp;INT(H82),PersonalExceptions[Al],"&gt;="&amp;INT(H82),PersonalExceptions[Active 0/1],1,PersonalExceptions[Effetto],"Activity")</f>
        <v>0</v>
      </c>
      <c r="BE82">
        <f>IF(Planner!B$10="Nessuno",0,COUNTIFS(ImportedHolidays[Calendar],Planner!B$10,ImportedHolidays[Date],INT(B82),ImportedHolidays[Active],1,ImportedHolidays[Kind],"WORKDAY"))</f>
        <v>0</v>
      </c>
      <c r="BF82">
        <f>IF(Planner!C$10="Nessuno",0,COUNTIFS(ImportedHolidays[Calendar],Planner!C$10,ImportedHolidays[Date],INT(C82),ImportedHolidays[Active],1,ImportedHolidays[Kind],"WORKDAY"))</f>
        <v>0</v>
      </c>
      <c r="BG82">
        <f>IF(Planner!D$10="Nessuno",0,COUNTIFS(ImportedHolidays[Calendar],Planner!D$10,ImportedHolidays[Date],INT(D82),ImportedHolidays[Active],1,ImportedHolidays[Kind],"WORKDAY"))</f>
        <v>0</v>
      </c>
      <c r="BH82">
        <f>IF(Planner!E$10="Nessuno",0,COUNTIFS(ImportedHolidays[Calendar],Planner!E$10,ImportedHolidays[Date],INT(E82),ImportedHolidays[Active],1,ImportedHolidays[Kind],"WORKDAY"))</f>
        <v>0</v>
      </c>
      <c r="BI82">
        <f>IF(Planner!F$10="Nessuno",0,COUNTIFS(ImportedHolidays[Calendar],Planner!F$10,ImportedHolidays[Date],INT(F82),ImportedHolidays[Active],1,ImportedHolidays[Kind],"WORKDAY"))</f>
        <v>0</v>
      </c>
      <c r="BJ82">
        <f>IF(Planner!G$10="Nessuno",0,COUNTIFS(ImportedHolidays[Calendar],Planner!G$10,ImportedHolidays[Date],INT(G82),ImportedHolidays[Active],1,ImportedHolidays[Kind],"WORKDAY"))</f>
        <v>0</v>
      </c>
      <c r="BK82">
        <f>IF(Planner!H$10="Nessuno",0,COUNTIFS(ImportedHolidays[Calendar],Planner!H$10,ImportedHolidays[Date],INT(H82),ImportedHolidays[Active],1,ImportedHolidays[Kind],"WORKDAY"))</f>
        <v>0</v>
      </c>
      <c r="BM82">
        <f>IF(MOD(J82-B$11,1440)&lt;B$12,2,IF(OR(MOD(J82-B$11,1440)&lt;B$12+ROUND(Planner!$D$5*60,0),MOD(J82-B$11,1440)&gt;=1440-ROUND(Planner!$B$5*60,0)),1,0))</f>
        <v>2</v>
      </c>
      <c r="BN82">
        <f>IF(MOD(K82-C$11,1440)&lt;C$12,2,IF(OR(MOD(K82-C$11,1440)&lt;C$12+ROUND(Planner!$D$5*60,0),MOD(K82-C$11,1440)&gt;=1440-ROUND(Planner!$B$5*60,0)),1,0))</f>
        <v>1</v>
      </c>
      <c r="BO82">
        <f>IF(MOD(L82-D$11,1440)&lt;D$12,2,IF(OR(MOD(L82-D$11,1440)&lt;D$12+ROUND(Planner!$D$5*60,0),MOD(L82-D$11,1440)&gt;=1440-ROUND(Planner!$B$5*60,0)),1,0))</f>
        <v>2</v>
      </c>
      <c r="BP82">
        <f>IF(MOD(M82-E$11,1440)&lt;E$12,2,IF(OR(MOD(M82-E$11,1440)&lt;E$12+ROUND(Planner!$D$5*60,0),MOD(M82-E$11,1440)&gt;=1440-ROUND(Planner!$B$5*60,0)),1,0))</f>
        <v>2</v>
      </c>
      <c r="BQ82">
        <f>IF(MOD(N82-F$11,1440)&lt;F$12,2,IF(OR(MOD(N82-F$11,1440)&lt;F$12+ROUND(Planner!$D$5*60,0),MOD(N82-F$11,1440)&gt;=1440-ROUND(Planner!$B$5*60,0)),1,0))</f>
        <v>2</v>
      </c>
      <c r="BR82">
        <f>IF(MOD(O82-G$11,1440)&lt;G$12,2,IF(OR(MOD(O82-G$11,1440)&lt;G$12+ROUND(Planner!$D$5*60,0),MOD(O82-G$11,1440)&gt;=1440-ROUND(Planner!$B$5*60,0)),1,0))</f>
        <v>2</v>
      </c>
      <c r="BS82">
        <f>IF(MOD(P82-H$11,1440)&lt;H$12,2,IF(OR(MOD(P82-H$11,1440)&lt;H$12+ROUND(Planner!$D$5*60,0),MOD(P82-H$11,1440)&gt;=1440-ROUND(Planner!$B$5*60,0)),1,0))</f>
        <v>0</v>
      </c>
    </row>
    <row r="83" spans="1:71">
      <c r="A83" s="22">
        <f>ROUND(($B$6+42*Planner!$F$4/1440)*1440,0)/1440</f>
        <v>46289.583333333336</v>
      </c>
      <c r="B83" s="22">
        <f>IF(COUNTIFS(ZonePeriods[Code],Planner!B$9,ZonePeriods[FromUtc],"&lt;="&amp;$A83,ZonePeriods[UntilUtc],"&gt;"&amp;$A83)=1,ROUND(($A83+SUMIFS(ZonePeriods[OffsetHours],ZonePeriods[Code],Planner!B$9,ZonePeriods[FromUtc],"&lt;="&amp;$A83,ZonePeriods[UntilUtc],"&gt;"&amp;$A83)/24)*1440,0)/1440,NA())</f>
        <v>46289.875</v>
      </c>
      <c r="C83" s="22">
        <f>IF(COUNTIFS(ZonePeriods[Code],Planner!C$9,ZonePeriods[FromUtc],"&lt;="&amp;$A83,ZonePeriods[UntilUtc],"&gt;"&amp;$A83)=1,ROUND(($A83+SUMIFS(ZonePeriods[OffsetHours],ZonePeriods[Code],Planner!C$9,ZonePeriods[FromUtc],"&lt;="&amp;$A83,ZonePeriods[UntilUtc],"&gt;"&amp;$A83)/24)*1440,0)/1440,NA())</f>
        <v>46289.8125</v>
      </c>
      <c r="D83" s="22">
        <f>IF(COUNTIFS(ZonePeriods[Code],Planner!D$9,ZonePeriods[FromUtc],"&lt;="&amp;$A83,ZonePeriods[UntilUtc],"&gt;"&amp;$A83)=1,ROUND(($A83+SUMIFS(ZonePeriods[OffsetHours],ZonePeriods[Code],Planner!D$9,ZonePeriods[FromUtc],"&lt;="&amp;$A83,ZonePeriods[UntilUtc],"&gt;"&amp;$A83)/24)*1440,0)/1440,NA())</f>
        <v>46289.708333333336</v>
      </c>
      <c r="E83" s="22">
        <f>IF(COUNTIFS(ZonePeriods[Code],Planner!E$9,ZonePeriods[FromUtc],"&lt;="&amp;$A83,ZonePeriods[UntilUtc],"&gt;"&amp;$A83)=1,ROUND(($A83+SUMIFS(ZonePeriods[OffsetHours],ZonePeriods[Code],Planner!E$9,ZonePeriods[FromUtc],"&lt;="&amp;$A83,ZonePeriods[UntilUtc],"&gt;"&amp;$A83)/24)*1440,0)/1440,NA())</f>
        <v>46289.666666666664</v>
      </c>
      <c r="F83" s="22">
        <f>IF(COUNTIFS(ZonePeriods[Code],Planner!F$9,ZonePeriods[FromUtc],"&lt;="&amp;$A83,ZonePeriods[UntilUtc],"&gt;"&amp;$A83)=1,ROUND(($A83+SUMIFS(ZonePeriods[OffsetHours],ZonePeriods[Code],Planner!F$9,ZonePeriods[FromUtc],"&lt;="&amp;$A83,ZonePeriods[UntilUtc],"&gt;"&amp;$A83)/24)*1440,0)/1440,NA())</f>
        <v>46289.625</v>
      </c>
      <c r="G83" s="22">
        <f>IF(COUNTIFS(ZonePeriods[Code],Planner!G$9,ZonePeriods[FromUtc],"&lt;="&amp;$A83,ZonePeriods[UntilUtc],"&gt;"&amp;$A83)=1,ROUND(($A83+SUMIFS(ZonePeriods[OffsetHours],ZonePeriods[Code],Planner!G$9,ZonePeriods[FromUtc],"&lt;="&amp;$A83,ZonePeriods[UntilUtc],"&gt;"&amp;$A83)/24)*1440,0)/1440,NA())</f>
        <v>46289.416666666664</v>
      </c>
      <c r="H83" s="22">
        <f>IF(COUNTIFS(ZonePeriods[Code],Planner!H$9,ZonePeriods[FromUtc],"&lt;="&amp;$A83,ZonePeriods[UntilUtc],"&gt;"&amp;$A83)=1,ROUND(($A83+SUMIFS(ZonePeriods[OffsetHours],ZonePeriods[Code],Planner!H$9,ZonePeriods[FromUtc],"&lt;="&amp;$A83,ZonePeriods[UntilUtc],"&gt;"&amp;$A83)/24)*1440,0)/1440,NA())</f>
        <v>46289.291666666664</v>
      </c>
      <c r="I83" s="1"/>
      <c r="J83" s="1">
        <f t="shared" si="28"/>
        <v>1260</v>
      </c>
      <c r="K83" s="1">
        <f t="shared" si="29"/>
        <v>1170</v>
      </c>
      <c r="L83" s="1">
        <f t="shared" si="30"/>
        <v>1020</v>
      </c>
      <c r="M83" s="1">
        <f t="shared" si="31"/>
        <v>960</v>
      </c>
      <c r="N83" s="1">
        <f t="shared" si="32"/>
        <v>900</v>
      </c>
      <c r="O83" s="1">
        <f t="shared" si="33"/>
        <v>600</v>
      </c>
      <c r="P83" s="1">
        <f t="shared" si="34"/>
        <v>420</v>
      </c>
      <c r="Q83" s="1"/>
      <c r="R83" s="1">
        <f t="shared" si="35"/>
        <v>2</v>
      </c>
      <c r="S83" s="1">
        <f t="shared" si="36"/>
        <v>1</v>
      </c>
      <c r="T83" s="1">
        <f t="shared" si="37"/>
        <v>2</v>
      </c>
      <c r="U83" s="1">
        <f t="shared" si="38"/>
        <v>2</v>
      </c>
      <c r="V83" s="1">
        <f t="shared" si="39"/>
        <v>2</v>
      </c>
      <c r="W83" s="1">
        <f t="shared" si="40"/>
        <v>2</v>
      </c>
      <c r="X83" s="1">
        <f t="shared" si="41"/>
        <v>1</v>
      </c>
      <c r="Y83" s="1"/>
      <c r="Z83" s="1">
        <f>IF(Planner!B$10="Nessuno",0,COUNTIFS(HolidayDates[Calendar],Planner!B$10,HolidayDates[Local date],INT(B83),HolidayDates[Active 0/1],1)+COUNTIFS(ImportedHolidays[Calendar],Planner!B$10,ImportedHolidays[Date],INT(B83),ImportedHolidays[Active],1,ImportedHolidays[Kind],"HOLIDAY"))</f>
        <v>0</v>
      </c>
      <c r="AA83" s="1">
        <f>IF(Planner!C$10="Nessuno",0,COUNTIFS(HolidayDates[Calendar],Planner!C$10,HolidayDates[Local date],INT(C83),HolidayDates[Active 0/1],1)+COUNTIFS(ImportedHolidays[Calendar],Planner!C$10,ImportedHolidays[Date],INT(C83),ImportedHolidays[Active],1,ImportedHolidays[Kind],"HOLIDAY"))</f>
        <v>0</v>
      </c>
      <c r="AB83" s="1">
        <f>IF(Planner!D$10="Nessuno",0,COUNTIFS(HolidayDates[Calendar],Planner!D$10,HolidayDates[Local date],INT(D83),HolidayDates[Active 0/1],1)+COUNTIFS(ImportedHolidays[Calendar],Planner!D$10,ImportedHolidays[Date],INT(D83),ImportedHolidays[Active],1,ImportedHolidays[Kind],"HOLIDAY"))</f>
        <v>0</v>
      </c>
      <c r="AC83" s="1">
        <f>IF(Planner!E$10="Nessuno",0,COUNTIFS(HolidayDates[Calendar],Planner!E$10,HolidayDates[Local date],INT(E83),HolidayDates[Active 0/1],1)+COUNTIFS(ImportedHolidays[Calendar],Planner!E$10,ImportedHolidays[Date],INT(E83),ImportedHolidays[Active],1,ImportedHolidays[Kind],"HOLIDAY"))</f>
        <v>0</v>
      </c>
      <c r="AD83" s="1">
        <f>IF(Planner!F$10="Nessuno",0,COUNTIFS(HolidayDates[Calendar],Planner!F$10,HolidayDates[Local date],INT(F83),HolidayDates[Active 0/1],1)+COUNTIFS(ImportedHolidays[Calendar],Planner!F$10,ImportedHolidays[Date],INT(F83),ImportedHolidays[Active],1,ImportedHolidays[Kind],"HOLIDAY"))</f>
        <v>0</v>
      </c>
      <c r="AE83" s="1">
        <f>IF(Planner!G$10="Nessuno",0,COUNTIFS(HolidayDates[Calendar],Planner!G$10,HolidayDates[Local date],INT(G83),HolidayDates[Active 0/1],1)+COUNTIFS(ImportedHolidays[Calendar],Planner!G$10,ImportedHolidays[Date],INT(G83),ImportedHolidays[Active],1,ImportedHolidays[Kind],"HOLIDAY"))</f>
        <v>0</v>
      </c>
      <c r="AF83" s="1">
        <f>IF(Planner!H$10="Nessuno",0,COUNTIFS(HolidayDates[Calendar],Planner!H$10,HolidayDates[Local date],INT(H83),HolidayDates[Active 0/1],1)+COUNTIFS(ImportedHolidays[Calendar],Planner!H$10,ImportedHolidays[Date],INT(H83),ImportedHolidays[Active],1,ImportedHolidays[Kind],"HOLIDAY"))</f>
        <v>0</v>
      </c>
      <c r="AG83" s="1"/>
      <c r="AH83" s="1" t="b">
        <f>INDEX(Parametri!$G12:$M12,1,WEEKDAY(INT(B83),2))=1</f>
        <v>0</v>
      </c>
      <c r="AI83" s="1" t="b">
        <f>INDEX(Parametri!$G13:$M13,1,WEEKDAY(INT(C83),2))=1</f>
        <v>0</v>
      </c>
      <c r="AJ83" s="1" t="b">
        <f>INDEX(Parametri!$G14:$M14,1,WEEKDAY(INT(D83),2))=1</f>
        <v>0</v>
      </c>
      <c r="AK83" s="1" t="b">
        <f>INDEX(Parametri!$G15:$M15,1,WEEKDAY(INT(E83),2))=1</f>
        <v>0</v>
      </c>
      <c r="AL83" s="1" t="b">
        <f>INDEX(Parametri!$G16:$M16,1,WEEKDAY(INT(F83),2))=1</f>
        <v>0</v>
      </c>
      <c r="AM83" s="1" t="b">
        <f>INDEX(Parametri!$G17:$M17,1,WEEKDAY(INT(G83),2))=1</f>
        <v>0</v>
      </c>
      <c r="AN83" s="1" t="b">
        <f>INDEX(Parametri!$G18:$M18,1,WEEKDAY(INT(H83),2))=1</f>
        <v>0</v>
      </c>
      <c r="AO83">
        <f>COUNTIFS(PersonalExceptions[Colonna],1,PersonalExceptions[Dal],"&lt;="&amp;INT(B83),PersonalExceptions[Al],"&gt;="&amp;INT(B83),PersonalExceptions[Active 0/1],1,PersonalExceptions[Effetto],"Rest")</f>
        <v>0</v>
      </c>
      <c r="AP83">
        <f>COUNTIFS(PersonalExceptions[Colonna],2,PersonalExceptions[Dal],"&lt;="&amp;INT(C83),PersonalExceptions[Al],"&gt;="&amp;INT(C83),PersonalExceptions[Active 0/1],1,PersonalExceptions[Effetto],"Rest")</f>
        <v>0</v>
      </c>
      <c r="AQ83">
        <f>COUNTIFS(PersonalExceptions[Colonna],3,PersonalExceptions[Dal],"&lt;="&amp;INT(D83),PersonalExceptions[Al],"&gt;="&amp;INT(D83),PersonalExceptions[Active 0/1],1,PersonalExceptions[Effetto],"Rest")</f>
        <v>0</v>
      </c>
      <c r="AR83">
        <f>COUNTIFS(PersonalExceptions[Colonna],4,PersonalExceptions[Dal],"&lt;="&amp;INT(E83),PersonalExceptions[Al],"&gt;="&amp;INT(E83),PersonalExceptions[Active 0/1],1,PersonalExceptions[Effetto],"Rest")</f>
        <v>0</v>
      </c>
      <c r="AS83">
        <f>COUNTIFS(PersonalExceptions[Colonna],5,PersonalExceptions[Dal],"&lt;="&amp;INT(F83),PersonalExceptions[Al],"&gt;="&amp;INT(F83),PersonalExceptions[Active 0/1],1,PersonalExceptions[Effetto],"Rest")</f>
        <v>0</v>
      </c>
      <c r="AT83">
        <f>COUNTIFS(PersonalExceptions[Colonna],6,PersonalExceptions[Dal],"&lt;="&amp;INT(G83),PersonalExceptions[Al],"&gt;="&amp;INT(G83),PersonalExceptions[Active 0/1],1,PersonalExceptions[Effetto],"Rest")</f>
        <v>0</v>
      </c>
      <c r="AU83">
        <f>COUNTIFS(PersonalExceptions[Colonna],7,PersonalExceptions[Dal],"&lt;="&amp;INT(H83),PersonalExceptions[Al],"&gt;="&amp;INT(H83),PersonalExceptions[Active 0/1],1,PersonalExceptions[Effetto],"Rest")</f>
        <v>0</v>
      </c>
      <c r="AW83">
        <f>COUNTIFS(PersonalExceptions[Colonna],1,PersonalExceptions[Dal],"&lt;="&amp;INT(B83),PersonalExceptions[Al],"&gt;="&amp;INT(B83),PersonalExceptions[Active 0/1],1,PersonalExceptions[Effetto],"Activity")</f>
        <v>0</v>
      </c>
      <c r="AX83">
        <f>COUNTIFS(PersonalExceptions[Colonna],2,PersonalExceptions[Dal],"&lt;="&amp;INT(C83),PersonalExceptions[Al],"&gt;="&amp;INT(C83),PersonalExceptions[Active 0/1],1,PersonalExceptions[Effetto],"Activity")</f>
        <v>0</v>
      </c>
      <c r="AY83">
        <f>COUNTIFS(PersonalExceptions[Colonna],3,PersonalExceptions[Dal],"&lt;="&amp;INT(D83),PersonalExceptions[Al],"&gt;="&amp;INT(D83),PersonalExceptions[Active 0/1],1,PersonalExceptions[Effetto],"Activity")</f>
        <v>0</v>
      </c>
      <c r="AZ83">
        <f>COUNTIFS(PersonalExceptions[Colonna],4,PersonalExceptions[Dal],"&lt;="&amp;INT(E83),PersonalExceptions[Al],"&gt;="&amp;INT(E83),PersonalExceptions[Active 0/1],1,PersonalExceptions[Effetto],"Activity")</f>
        <v>0</v>
      </c>
      <c r="BA83">
        <f>COUNTIFS(PersonalExceptions[Colonna],5,PersonalExceptions[Dal],"&lt;="&amp;INT(F83),PersonalExceptions[Al],"&gt;="&amp;INT(F83),PersonalExceptions[Active 0/1],1,PersonalExceptions[Effetto],"Activity")</f>
        <v>0</v>
      </c>
      <c r="BB83">
        <f>COUNTIFS(PersonalExceptions[Colonna],6,PersonalExceptions[Dal],"&lt;="&amp;INT(G83),PersonalExceptions[Al],"&gt;="&amp;INT(G83),PersonalExceptions[Active 0/1],1,PersonalExceptions[Effetto],"Activity")</f>
        <v>0</v>
      </c>
      <c r="BC83">
        <f>COUNTIFS(PersonalExceptions[Colonna],7,PersonalExceptions[Dal],"&lt;="&amp;INT(H83),PersonalExceptions[Al],"&gt;="&amp;INT(H83),PersonalExceptions[Active 0/1],1,PersonalExceptions[Effetto],"Activity")</f>
        <v>0</v>
      </c>
      <c r="BE83">
        <f>IF(Planner!B$10="Nessuno",0,COUNTIFS(ImportedHolidays[Calendar],Planner!B$10,ImportedHolidays[Date],INT(B83),ImportedHolidays[Active],1,ImportedHolidays[Kind],"WORKDAY"))</f>
        <v>0</v>
      </c>
      <c r="BF83">
        <f>IF(Planner!C$10="Nessuno",0,COUNTIFS(ImportedHolidays[Calendar],Planner!C$10,ImportedHolidays[Date],INT(C83),ImportedHolidays[Active],1,ImportedHolidays[Kind],"WORKDAY"))</f>
        <v>0</v>
      </c>
      <c r="BG83">
        <f>IF(Planner!D$10="Nessuno",0,COUNTIFS(ImportedHolidays[Calendar],Planner!D$10,ImportedHolidays[Date],INT(D83),ImportedHolidays[Active],1,ImportedHolidays[Kind],"WORKDAY"))</f>
        <v>0</v>
      </c>
      <c r="BH83">
        <f>IF(Planner!E$10="Nessuno",0,COUNTIFS(ImportedHolidays[Calendar],Planner!E$10,ImportedHolidays[Date],INT(E83),ImportedHolidays[Active],1,ImportedHolidays[Kind],"WORKDAY"))</f>
        <v>0</v>
      </c>
      <c r="BI83">
        <f>IF(Planner!F$10="Nessuno",0,COUNTIFS(ImportedHolidays[Calendar],Planner!F$10,ImportedHolidays[Date],INT(F83),ImportedHolidays[Active],1,ImportedHolidays[Kind],"WORKDAY"))</f>
        <v>0</v>
      </c>
      <c r="BJ83">
        <f>IF(Planner!G$10="Nessuno",0,COUNTIFS(ImportedHolidays[Calendar],Planner!G$10,ImportedHolidays[Date],INT(G83),ImportedHolidays[Active],1,ImportedHolidays[Kind],"WORKDAY"))</f>
        <v>0</v>
      </c>
      <c r="BK83">
        <f>IF(Planner!H$10="Nessuno",0,COUNTIFS(ImportedHolidays[Calendar],Planner!H$10,ImportedHolidays[Date],INT(H83),ImportedHolidays[Active],1,ImportedHolidays[Kind],"WORKDAY"))</f>
        <v>0</v>
      </c>
      <c r="BM83">
        <f>IF(MOD(J83-B$11,1440)&lt;B$12,2,IF(OR(MOD(J83-B$11,1440)&lt;B$12+ROUND(Planner!$D$5*60,0),MOD(J83-B$11,1440)&gt;=1440-ROUND(Planner!$B$5*60,0)),1,0))</f>
        <v>2</v>
      </c>
      <c r="BN83">
        <f>IF(MOD(K83-C$11,1440)&lt;C$12,2,IF(OR(MOD(K83-C$11,1440)&lt;C$12+ROUND(Planner!$D$5*60,0),MOD(K83-C$11,1440)&gt;=1440-ROUND(Planner!$B$5*60,0)),1,0))</f>
        <v>1</v>
      </c>
      <c r="BO83">
        <f>IF(MOD(L83-D$11,1440)&lt;D$12,2,IF(OR(MOD(L83-D$11,1440)&lt;D$12+ROUND(Planner!$D$5*60,0),MOD(L83-D$11,1440)&gt;=1440-ROUND(Planner!$B$5*60,0)),1,0))</f>
        <v>2</v>
      </c>
      <c r="BP83">
        <f>IF(MOD(M83-E$11,1440)&lt;E$12,2,IF(OR(MOD(M83-E$11,1440)&lt;E$12+ROUND(Planner!$D$5*60,0),MOD(M83-E$11,1440)&gt;=1440-ROUND(Planner!$B$5*60,0)),1,0))</f>
        <v>2</v>
      </c>
      <c r="BQ83">
        <f>IF(MOD(N83-F$11,1440)&lt;F$12,2,IF(OR(MOD(N83-F$11,1440)&lt;F$12+ROUND(Planner!$D$5*60,0),MOD(N83-F$11,1440)&gt;=1440-ROUND(Planner!$B$5*60,0)),1,0))</f>
        <v>2</v>
      </c>
      <c r="BR83">
        <f>IF(MOD(O83-G$11,1440)&lt;G$12,2,IF(OR(MOD(O83-G$11,1440)&lt;G$12+ROUND(Planner!$D$5*60,0),MOD(O83-G$11,1440)&gt;=1440-ROUND(Planner!$B$5*60,0)),1,0))</f>
        <v>2</v>
      </c>
      <c r="BS83">
        <f>IF(MOD(P83-H$11,1440)&lt;H$12,2,IF(OR(MOD(P83-H$11,1440)&lt;H$12+ROUND(Planner!$D$5*60,0),MOD(P83-H$11,1440)&gt;=1440-ROUND(Planner!$B$5*60,0)),1,0))</f>
        <v>1</v>
      </c>
    </row>
    <row r="84" spans="1:71">
      <c r="A84" s="22">
        <f>ROUND(($B$6+43*Planner!$F$4/1440)*1440,0)/1440</f>
        <v>46289.604166666664</v>
      </c>
      <c r="B84" s="22">
        <f>IF(COUNTIFS(ZonePeriods[Code],Planner!B$9,ZonePeriods[FromUtc],"&lt;="&amp;$A84,ZonePeriods[UntilUtc],"&gt;"&amp;$A84)=1,ROUND(($A84+SUMIFS(ZonePeriods[OffsetHours],ZonePeriods[Code],Planner!B$9,ZonePeriods[FromUtc],"&lt;="&amp;$A84,ZonePeriods[UntilUtc],"&gt;"&amp;$A84)/24)*1440,0)/1440,NA())</f>
        <v>46289.895833333336</v>
      </c>
      <c r="C84" s="22">
        <f>IF(COUNTIFS(ZonePeriods[Code],Planner!C$9,ZonePeriods[FromUtc],"&lt;="&amp;$A84,ZonePeriods[UntilUtc],"&gt;"&amp;$A84)=1,ROUND(($A84+SUMIFS(ZonePeriods[OffsetHours],ZonePeriods[Code],Planner!C$9,ZonePeriods[FromUtc],"&lt;="&amp;$A84,ZonePeriods[UntilUtc],"&gt;"&amp;$A84)/24)*1440,0)/1440,NA())</f>
        <v>46289.833333333336</v>
      </c>
      <c r="D84" s="22">
        <f>IF(COUNTIFS(ZonePeriods[Code],Planner!D$9,ZonePeriods[FromUtc],"&lt;="&amp;$A84,ZonePeriods[UntilUtc],"&gt;"&amp;$A84)=1,ROUND(($A84+SUMIFS(ZonePeriods[OffsetHours],ZonePeriods[Code],Planner!D$9,ZonePeriods[FromUtc],"&lt;="&amp;$A84,ZonePeriods[UntilUtc],"&gt;"&amp;$A84)/24)*1440,0)/1440,NA())</f>
        <v>46289.729166666664</v>
      </c>
      <c r="E84" s="22">
        <f>IF(COUNTIFS(ZonePeriods[Code],Planner!E$9,ZonePeriods[FromUtc],"&lt;="&amp;$A84,ZonePeriods[UntilUtc],"&gt;"&amp;$A84)=1,ROUND(($A84+SUMIFS(ZonePeriods[OffsetHours],ZonePeriods[Code],Planner!E$9,ZonePeriods[FromUtc],"&lt;="&amp;$A84,ZonePeriods[UntilUtc],"&gt;"&amp;$A84)/24)*1440,0)/1440,NA())</f>
        <v>46289.6875</v>
      </c>
      <c r="F84" s="22">
        <f>IF(COUNTIFS(ZonePeriods[Code],Planner!F$9,ZonePeriods[FromUtc],"&lt;="&amp;$A84,ZonePeriods[UntilUtc],"&gt;"&amp;$A84)=1,ROUND(($A84+SUMIFS(ZonePeriods[OffsetHours],ZonePeriods[Code],Planner!F$9,ZonePeriods[FromUtc],"&lt;="&amp;$A84,ZonePeriods[UntilUtc],"&gt;"&amp;$A84)/24)*1440,0)/1440,NA())</f>
        <v>46289.645833333336</v>
      </c>
      <c r="G84" s="22">
        <f>IF(COUNTIFS(ZonePeriods[Code],Planner!G$9,ZonePeriods[FromUtc],"&lt;="&amp;$A84,ZonePeriods[UntilUtc],"&gt;"&amp;$A84)=1,ROUND(($A84+SUMIFS(ZonePeriods[OffsetHours],ZonePeriods[Code],Planner!G$9,ZonePeriods[FromUtc],"&lt;="&amp;$A84,ZonePeriods[UntilUtc],"&gt;"&amp;$A84)/24)*1440,0)/1440,NA())</f>
        <v>46289.4375</v>
      </c>
      <c r="H84" s="22">
        <f>IF(COUNTIFS(ZonePeriods[Code],Planner!H$9,ZonePeriods[FromUtc],"&lt;="&amp;$A84,ZonePeriods[UntilUtc],"&gt;"&amp;$A84)=1,ROUND(($A84+SUMIFS(ZonePeriods[OffsetHours],ZonePeriods[Code],Planner!H$9,ZonePeriods[FromUtc],"&lt;="&amp;$A84,ZonePeriods[UntilUtc],"&gt;"&amp;$A84)/24)*1440,0)/1440,NA())</f>
        <v>46289.3125</v>
      </c>
      <c r="I84" s="1"/>
      <c r="J84" s="1">
        <f t="shared" si="28"/>
        <v>1290</v>
      </c>
      <c r="K84" s="1">
        <f t="shared" si="29"/>
        <v>1200</v>
      </c>
      <c r="L84" s="1">
        <f t="shared" si="30"/>
        <v>1050</v>
      </c>
      <c r="M84" s="1">
        <f t="shared" si="31"/>
        <v>990</v>
      </c>
      <c r="N84" s="1">
        <f t="shared" si="32"/>
        <v>930</v>
      </c>
      <c r="O84" s="1">
        <f t="shared" si="33"/>
        <v>630</v>
      </c>
      <c r="P84" s="1">
        <f t="shared" si="34"/>
        <v>450</v>
      </c>
      <c r="Q84" s="1"/>
      <c r="R84" s="1">
        <f t="shared" si="35"/>
        <v>2</v>
      </c>
      <c r="S84" s="1">
        <f t="shared" si="36"/>
        <v>0</v>
      </c>
      <c r="T84" s="1">
        <f t="shared" si="37"/>
        <v>2</v>
      </c>
      <c r="U84" s="1">
        <f t="shared" si="38"/>
        <v>2</v>
      </c>
      <c r="V84" s="1">
        <f t="shared" si="39"/>
        <v>2</v>
      </c>
      <c r="W84" s="1">
        <f t="shared" si="40"/>
        <v>2</v>
      </c>
      <c r="X84" s="1">
        <f t="shared" si="41"/>
        <v>1</v>
      </c>
      <c r="Y84" s="1"/>
      <c r="Z84" s="1">
        <f>IF(Planner!B$10="Nessuno",0,COUNTIFS(HolidayDates[Calendar],Planner!B$10,HolidayDates[Local date],INT(B84),HolidayDates[Active 0/1],1)+COUNTIFS(ImportedHolidays[Calendar],Planner!B$10,ImportedHolidays[Date],INT(B84),ImportedHolidays[Active],1,ImportedHolidays[Kind],"HOLIDAY"))</f>
        <v>0</v>
      </c>
      <c r="AA84" s="1">
        <f>IF(Planner!C$10="Nessuno",0,COUNTIFS(HolidayDates[Calendar],Planner!C$10,HolidayDates[Local date],INT(C84),HolidayDates[Active 0/1],1)+COUNTIFS(ImportedHolidays[Calendar],Planner!C$10,ImportedHolidays[Date],INT(C84),ImportedHolidays[Active],1,ImportedHolidays[Kind],"HOLIDAY"))</f>
        <v>0</v>
      </c>
      <c r="AB84" s="1">
        <f>IF(Planner!D$10="Nessuno",0,COUNTIFS(HolidayDates[Calendar],Planner!D$10,HolidayDates[Local date],INT(D84),HolidayDates[Active 0/1],1)+COUNTIFS(ImportedHolidays[Calendar],Planner!D$10,ImportedHolidays[Date],INT(D84),ImportedHolidays[Active],1,ImportedHolidays[Kind],"HOLIDAY"))</f>
        <v>0</v>
      </c>
      <c r="AC84" s="1">
        <f>IF(Planner!E$10="Nessuno",0,COUNTIFS(HolidayDates[Calendar],Planner!E$10,HolidayDates[Local date],INT(E84),HolidayDates[Active 0/1],1)+COUNTIFS(ImportedHolidays[Calendar],Planner!E$10,ImportedHolidays[Date],INT(E84),ImportedHolidays[Active],1,ImportedHolidays[Kind],"HOLIDAY"))</f>
        <v>0</v>
      </c>
      <c r="AD84" s="1">
        <f>IF(Planner!F$10="Nessuno",0,COUNTIFS(HolidayDates[Calendar],Planner!F$10,HolidayDates[Local date],INT(F84),HolidayDates[Active 0/1],1)+COUNTIFS(ImportedHolidays[Calendar],Planner!F$10,ImportedHolidays[Date],INT(F84),ImportedHolidays[Active],1,ImportedHolidays[Kind],"HOLIDAY"))</f>
        <v>0</v>
      </c>
      <c r="AE84" s="1">
        <f>IF(Planner!G$10="Nessuno",0,COUNTIFS(HolidayDates[Calendar],Planner!G$10,HolidayDates[Local date],INT(G84),HolidayDates[Active 0/1],1)+COUNTIFS(ImportedHolidays[Calendar],Planner!G$10,ImportedHolidays[Date],INT(G84),ImportedHolidays[Active],1,ImportedHolidays[Kind],"HOLIDAY"))</f>
        <v>0</v>
      </c>
      <c r="AF84" s="1">
        <f>IF(Planner!H$10="Nessuno",0,COUNTIFS(HolidayDates[Calendar],Planner!H$10,HolidayDates[Local date],INT(H84),HolidayDates[Active 0/1],1)+COUNTIFS(ImportedHolidays[Calendar],Planner!H$10,ImportedHolidays[Date],INT(H84),ImportedHolidays[Active],1,ImportedHolidays[Kind],"HOLIDAY"))</f>
        <v>0</v>
      </c>
      <c r="AG84" s="1"/>
      <c r="AH84" s="1" t="b">
        <f>INDEX(Parametri!$G12:$M12,1,WEEKDAY(INT(B84),2))=1</f>
        <v>0</v>
      </c>
      <c r="AI84" s="1" t="b">
        <f>INDEX(Parametri!$G13:$M13,1,WEEKDAY(INT(C84),2))=1</f>
        <v>0</v>
      </c>
      <c r="AJ84" s="1" t="b">
        <f>INDEX(Parametri!$G14:$M14,1,WEEKDAY(INT(D84),2))=1</f>
        <v>0</v>
      </c>
      <c r="AK84" s="1" t="b">
        <f>INDEX(Parametri!$G15:$M15,1,WEEKDAY(INT(E84),2))=1</f>
        <v>0</v>
      </c>
      <c r="AL84" s="1" t="b">
        <f>INDEX(Parametri!$G16:$M16,1,WEEKDAY(INT(F84),2))=1</f>
        <v>0</v>
      </c>
      <c r="AM84" s="1" t="b">
        <f>INDEX(Parametri!$G17:$M17,1,WEEKDAY(INT(G84),2))=1</f>
        <v>0</v>
      </c>
      <c r="AN84" s="1" t="b">
        <f>INDEX(Parametri!$G18:$M18,1,WEEKDAY(INT(H84),2))=1</f>
        <v>0</v>
      </c>
      <c r="AO84">
        <f>COUNTIFS(PersonalExceptions[Colonna],1,PersonalExceptions[Dal],"&lt;="&amp;INT(B84),PersonalExceptions[Al],"&gt;="&amp;INT(B84),PersonalExceptions[Active 0/1],1,PersonalExceptions[Effetto],"Rest")</f>
        <v>0</v>
      </c>
      <c r="AP84">
        <f>COUNTIFS(PersonalExceptions[Colonna],2,PersonalExceptions[Dal],"&lt;="&amp;INT(C84),PersonalExceptions[Al],"&gt;="&amp;INT(C84),PersonalExceptions[Active 0/1],1,PersonalExceptions[Effetto],"Rest")</f>
        <v>0</v>
      </c>
      <c r="AQ84">
        <f>COUNTIFS(PersonalExceptions[Colonna],3,PersonalExceptions[Dal],"&lt;="&amp;INT(D84),PersonalExceptions[Al],"&gt;="&amp;INT(D84),PersonalExceptions[Active 0/1],1,PersonalExceptions[Effetto],"Rest")</f>
        <v>0</v>
      </c>
      <c r="AR84">
        <f>COUNTIFS(PersonalExceptions[Colonna],4,PersonalExceptions[Dal],"&lt;="&amp;INT(E84),PersonalExceptions[Al],"&gt;="&amp;INT(E84),PersonalExceptions[Active 0/1],1,PersonalExceptions[Effetto],"Rest")</f>
        <v>0</v>
      </c>
      <c r="AS84">
        <f>COUNTIFS(PersonalExceptions[Colonna],5,PersonalExceptions[Dal],"&lt;="&amp;INT(F84),PersonalExceptions[Al],"&gt;="&amp;INT(F84),PersonalExceptions[Active 0/1],1,PersonalExceptions[Effetto],"Rest")</f>
        <v>0</v>
      </c>
      <c r="AT84">
        <f>COUNTIFS(PersonalExceptions[Colonna],6,PersonalExceptions[Dal],"&lt;="&amp;INT(G84),PersonalExceptions[Al],"&gt;="&amp;INT(G84),PersonalExceptions[Active 0/1],1,PersonalExceptions[Effetto],"Rest")</f>
        <v>0</v>
      </c>
      <c r="AU84">
        <f>COUNTIFS(PersonalExceptions[Colonna],7,PersonalExceptions[Dal],"&lt;="&amp;INT(H84),PersonalExceptions[Al],"&gt;="&amp;INT(H84),PersonalExceptions[Active 0/1],1,PersonalExceptions[Effetto],"Rest")</f>
        <v>0</v>
      </c>
      <c r="AW84">
        <f>COUNTIFS(PersonalExceptions[Colonna],1,PersonalExceptions[Dal],"&lt;="&amp;INT(B84),PersonalExceptions[Al],"&gt;="&amp;INT(B84),PersonalExceptions[Active 0/1],1,PersonalExceptions[Effetto],"Activity")</f>
        <v>0</v>
      </c>
      <c r="AX84">
        <f>COUNTIFS(PersonalExceptions[Colonna],2,PersonalExceptions[Dal],"&lt;="&amp;INT(C84),PersonalExceptions[Al],"&gt;="&amp;INT(C84),PersonalExceptions[Active 0/1],1,PersonalExceptions[Effetto],"Activity")</f>
        <v>0</v>
      </c>
      <c r="AY84">
        <f>COUNTIFS(PersonalExceptions[Colonna],3,PersonalExceptions[Dal],"&lt;="&amp;INT(D84),PersonalExceptions[Al],"&gt;="&amp;INT(D84),PersonalExceptions[Active 0/1],1,PersonalExceptions[Effetto],"Activity")</f>
        <v>0</v>
      </c>
      <c r="AZ84">
        <f>COUNTIFS(PersonalExceptions[Colonna],4,PersonalExceptions[Dal],"&lt;="&amp;INT(E84),PersonalExceptions[Al],"&gt;="&amp;INT(E84),PersonalExceptions[Active 0/1],1,PersonalExceptions[Effetto],"Activity")</f>
        <v>0</v>
      </c>
      <c r="BA84">
        <f>COUNTIFS(PersonalExceptions[Colonna],5,PersonalExceptions[Dal],"&lt;="&amp;INT(F84),PersonalExceptions[Al],"&gt;="&amp;INT(F84),PersonalExceptions[Active 0/1],1,PersonalExceptions[Effetto],"Activity")</f>
        <v>0</v>
      </c>
      <c r="BB84">
        <f>COUNTIFS(PersonalExceptions[Colonna],6,PersonalExceptions[Dal],"&lt;="&amp;INT(G84),PersonalExceptions[Al],"&gt;="&amp;INT(G84),PersonalExceptions[Active 0/1],1,PersonalExceptions[Effetto],"Activity")</f>
        <v>0</v>
      </c>
      <c r="BC84">
        <f>COUNTIFS(PersonalExceptions[Colonna],7,PersonalExceptions[Dal],"&lt;="&amp;INT(H84),PersonalExceptions[Al],"&gt;="&amp;INT(H84),PersonalExceptions[Active 0/1],1,PersonalExceptions[Effetto],"Activity")</f>
        <v>0</v>
      </c>
      <c r="BE84">
        <f>IF(Planner!B$10="Nessuno",0,COUNTIFS(ImportedHolidays[Calendar],Planner!B$10,ImportedHolidays[Date],INT(B84),ImportedHolidays[Active],1,ImportedHolidays[Kind],"WORKDAY"))</f>
        <v>0</v>
      </c>
      <c r="BF84">
        <f>IF(Planner!C$10="Nessuno",0,COUNTIFS(ImportedHolidays[Calendar],Planner!C$10,ImportedHolidays[Date],INT(C84),ImportedHolidays[Active],1,ImportedHolidays[Kind],"WORKDAY"))</f>
        <v>0</v>
      </c>
      <c r="BG84">
        <f>IF(Planner!D$10="Nessuno",0,COUNTIFS(ImportedHolidays[Calendar],Planner!D$10,ImportedHolidays[Date],INT(D84),ImportedHolidays[Active],1,ImportedHolidays[Kind],"WORKDAY"))</f>
        <v>0</v>
      </c>
      <c r="BH84">
        <f>IF(Planner!E$10="Nessuno",0,COUNTIFS(ImportedHolidays[Calendar],Planner!E$10,ImportedHolidays[Date],INT(E84),ImportedHolidays[Active],1,ImportedHolidays[Kind],"WORKDAY"))</f>
        <v>0</v>
      </c>
      <c r="BI84">
        <f>IF(Planner!F$10="Nessuno",0,COUNTIFS(ImportedHolidays[Calendar],Planner!F$10,ImportedHolidays[Date],INT(F84),ImportedHolidays[Active],1,ImportedHolidays[Kind],"WORKDAY"))</f>
        <v>0</v>
      </c>
      <c r="BJ84">
        <f>IF(Planner!G$10="Nessuno",0,COUNTIFS(ImportedHolidays[Calendar],Planner!G$10,ImportedHolidays[Date],INT(G84),ImportedHolidays[Active],1,ImportedHolidays[Kind],"WORKDAY"))</f>
        <v>0</v>
      </c>
      <c r="BK84">
        <f>IF(Planner!H$10="Nessuno",0,COUNTIFS(ImportedHolidays[Calendar],Planner!H$10,ImportedHolidays[Date],INT(H84),ImportedHolidays[Active],1,ImportedHolidays[Kind],"WORKDAY"))</f>
        <v>0</v>
      </c>
      <c r="BM84">
        <f>IF(MOD(J84-B$11,1440)&lt;B$12,2,IF(OR(MOD(J84-B$11,1440)&lt;B$12+ROUND(Planner!$D$5*60,0),MOD(J84-B$11,1440)&gt;=1440-ROUND(Planner!$B$5*60,0)),1,0))</f>
        <v>2</v>
      </c>
      <c r="BN84">
        <f>IF(MOD(K84-C$11,1440)&lt;C$12,2,IF(OR(MOD(K84-C$11,1440)&lt;C$12+ROUND(Planner!$D$5*60,0),MOD(K84-C$11,1440)&gt;=1440-ROUND(Planner!$B$5*60,0)),1,0))</f>
        <v>0</v>
      </c>
      <c r="BO84">
        <f>IF(MOD(L84-D$11,1440)&lt;D$12,2,IF(OR(MOD(L84-D$11,1440)&lt;D$12+ROUND(Planner!$D$5*60,0),MOD(L84-D$11,1440)&gt;=1440-ROUND(Planner!$B$5*60,0)),1,0))</f>
        <v>2</v>
      </c>
      <c r="BP84">
        <f>IF(MOD(M84-E$11,1440)&lt;E$12,2,IF(OR(MOD(M84-E$11,1440)&lt;E$12+ROUND(Planner!$D$5*60,0),MOD(M84-E$11,1440)&gt;=1440-ROUND(Planner!$B$5*60,0)),1,0))</f>
        <v>2</v>
      </c>
      <c r="BQ84">
        <f>IF(MOD(N84-F$11,1440)&lt;F$12,2,IF(OR(MOD(N84-F$11,1440)&lt;F$12+ROUND(Planner!$D$5*60,0),MOD(N84-F$11,1440)&gt;=1440-ROUND(Planner!$B$5*60,0)),1,0))</f>
        <v>2</v>
      </c>
      <c r="BR84">
        <f>IF(MOD(O84-G$11,1440)&lt;G$12,2,IF(OR(MOD(O84-G$11,1440)&lt;G$12+ROUND(Planner!$D$5*60,0),MOD(O84-G$11,1440)&gt;=1440-ROUND(Planner!$B$5*60,0)),1,0))</f>
        <v>2</v>
      </c>
      <c r="BS84">
        <f>IF(MOD(P84-H$11,1440)&lt;H$12,2,IF(OR(MOD(P84-H$11,1440)&lt;H$12+ROUND(Planner!$D$5*60,0),MOD(P84-H$11,1440)&gt;=1440-ROUND(Planner!$B$5*60,0)),1,0))</f>
        <v>1</v>
      </c>
    </row>
    <row r="85" spans="1:71">
      <c r="A85" s="22">
        <f>ROUND(($B$6+44*Planner!$F$4/1440)*1440,0)/1440</f>
        <v>46289.625</v>
      </c>
      <c r="B85" s="22">
        <f>IF(COUNTIFS(ZonePeriods[Code],Planner!B$9,ZonePeriods[FromUtc],"&lt;="&amp;$A85,ZonePeriods[UntilUtc],"&gt;"&amp;$A85)=1,ROUND(($A85+SUMIFS(ZonePeriods[OffsetHours],ZonePeriods[Code],Planner!B$9,ZonePeriods[FromUtc],"&lt;="&amp;$A85,ZonePeriods[UntilUtc],"&gt;"&amp;$A85)/24)*1440,0)/1440,NA())</f>
        <v>46289.916666666664</v>
      </c>
      <c r="C85" s="22">
        <f>IF(COUNTIFS(ZonePeriods[Code],Planner!C$9,ZonePeriods[FromUtc],"&lt;="&amp;$A85,ZonePeriods[UntilUtc],"&gt;"&amp;$A85)=1,ROUND(($A85+SUMIFS(ZonePeriods[OffsetHours],ZonePeriods[Code],Planner!C$9,ZonePeriods[FromUtc],"&lt;="&amp;$A85,ZonePeriods[UntilUtc],"&gt;"&amp;$A85)/24)*1440,0)/1440,NA())</f>
        <v>46289.854166666664</v>
      </c>
      <c r="D85" s="22">
        <f>IF(COUNTIFS(ZonePeriods[Code],Planner!D$9,ZonePeriods[FromUtc],"&lt;="&amp;$A85,ZonePeriods[UntilUtc],"&gt;"&amp;$A85)=1,ROUND(($A85+SUMIFS(ZonePeriods[OffsetHours],ZonePeriods[Code],Planner!D$9,ZonePeriods[FromUtc],"&lt;="&amp;$A85,ZonePeriods[UntilUtc],"&gt;"&amp;$A85)/24)*1440,0)/1440,NA())</f>
        <v>46289.75</v>
      </c>
      <c r="E85" s="22">
        <f>IF(COUNTIFS(ZonePeriods[Code],Planner!E$9,ZonePeriods[FromUtc],"&lt;="&amp;$A85,ZonePeriods[UntilUtc],"&gt;"&amp;$A85)=1,ROUND(($A85+SUMIFS(ZonePeriods[OffsetHours],ZonePeriods[Code],Planner!E$9,ZonePeriods[FromUtc],"&lt;="&amp;$A85,ZonePeriods[UntilUtc],"&gt;"&amp;$A85)/24)*1440,0)/1440,NA())</f>
        <v>46289.708333333336</v>
      </c>
      <c r="F85" s="22">
        <f>IF(COUNTIFS(ZonePeriods[Code],Planner!F$9,ZonePeriods[FromUtc],"&lt;="&amp;$A85,ZonePeriods[UntilUtc],"&gt;"&amp;$A85)=1,ROUND(($A85+SUMIFS(ZonePeriods[OffsetHours],ZonePeriods[Code],Planner!F$9,ZonePeriods[FromUtc],"&lt;="&amp;$A85,ZonePeriods[UntilUtc],"&gt;"&amp;$A85)/24)*1440,0)/1440,NA())</f>
        <v>46289.666666666664</v>
      </c>
      <c r="G85" s="22">
        <f>IF(COUNTIFS(ZonePeriods[Code],Planner!G$9,ZonePeriods[FromUtc],"&lt;="&amp;$A85,ZonePeriods[UntilUtc],"&gt;"&amp;$A85)=1,ROUND(($A85+SUMIFS(ZonePeriods[OffsetHours],ZonePeriods[Code],Planner!G$9,ZonePeriods[FromUtc],"&lt;="&amp;$A85,ZonePeriods[UntilUtc],"&gt;"&amp;$A85)/24)*1440,0)/1440,NA())</f>
        <v>46289.458333333336</v>
      </c>
      <c r="H85" s="22">
        <f>IF(COUNTIFS(ZonePeriods[Code],Planner!H$9,ZonePeriods[FromUtc],"&lt;="&amp;$A85,ZonePeriods[UntilUtc],"&gt;"&amp;$A85)=1,ROUND(($A85+SUMIFS(ZonePeriods[OffsetHours],ZonePeriods[Code],Planner!H$9,ZonePeriods[FromUtc],"&lt;="&amp;$A85,ZonePeriods[UntilUtc],"&gt;"&amp;$A85)/24)*1440,0)/1440,NA())</f>
        <v>46289.333333333336</v>
      </c>
      <c r="I85" s="1"/>
      <c r="J85" s="1">
        <f t="shared" si="28"/>
        <v>1320</v>
      </c>
      <c r="K85" s="1">
        <f t="shared" si="29"/>
        <v>1230</v>
      </c>
      <c r="L85" s="1">
        <f t="shared" si="30"/>
        <v>1080</v>
      </c>
      <c r="M85" s="1">
        <f t="shared" si="31"/>
        <v>1020</v>
      </c>
      <c r="N85" s="1">
        <f t="shared" si="32"/>
        <v>960</v>
      </c>
      <c r="O85" s="1">
        <f t="shared" si="33"/>
        <v>660</v>
      </c>
      <c r="P85" s="1">
        <f t="shared" si="34"/>
        <v>480</v>
      </c>
      <c r="Q85" s="1"/>
      <c r="R85" s="1">
        <f t="shared" si="35"/>
        <v>2</v>
      </c>
      <c r="S85" s="1">
        <f t="shared" si="36"/>
        <v>0</v>
      </c>
      <c r="T85" s="1">
        <f t="shared" si="37"/>
        <v>1</v>
      </c>
      <c r="U85" s="1">
        <f t="shared" si="38"/>
        <v>2</v>
      </c>
      <c r="V85" s="1">
        <f t="shared" si="39"/>
        <v>2</v>
      </c>
      <c r="W85" s="1">
        <f t="shared" si="40"/>
        <v>2</v>
      </c>
      <c r="X85" s="1">
        <f t="shared" si="41"/>
        <v>1</v>
      </c>
      <c r="Y85" s="1"/>
      <c r="Z85" s="1">
        <f>IF(Planner!B$10="Nessuno",0,COUNTIFS(HolidayDates[Calendar],Planner!B$10,HolidayDates[Local date],INT(B85),HolidayDates[Active 0/1],1)+COUNTIFS(ImportedHolidays[Calendar],Planner!B$10,ImportedHolidays[Date],INT(B85),ImportedHolidays[Active],1,ImportedHolidays[Kind],"HOLIDAY"))</f>
        <v>0</v>
      </c>
      <c r="AA85" s="1">
        <f>IF(Planner!C$10="Nessuno",0,COUNTIFS(HolidayDates[Calendar],Planner!C$10,HolidayDates[Local date],INT(C85),HolidayDates[Active 0/1],1)+COUNTIFS(ImportedHolidays[Calendar],Planner!C$10,ImportedHolidays[Date],INT(C85),ImportedHolidays[Active],1,ImportedHolidays[Kind],"HOLIDAY"))</f>
        <v>0</v>
      </c>
      <c r="AB85" s="1">
        <f>IF(Planner!D$10="Nessuno",0,COUNTIFS(HolidayDates[Calendar],Planner!D$10,HolidayDates[Local date],INT(D85),HolidayDates[Active 0/1],1)+COUNTIFS(ImportedHolidays[Calendar],Planner!D$10,ImportedHolidays[Date],INT(D85),ImportedHolidays[Active],1,ImportedHolidays[Kind],"HOLIDAY"))</f>
        <v>0</v>
      </c>
      <c r="AC85" s="1">
        <f>IF(Planner!E$10="Nessuno",0,COUNTIFS(HolidayDates[Calendar],Planner!E$10,HolidayDates[Local date],INT(E85),HolidayDates[Active 0/1],1)+COUNTIFS(ImportedHolidays[Calendar],Planner!E$10,ImportedHolidays[Date],INT(E85),ImportedHolidays[Active],1,ImportedHolidays[Kind],"HOLIDAY"))</f>
        <v>0</v>
      </c>
      <c r="AD85" s="1">
        <f>IF(Planner!F$10="Nessuno",0,COUNTIFS(HolidayDates[Calendar],Planner!F$10,HolidayDates[Local date],INT(F85),HolidayDates[Active 0/1],1)+COUNTIFS(ImportedHolidays[Calendar],Planner!F$10,ImportedHolidays[Date],INT(F85),ImportedHolidays[Active],1,ImportedHolidays[Kind],"HOLIDAY"))</f>
        <v>0</v>
      </c>
      <c r="AE85" s="1">
        <f>IF(Planner!G$10="Nessuno",0,COUNTIFS(HolidayDates[Calendar],Planner!G$10,HolidayDates[Local date],INT(G85),HolidayDates[Active 0/1],1)+COUNTIFS(ImportedHolidays[Calendar],Planner!G$10,ImportedHolidays[Date],INT(G85),ImportedHolidays[Active],1,ImportedHolidays[Kind],"HOLIDAY"))</f>
        <v>0</v>
      </c>
      <c r="AF85" s="1">
        <f>IF(Planner!H$10="Nessuno",0,COUNTIFS(HolidayDates[Calendar],Planner!H$10,HolidayDates[Local date],INT(H85),HolidayDates[Active 0/1],1)+COUNTIFS(ImportedHolidays[Calendar],Planner!H$10,ImportedHolidays[Date],INT(H85),ImportedHolidays[Active],1,ImportedHolidays[Kind],"HOLIDAY"))</f>
        <v>0</v>
      </c>
      <c r="AG85" s="1"/>
      <c r="AH85" s="1" t="b">
        <f>INDEX(Parametri!$G12:$M12,1,WEEKDAY(INT(B85),2))=1</f>
        <v>0</v>
      </c>
      <c r="AI85" s="1" t="b">
        <f>INDEX(Parametri!$G13:$M13,1,WEEKDAY(INT(C85),2))=1</f>
        <v>0</v>
      </c>
      <c r="AJ85" s="1" t="b">
        <f>INDEX(Parametri!$G14:$M14,1,WEEKDAY(INT(D85),2))=1</f>
        <v>0</v>
      </c>
      <c r="AK85" s="1" t="b">
        <f>INDEX(Parametri!$G15:$M15,1,WEEKDAY(INT(E85),2))=1</f>
        <v>0</v>
      </c>
      <c r="AL85" s="1" t="b">
        <f>INDEX(Parametri!$G16:$M16,1,WEEKDAY(INT(F85),2))=1</f>
        <v>0</v>
      </c>
      <c r="AM85" s="1" t="b">
        <f>INDEX(Parametri!$G17:$M17,1,WEEKDAY(INT(G85),2))=1</f>
        <v>0</v>
      </c>
      <c r="AN85" s="1" t="b">
        <f>INDEX(Parametri!$G18:$M18,1,WEEKDAY(INT(H85),2))=1</f>
        <v>0</v>
      </c>
      <c r="AO85">
        <f>COUNTIFS(PersonalExceptions[Colonna],1,PersonalExceptions[Dal],"&lt;="&amp;INT(B85),PersonalExceptions[Al],"&gt;="&amp;INT(B85),PersonalExceptions[Active 0/1],1,PersonalExceptions[Effetto],"Rest")</f>
        <v>0</v>
      </c>
      <c r="AP85">
        <f>COUNTIFS(PersonalExceptions[Colonna],2,PersonalExceptions[Dal],"&lt;="&amp;INT(C85),PersonalExceptions[Al],"&gt;="&amp;INT(C85),PersonalExceptions[Active 0/1],1,PersonalExceptions[Effetto],"Rest")</f>
        <v>0</v>
      </c>
      <c r="AQ85">
        <f>COUNTIFS(PersonalExceptions[Colonna],3,PersonalExceptions[Dal],"&lt;="&amp;INT(D85),PersonalExceptions[Al],"&gt;="&amp;INT(D85),PersonalExceptions[Active 0/1],1,PersonalExceptions[Effetto],"Rest")</f>
        <v>0</v>
      </c>
      <c r="AR85">
        <f>COUNTIFS(PersonalExceptions[Colonna],4,PersonalExceptions[Dal],"&lt;="&amp;INT(E85),PersonalExceptions[Al],"&gt;="&amp;INT(E85),PersonalExceptions[Active 0/1],1,PersonalExceptions[Effetto],"Rest")</f>
        <v>0</v>
      </c>
      <c r="AS85">
        <f>COUNTIFS(PersonalExceptions[Colonna],5,PersonalExceptions[Dal],"&lt;="&amp;INT(F85),PersonalExceptions[Al],"&gt;="&amp;INT(F85),PersonalExceptions[Active 0/1],1,PersonalExceptions[Effetto],"Rest")</f>
        <v>0</v>
      </c>
      <c r="AT85">
        <f>COUNTIFS(PersonalExceptions[Colonna],6,PersonalExceptions[Dal],"&lt;="&amp;INT(G85),PersonalExceptions[Al],"&gt;="&amp;INT(G85),PersonalExceptions[Active 0/1],1,PersonalExceptions[Effetto],"Rest")</f>
        <v>0</v>
      </c>
      <c r="AU85">
        <f>COUNTIFS(PersonalExceptions[Colonna],7,PersonalExceptions[Dal],"&lt;="&amp;INT(H85),PersonalExceptions[Al],"&gt;="&amp;INT(H85),PersonalExceptions[Active 0/1],1,PersonalExceptions[Effetto],"Rest")</f>
        <v>0</v>
      </c>
      <c r="AW85">
        <f>COUNTIFS(PersonalExceptions[Colonna],1,PersonalExceptions[Dal],"&lt;="&amp;INT(B85),PersonalExceptions[Al],"&gt;="&amp;INT(B85),PersonalExceptions[Active 0/1],1,PersonalExceptions[Effetto],"Activity")</f>
        <v>0</v>
      </c>
      <c r="AX85">
        <f>COUNTIFS(PersonalExceptions[Colonna],2,PersonalExceptions[Dal],"&lt;="&amp;INT(C85),PersonalExceptions[Al],"&gt;="&amp;INT(C85),PersonalExceptions[Active 0/1],1,PersonalExceptions[Effetto],"Activity")</f>
        <v>0</v>
      </c>
      <c r="AY85">
        <f>COUNTIFS(PersonalExceptions[Colonna],3,PersonalExceptions[Dal],"&lt;="&amp;INT(D85),PersonalExceptions[Al],"&gt;="&amp;INT(D85),PersonalExceptions[Active 0/1],1,PersonalExceptions[Effetto],"Activity")</f>
        <v>0</v>
      </c>
      <c r="AZ85">
        <f>COUNTIFS(PersonalExceptions[Colonna],4,PersonalExceptions[Dal],"&lt;="&amp;INT(E85),PersonalExceptions[Al],"&gt;="&amp;INT(E85),PersonalExceptions[Active 0/1],1,PersonalExceptions[Effetto],"Activity")</f>
        <v>0</v>
      </c>
      <c r="BA85">
        <f>COUNTIFS(PersonalExceptions[Colonna],5,PersonalExceptions[Dal],"&lt;="&amp;INT(F85),PersonalExceptions[Al],"&gt;="&amp;INT(F85),PersonalExceptions[Active 0/1],1,PersonalExceptions[Effetto],"Activity")</f>
        <v>0</v>
      </c>
      <c r="BB85">
        <f>COUNTIFS(PersonalExceptions[Colonna],6,PersonalExceptions[Dal],"&lt;="&amp;INT(G85),PersonalExceptions[Al],"&gt;="&amp;INT(G85),PersonalExceptions[Active 0/1],1,PersonalExceptions[Effetto],"Activity")</f>
        <v>0</v>
      </c>
      <c r="BC85">
        <f>COUNTIFS(PersonalExceptions[Colonna],7,PersonalExceptions[Dal],"&lt;="&amp;INT(H85),PersonalExceptions[Al],"&gt;="&amp;INT(H85),PersonalExceptions[Active 0/1],1,PersonalExceptions[Effetto],"Activity")</f>
        <v>0</v>
      </c>
      <c r="BE85">
        <f>IF(Planner!B$10="Nessuno",0,COUNTIFS(ImportedHolidays[Calendar],Planner!B$10,ImportedHolidays[Date],INT(B85),ImportedHolidays[Active],1,ImportedHolidays[Kind],"WORKDAY"))</f>
        <v>0</v>
      </c>
      <c r="BF85">
        <f>IF(Planner!C$10="Nessuno",0,COUNTIFS(ImportedHolidays[Calendar],Planner!C$10,ImportedHolidays[Date],INT(C85),ImportedHolidays[Active],1,ImportedHolidays[Kind],"WORKDAY"))</f>
        <v>0</v>
      </c>
      <c r="BG85">
        <f>IF(Planner!D$10="Nessuno",0,COUNTIFS(ImportedHolidays[Calendar],Planner!D$10,ImportedHolidays[Date],INT(D85),ImportedHolidays[Active],1,ImportedHolidays[Kind],"WORKDAY"))</f>
        <v>0</v>
      </c>
      <c r="BH85">
        <f>IF(Planner!E$10="Nessuno",0,COUNTIFS(ImportedHolidays[Calendar],Planner!E$10,ImportedHolidays[Date],INT(E85),ImportedHolidays[Active],1,ImportedHolidays[Kind],"WORKDAY"))</f>
        <v>0</v>
      </c>
      <c r="BI85">
        <f>IF(Planner!F$10="Nessuno",0,COUNTIFS(ImportedHolidays[Calendar],Planner!F$10,ImportedHolidays[Date],INT(F85),ImportedHolidays[Active],1,ImportedHolidays[Kind],"WORKDAY"))</f>
        <v>0</v>
      </c>
      <c r="BJ85">
        <f>IF(Planner!G$10="Nessuno",0,COUNTIFS(ImportedHolidays[Calendar],Planner!G$10,ImportedHolidays[Date],INT(G85),ImportedHolidays[Active],1,ImportedHolidays[Kind],"WORKDAY"))</f>
        <v>0</v>
      </c>
      <c r="BK85">
        <f>IF(Planner!H$10="Nessuno",0,COUNTIFS(ImportedHolidays[Calendar],Planner!H$10,ImportedHolidays[Date],INT(H85),ImportedHolidays[Active],1,ImportedHolidays[Kind],"WORKDAY"))</f>
        <v>0</v>
      </c>
      <c r="BM85">
        <f>IF(MOD(J85-B$11,1440)&lt;B$12,2,IF(OR(MOD(J85-B$11,1440)&lt;B$12+ROUND(Planner!$D$5*60,0),MOD(J85-B$11,1440)&gt;=1440-ROUND(Planner!$B$5*60,0)),1,0))</f>
        <v>2</v>
      </c>
      <c r="BN85">
        <f>IF(MOD(K85-C$11,1440)&lt;C$12,2,IF(OR(MOD(K85-C$11,1440)&lt;C$12+ROUND(Planner!$D$5*60,0),MOD(K85-C$11,1440)&gt;=1440-ROUND(Planner!$B$5*60,0)),1,0))</f>
        <v>0</v>
      </c>
      <c r="BO85">
        <f>IF(MOD(L85-D$11,1440)&lt;D$12,2,IF(OR(MOD(L85-D$11,1440)&lt;D$12+ROUND(Planner!$D$5*60,0),MOD(L85-D$11,1440)&gt;=1440-ROUND(Planner!$B$5*60,0)),1,0))</f>
        <v>1</v>
      </c>
      <c r="BP85">
        <f>IF(MOD(M85-E$11,1440)&lt;E$12,2,IF(OR(MOD(M85-E$11,1440)&lt;E$12+ROUND(Planner!$D$5*60,0),MOD(M85-E$11,1440)&gt;=1440-ROUND(Planner!$B$5*60,0)),1,0))</f>
        <v>2</v>
      </c>
      <c r="BQ85">
        <f>IF(MOD(N85-F$11,1440)&lt;F$12,2,IF(OR(MOD(N85-F$11,1440)&lt;F$12+ROUND(Planner!$D$5*60,0),MOD(N85-F$11,1440)&gt;=1440-ROUND(Planner!$B$5*60,0)),1,0))</f>
        <v>2</v>
      </c>
      <c r="BR85">
        <f>IF(MOD(O85-G$11,1440)&lt;G$12,2,IF(OR(MOD(O85-G$11,1440)&lt;G$12+ROUND(Planner!$D$5*60,0),MOD(O85-G$11,1440)&gt;=1440-ROUND(Planner!$B$5*60,0)),1,0))</f>
        <v>2</v>
      </c>
      <c r="BS85">
        <f>IF(MOD(P85-H$11,1440)&lt;H$12,2,IF(OR(MOD(P85-H$11,1440)&lt;H$12+ROUND(Planner!$D$5*60,0),MOD(P85-H$11,1440)&gt;=1440-ROUND(Planner!$B$5*60,0)),1,0))</f>
        <v>1</v>
      </c>
    </row>
    <row r="86" spans="1:71">
      <c r="A86" s="22">
        <f>ROUND(($B$6+45*Planner!$F$4/1440)*1440,0)/1440</f>
        <v>46289.645833333336</v>
      </c>
      <c r="B86" s="22">
        <f>IF(COUNTIFS(ZonePeriods[Code],Planner!B$9,ZonePeriods[FromUtc],"&lt;="&amp;$A86,ZonePeriods[UntilUtc],"&gt;"&amp;$A86)=1,ROUND(($A86+SUMIFS(ZonePeriods[OffsetHours],ZonePeriods[Code],Planner!B$9,ZonePeriods[FromUtc],"&lt;="&amp;$A86,ZonePeriods[UntilUtc],"&gt;"&amp;$A86)/24)*1440,0)/1440,NA())</f>
        <v>46289.9375</v>
      </c>
      <c r="C86" s="22">
        <f>IF(COUNTIFS(ZonePeriods[Code],Planner!C$9,ZonePeriods[FromUtc],"&lt;="&amp;$A86,ZonePeriods[UntilUtc],"&gt;"&amp;$A86)=1,ROUND(($A86+SUMIFS(ZonePeriods[OffsetHours],ZonePeriods[Code],Planner!C$9,ZonePeriods[FromUtc],"&lt;="&amp;$A86,ZonePeriods[UntilUtc],"&gt;"&amp;$A86)/24)*1440,0)/1440,NA())</f>
        <v>46289.875</v>
      </c>
      <c r="D86" s="22">
        <f>IF(COUNTIFS(ZonePeriods[Code],Planner!D$9,ZonePeriods[FromUtc],"&lt;="&amp;$A86,ZonePeriods[UntilUtc],"&gt;"&amp;$A86)=1,ROUND(($A86+SUMIFS(ZonePeriods[OffsetHours],ZonePeriods[Code],Planner!D$9,ZonePeriods[FromUtc],"&lt;="&amp;$A86,ZonePeriods[UntilUtc],"&gt;"&amp;$A86)/24)*1440,0)/1440,NA())</f>
        <v>46289.770833333336</v>
      </c>
      <c r="E86" s="22">
        <f>IF(COUNTIFS(ZonePeriods[Code],Planner!E$9,ZonePeriods[FromUtc],"&lt;="&amp;$A86,ZonePeriods[UntilUtc],"&gt;"&amp;$A86)=1,ROUND(($A86+SUMIFS(ZonePeriods[OffsetHours],ZonePeriods[Code],Planner!E$9,ZonePeriods[FromUtc],"&lt;="&amp;$A86,ZonePeriods[UntilUtc],"&gt;"&amp;$A86)/24)*1440,0)/1440,NA())</f>
        <v>46289.729166666664</v>
      </c>
      <c r="F86" s="22">
        <f>IF(COUNTIFS(ZonePeriods[Code],Planner!F$9,ZonePeriods[FromUtc],"&lt;="&amp;$A86,ZonePeriods[UntilUtc],"&gt;"&amp;$A86)=1,ROUND(($A86+SUMIFS(ZonePeriods[OffsetHours],ZonePeriods[Code],Planner!F$9,ZonePeriods[FromUtc],"&lt;="&amp;$A86,ZonePeriods[UntilUtc],"&gt;"&amp;$A86)/24)*1440,0)/1440,NA())</f>
        <v>46289.6875</v>
      </c>
      <c r="G86" s="22">
        <f>IF(COUNTIFS(ZonePeriods[Code],Planner!G$9,ZonePeriods[FromUtc],"&lt;="&amp;$A86,ZonePeriods[UntilUtc],"&gt;"&amp;$A86)=1,ROUND(($A86+SUMIFS(ZonePeriods[OffsetHours],ZonePeriods[Code],Planner!G$9,ZonePeriods[FromUtc],"&lt;="&amp;$A86,ZonePeriods[UntilUtc],"&gt;"&amp;$A86)/24)*1440,0)/1440,NA())</f>
        <v>46289.479166666664</v>
      </c>
      <c r="H86" s="22">
        <f>IF(COUNTIFS(ZonePeriods[Code],Planner!H$9,ZonePeriods[FromUtc],"&lt;="&amp;$A86,ZonePeriods[UntilUtc],"&gt;"&amp;$A86)=1,ROUND(($A86+SUMIFS(ZonePeriods[OffsetHours],ZonePeriods[Code],Planner!H$9,ZonePeriods[FromUtc],"&lt;="&amp;$A86,ZonePeriods[UntilUtc],"&gt;"&amp;$A86)/24)*1440,0)/1440,NA())</f>
        <v>46289.354166666664</v>
      </c>
      <c r="I86" s="1"/>
      <c r="J86" s="1">
        <f t="shared" si="28"/>
        <v>1350</v>
      </c>
      <c r="K86" s="1">
        <f t="shared" si="29"/>
        <v>1260</v>
      </c>
      <c r="L86" s="1">
        <f t="shared" si="30"/>
        <v>1110</v>
      </c>
      <c r="M86" s="1">
        <f t="shared" si="31"/>
        <v>1050</v>
      </c>
      <c r="N86" s="1">
        <f t="shared" si="32"/>
        <v>990</v>
      </c>
      <c r="O86" s="1">
        <f t="shared" si="33"/>
        <v>690</v>
      </c>
      <c r="P86" s="1">
        <f t="shared" si="34"/>
        <v>510</v>
      </c>
      <c r="Q86" s="1"/>
      <c r="R86" s="1">
        <f t="shared" si="35"/>
        <v>2</v>
      </c>
      <c r="S86" s="1">
        <f t="shared" si="36"/>
        <v>0</v>
      </c>
      <c r="T86" s="1">
        <f t="shared" si="37"/>
        <v>1</v>
      </c>
      <c r="U86" s="1">
        <f t="shared" si="38"/>
        <v>2</v>
      </c>
      <c r="V86" s="1">
        <f t="shared" si="39"/>
        <v>2</v>
      </c>
      <c r="W86" s="1">
        <f t="shared" si="40"/>
        <v>2</v>
      </c>
      <c r="X86" s="1">
        <f t="shared" si="41"/>
        <v>1</v>
      </c>
      <c r="Y86" s="1"/>
      <c r="Z86" s="1">
        <f>IF(Planner!B$10="Nessuno",0,COUNTIFS(HolidayDates[Calendar],Planner!B$10,HolidayDates[Local date],INT(B86),HolidayDates[Active 0/1],1)+COUNTIFS(ImportedHolidays[Calendar],Planner!B$10,ImportedHolidays[Date],INT(B86),ImportedHolidays[Active],1,ImportedHolidays[Kind],"HOLIDAY"))</f>
        <v>0</v>
      </c>
      <c r="AA86" s="1">
        <f>IF(Planner!C$10="Nessuno",0,COUNTIFS(HolidayDates[Calendar],Planner!C$10,HolidayDates[Local date],INT(C86),HolidayDates[Active 0/1],1)+COUNTIFS(ImportedHolidays[Calendar],Planner!C$10,ImportedHolidays[Date],INT(C86),ImportedHolidays[Active],1,ImportedHolidays[Kind],"HOLIDAY"))</f>
        <v>0</v>
      </c>
      <c r="AB86" s="1">
        <f>IF(Planner!D$10="Nessuno",0,COUNTIFS(HolidayDates[Calendar],Planner!D$10,HolidayDates[Local date],INT(D86),HolidayDates[Active 0/1],1)+COUNTIFS(ImportedHolidays[Calendar],Planner!D$10,ImportedHolidays[Date],INT(D86),ImportedHolidays[Active],1,ImportedHolidays[Kind],"HOLIDAY"))</f>
        <v>0</v>
      </c>
      <c r="AC86" s="1">
        <f>IF(Planner!E$10="Nessuno",0,COUNTIFS(HolidayDates[Calendar],Planner!E$10,HolidayDates[Local date],INT(E86),HolidayDates[Active 0/1],1)+COUNTIFS(ImportedHolidays[Calendar],Planner!E$10,ImportedHolidays[Date],INT(E86),ImportedHolidays[Active],1,ImportedHolidays[Kind],"HOLIDAY"))</f>
        <v>0</v>
      </c>
      <c r="AD86" s="1">
        <f>IF(Planner!F$10="Nessuno",0,COUNTIFS(HolidayDates[Calendar],Planner!F$10,HolidayDates[Local date],INT(F86),HolidayDates[Active 0/1],1)+COUNTIFS(ImportedHolidays[Calendar],Planner!F$10,ImportedHolidays[Date],INT(F86),ImportedHolidays[Active],1,ImportedHolidays[Kind],"HOLIDAY"))</f>
        <v>0</v>
      </c>
      <c r="AE86" s="1">
        <f>IF(Planner!G$10="Nessuno",0,COUNTIFS(HolidayDates[Calendar],Planner!G$10,HolidayDates[Local date],INT(G86),HolidayDates[Active 0/1],1)+COUNTIFS(ImportedHolidays[Calendar],Planner!G$10,ImportedHolidays[Date],INT(G86),ImportedHolidays[Active],1,ImportedHolidays[Kind],"HOLIDAY"))</f>
        <v>0</v>
      </c>
      <c r="AF86" s="1">
        <f>IF(Planner!H$10="Nessuno",0,COUNTIFS(HolidayDates[Calendar],Planner!H$10,HolidayDates[Local date],INT(H86),HolidayDates[Active 0/1],1)+COUNTIFS(ImportedHolidays[Calendar],Planner!H$10,ImportedHolidays[Date],INT(H86),ImportedHolidays[Active],1,ImportedHolidays[Kind],"HOLIDAY"))</f>
        <v>0</v>
      </c>
      <c r="AG86" s="1"/>
      <c r="AH86" s="1" t="b">
        <f>INDEX(Parametri!$G12:$M12,1,WEEKDAY(INT(B86),2))=1</f>
        <v>0</v>
      </c>
      <c r="AI86" s="1" t="b">
        <f>INDEX(Parametri!$G13:$M13,1,WEEKDAY(INT(C86),2))=1</f>
        <v>0</v>
      </c>
      <c r="AJ86" s="1" t="b">
        <f>INDEX(Parametri!$G14:$M14,1,WEEKDAY(INT(D86),2))=1</f>
        <v>0</v>
      </c>
      <c r="AK86" s="1" t="b">
        <f>INDEX(Parametri!$G15:$M15,1,WEEKDAY(INT(E86),2))=1</f>
        <v>0</v>
      </c>
      <c r="AL86" s="1" t="b">
        <f>INDEX(Parametri!$G16:$M16,1,WEEKDAY(INT(F86),2))=1</f>
        <v>0</v>
      </c>
      <c r="AM86" s="1" t="b">
        <f>INDEX(Parametri!$G17:$M17,1,WEEKDAY(INT(G86),2))=1</f>
        <v>0</v>
      </c>
      <c r="AN86" s="1" t="b">
        <f>INDEX(Parametri!$G18:$M18,1,WEEKDAY(INT(H86),2))=1</f>
        <v>0</v>
      </c>
      <c r="AO86">
        <f>COUNTIFS(PersonalExceptions[Colonna],1,PersonalExceptions[Dal],"&lt;="&amp;INT(B86),PersonalExceptions[Al],"&gt;="&amp;INT(B86),PersonalExceptions[Active 0/1],1,PersonalExceptions[Effetto],"Rest")</f>
        <v>0</v>
      </c>
      <c r="AP86">
        <f>COUNTIFS(PersonalExceptions[Colonna],2,PersonalExceptions[Dal],"&lt;="&amp;INT(C86),PersonalExceptions[Al],"&gt;="&amp;INT(C86),PersonalExceptions[Active 0/1],1,PersonalExceptions[Effetto],"Rest")</f>
        <v>0</v>
      </c>
      <c r="AQ86">
        <f>COUNTIFS(PersonalExceptions[Colonna],3,PersonalExceptions[Dal],"&lt;="&amp;INT(D86),PersonalExceptions[Al],"&gt;="&amp;INT(D86),PersonalExceptions[Active 0/1],1,PersonalExceptions[Effetto],"Rest")</f>
        <v>0</v>
      </c>
      <c r="AR86">
        <f>COUNTIFS(PersonalExceptions[Colonna],4,PersonalExceptions[Dal],"&lt;="&amp;INT(E86),PersonalExceptions[Al],"&gt;="&amp;INT(E86),PersonalExceptions[Active 0/1],1,PersonalExceptions[Effetto],"Rest")</f>
        <v>0</v>
      </c>
      <c r="AS86">
        <f>COUNTIFS(PersonalExceptions[Colonna],5,PersonalExceptions[Dal],"&lt;="&amp;INT(F86),PersonalExceptions[Al],"&gt;="&amp;INT(F86),PersonalExceptions[Active 0/1],1,PersonalExceptions[Effetto],"Rest")</f>
        <v>0</v>
      </c>
      <c r="AT86">
        <f>COUNTIFS(PersonalExceptions[Colonna],6,PersonalExceptions[Dal],"&lt;="&amp;INT(G86),PersonalExceptions[Al],"&gt;="&amp;INT(G86),PersonalExceptions[Active 0/1],1,PersonalExceptions[Effetto],"Rest")</f>
        <v>0</v>
      </c>
      <c r="AU86">
        <f>COUNTIFS(PersonalExceptions[Colonna],7,PersonalExceptions[Dal],"&lt;="&amp;INT(H86),PersonalExceptions[Al],"&gt;="&amp;INT(H86),PersonalExceptions[Active 0/1],1,PersonalExceptions[Effetto],"Rest")</f>
        <v>0</v>
      </c>
      <c r="AW86">
        <f>COUNTIFS(PersonalExceptions[Colonna],1,PersonalExceptions[Dal],"&lt;="&amp;INT(B86),PersonalExceptions[Al],"&gt;="&amp;INT(B86),PersonalExceptions[Active 0/1],1,PersonalExceptions[Effetto],"Activity")</f>
        <v>0</v>
      </c>
      <c r="AX86">
        <f>COUNTIFS(PersonalExceptions[Colonna],2,PersonalExceptions[Dal],"&lt;="&amp;INT(C86),PersonalExceptions[Al],"&gt;="&amp;INT(C86),PersonalExceptions[Active 0/1],1,PersonalExceptions[Effetto],"Activity")</f>
        <v>0</v>
      </c>
      <c r="AY86">
        <f>COUNTIFS(PersonalExceptions[Colonna],3,PersonalExceptions[Dal],"&lt;="&amp;INT(D86),PersonalExceptions[Al],"&gt;="&amp;INT(D86),PersonalExceptions[Active 0/1],1,PersonalExceptions[Effetto],"Activity")</f>
        <v>0</v>
      </c>
      <c r="AZ86">
        <f>COUNTIFS(PersonalExceptions[Colonna],4,PersonalExceptions[Dal],"&lt;="&amp;INT(E86),PersonalExceptions[Al],"&gt;="&amp;INT(E86),PersonalExceptions[Active 0/1],1,PersonalExceptions[Effetto],"Activity")</f>
        <v>0</v>
      </c>
      <c r="BA86">
        <f>COUNTIFS(PersonalExceptions[Colonna],5,PersonalExceptions[Dal],"&lt;="&amp;INT(F86),PersonalExceptions[Al],"&gt;="&amp;INT(F86),PersonalExceptions[Active 0/1],1,PersonalExceptions[Effetto],"Activity")</f>
        <v>0</v>
      </c>
      <c r="BB86">
        <f>COUNTIFS(PersonalExceptions[Colonna],6,PersonalExceptions[Dal],"&lt;="&amp;INT(G86),PersonalExceptions[Al],"&gt;="&amp;INT(G86),PersonalExceptions[Active 0/1],1,PersonalExceptions[Effetto],"Activity")</f>
        <v>0</v>
      </c>
      <c r="BC86">
        <f>COUNTIFS(PersonalExceptions[Colonna],7,PersonalExceptions[Dal],"&lt;="&amp;INT(H86),PersonalExceptions[Al],"&gt;="&amp;INT(H86),PersonalExceptions[Active 0/1],1,PersonalExceptions[Effetto],"Activity")</f>
        <v>0</v>
      </c>
      <c r="BE86">
        <f>IF(Planner!B$10="Nessuno",0,COUNTIFS(ImportedHolidays[Calendar],Planner!B$10,ImportedHolidays[Date],INT(B86),ImportedHolidays[Active],1,ImportedHolidays[Kind],"WORKDAY"))</f>
        <v>0</v>
      </c>
      <c r="BF86">
        <f>IF(Planner!C$10="Nessuno",0,COUNTIFS(ImportedHolidays[Calendar],Planner!C$10,ImportedHolidays[Date],INT(C86),ImportedHolidays[Active],1,ImportedHolidays[Kind],"WORKDAY"))</f>
        <v>0</v>
      </c>
      <c r="BG86">
        <f>IF(Planner!D$10="Nessuno",0,COUNTIFS(ImportedHolidays[Calendar],Planner!D$10,ImportedHolidays[Date],INT(D86),ImportedHolidays[Active],1,ImportedHolidays[Kind],"WORKDAY"))</f>
        <v>0</v>
      </c>
      <c r="BH86">
        <f>IF(Planner!E$10="Nessuno",0,COUNTIFS(ImportedHolidays[Calendar],Planner!E$10,ImportedHolidays[Date],INT(E86),ImportedHolidays[Active],1,ImportedHolidays[Kind],"WORKDAY"))</f>
        <v>0</v>
      </c>
      <c r="BI86">
        <f>IF(Planner!F$10="Nessuno",0,COUNTIFS(ImportedHolidays[Calendar],Planner!F$10,ImportedHolidays[Date],INT(F86),ImportedHolidays[Active],1,ImportedHolidays[Kind],"WORKDAY"))</f>
        <v>0</v>
      </c>
      <c r="BJ86">
        <f>IF(Planner!G$10="Nessuno",0,COUNTIFS(ImportedHolidays[Calendar],Planner!G$10,ImportedHolidays[Date],INT(G86),ImportedHolidays[Active],1,ImportedHolidays[Kind],"WORKDAY"))</f>
        <v>0</v>
      </c>
      <c r="BK86">
        <f>IF(Planner!H$10="Nessuno",0,COUNTIFS(ImportedHolidays[Calendar],Planner!H$10,ImportedHolidays[Date],INT(H86),ImportedHolidays[Active],1,ImportedHolidays[Kind],"WORKDAY"))</f>
        <v>0</v>
      </c>
      <c r="BM86">
        <f>IF(MOD(J86-B$11,1440)&lt;B$12,2,IF(OR(MOD(J86-B$11,1440)&lt;B$12+ROUND(Planner!$D$5*60,0),MOD(J86-B$11,1440)&gt;=1440-ROUND(Planner!$B$5*60,0)),1,0))</f>
        <v>2</v>
      </c>
      <c r="BN86">
        <f>IF(MOD(K86-C$11,1440)&lt;C$12,2,IF(OR(MOD(K86-C$11,1440)&lt;C$12+ROUND(Planner!$D$5*60,0),MOD(K86-C$11,1440)&gt;=1440-ROUND(Planner!$B$5*60,0)),1,0))</f>
        <v>0</v>
      </c>
      <c r="BO86">
        <f>IF(MOD(L86-D$11,1440)&lt;D$12,2,IF(OR(MOD(L86-D$11,1440)&lt;D$12+ROUND(Planner!$D$5*60,0),MOD(L86-D$11,1440)&gt;=1440-ROUND(Planner!$B$5*60,0)),1,0))</f>
        <v>1</v>
      </c>
      <c r="BP86">
        <f>IF(MOD(M86-E$11,1440)&lt;E$12,2,IF(OR(MOD(M86-E$11,1440)&lt;E$12+ROUND(Planner!$D$5*60,0),MOD(M86-E$11,1440)&gt;=1440-ROUND(Planner!$B$5*60,0)),1,0))</f>
        <v>2</v>
      </c>
      <c r="BQ86">
        <f>IF(MOD(N86-F$11,1440)&lt;F$12,2,IF(OR(MOD(N86-F$11,1440)&lt;F$12+ROUND(Planner!$D$5*60,0),MOD(N86-F$11,1440)&gt;=1440-ROUND(Planner!$B$5*60,0)),1,0))</f>
        <v>2</v>
      </c>
      <c r="BR86">
        <f>IF(MOD(O86-G$11,1440)&lt;G$12,2,IF(OR(MOD(O86-G$11,1440)&lt;G$12+ROUND(Planner!$D$5*60,0),MOD(O86-G$11,1440)&gt;=1440-ROUND(Planner!$B$5*60,0)),1,0))</f>
        <v>2</v>
      </c>
      <c r="BS86">
        <f>IF(MOD(P86-H$11,1440)&lt;H$12,2,IF(OR(MOD(P86-H$11,1440)&lt;H$12+ROUND(Planner!$D$5*60,0),MOD(P86-H$11,1440)&gt;=1440-ROUND(Planner!$B$5*60,0)),1,0))</f>
        <v>1</v>
      </c>
    </row>
    <row r="87" spans="1:71">
      <c r="A87" s="22">
        <f>ROUND(($B$6+46*Planner!$F$4/1440)*1440,0)/1440</f>
        <v>46289.666666666664</v>
      </c>
      <c r="B87" s="22">
        <f>IF(COUNTIFS(ZonePeriods[Code],Planner!B$9,ZonePeriods[FromUtc],"&lt;="&amp;$A87,ZonePeriods[UntilUtc],"&gt;"&amp;$A87)=1,ROUND(($A87+SUMIFS(ZonePeriods[OffsetHours],ZonePeriods[Code],Planner!B$9,ZonePeriods[FromUtc],"&lt;="&amp;$A87,ZonePeriods[UntilUtc],"&gt;"&amp;$A87)/24)*1440,0)/1440,NA())</f>
        <v>46289.958333333336</v>
      </c>
      <c r="C87" s="22">
        <f>IF(COUNTIFS(ZonePeriods[Code],Planner!C$9,ZonePeriods[FromUtc],"&lt;="&amp;$A87,ZonePeriods[UntilUtc],"&gt;"&amp;$A87)=1,ROUND(($A87+SUMIFS(ZonePeriods[OffsetHours],ZonePeriods[Code],Planner!C$9,ZonePeriods[FromUtc],"&lt;="&amp;$A87,ZonePeriods[UntilUtc],"&gt;"&amp;$A87)/24)*1440,0)/1440,NA())</f>
        <v>46289.895833333336</v>
      </c>
      <c r="D87" s="22">
        <f>IF(COUNTIFS(ZonePeriods[Code],Planner!D$9,ZonePeriods[FromUtc],"&lt;="&amp;$A87,ZonePeriods[UntilUtc],"&gt;"&amp;$A87)=1,ROUND(($A87+SUMIFS(ZonePeriods[OffsetHours],ZonePeriods[Code],Planner!D$9,ZonePeriods[FromUtc],"&lt;="&amp;$A87,ZonePeriods[UntilUtc],"&gt;"&amp;$A87)/24)*1440,0)/1440,NA())</f>
        <v>46289.791666666664</v>
      </c>
      <c r="E87" s="22">
        <f>IF(COUNTIFS(ZonePeriods[Code],Planner!E$9,ZonePeriods[FromUtc],"&lt;="&amp;$A87,ZonePeriods[UntilUtc],"&gt;"&amp;$A87)=1,ROUND(($A87+SUMIFS(ZonePeriods[OffsetHours],ZonePeriods[Code],Planner!E$9,ZonePeriods[FromUtc],"&lt;="&amp;$A87,ZonePeriods[UntilUtc],"&gt;"&amp;$A87)/24)*1440,0)/1440,NA())</f>
        <v>46289.75</v>
      </c>
      <c r="F87" s="22">
        <f>IF(COUNTIFS(ZonePeriods[Code],Planner!F$9,ZonePeriods[FromUtc],"&lt;="&amp;$A87,ZonePeriods[UntilUtc],"&gt;"&amp;$A87)=1,ROUND(($A87+SUMIFS(ZonePeriods[OffsetHours],ZonePeriods[Code],Planner!F$9,ZonePeriods[FromUtc],"&lt;="&amp;$A87,ZonePeriods[UntilUtc],"&gt;"&amp;$A87)/24)*1440,0)/1440,NA())</f>
        <v>46289.708333333336</v>
      </c>
      <c r="G87" s="22">
        <f>IF(COUNTIFS(ZonePeriods[Code],Planner!G$9,ZonePeriods[FromUtc],"&lt;="&amp;$A87,ZonePeriods[UntilUtc],"&gt;"&amp;$A87)=1,ROUND(($A87+SUMIFS(ZonePeriods[OffsetHours],ZonePeriods[Code],Planner!G$9,ZonePeriods[FromUtc],"&lt;="&amp;$A87,ZonePeriods[UntilUtc],"&gt;"&amp;$A87)/24)*1440,0)/1440,NA())</f>
        <v>46289.5</v>
      </c>
      <c r="H87" s="22">
        <f>IF(COUNTIFS(ZonePeriods[Code],Planner!H$9,ZonePeriods[FromUtc],"&lt;="&amp;$A87,ZonePeriods[UntilUtc],"&gt;"&amp;$A87)=1,ROUND(($A87+SUMIFS(ZonePeriods[OffsetHours],ZonePeriods[Code],Planner!H$9,ZonePeriods[FromUtc],"&lt;="&amp;$A87,ZonePeriods[UntilUtc],"&gt;"&amp;$A87)/24)*1440,0)/1440,NA())</f>
        <v>46289.375</v>
      </c>
      <c r="I87" s="1"/>
      <c r="J87" s="1">
        <f t="shared" si="28"/>
        <v>1380</v>
      </c>
      <c r="K87" s="1">
        <f t="shared" si="29"/>
        <v>1290</v>
      </c>
      <c r="L87" s="1">
        <f t="shared" si="30"/>
        <v>1140</v>
      </c>
      <c r="M87" s="1">
        <f t="shared" si="31"/>
        <v>1080</v>
      </c>
      <c r="N87" s="1">
        <f t="shared" si="32"/>
        <v>1020</v>
      </c>
      <c r="O87" s="1">
        <f t="shared" si="33"/>
        <v>720</v>
      </c>
      <c r="P87" s="1">
        <f t="shared" si="34"/>
        <v>540</v>
      </c>
      <c r="Q87" s="1"/>
      <c r="R87" s="1">
        <f t="shared" si="35"/>
        <v>1</v>
      </c>
      <c r="S87" s="1">
        <f t="shared" si="36"/>
        <v>0</v>
      </c>
      <c r="T87" s="1">
        <f t="shared" si="37"/>
        <v>1</v>
      </c>
      <c r="U87" s="1">
        <f t="shared" si="38"/>
        <v>1</v>
      </c>
      <c r="V87" s="1">
        <f t="shared" si="39"/>
        <v>2</v>
      </c>
      <c r="W87" s="1">
        <f t="shared" si="40"/>
        <v>2</v>
      </c>
      <c r="X87" s="1">
        <f t="shared" si="41"/>
        <v>2</v>
      </c>
      <c r="Y87" s="1"/>
      <c r="Z87" s="1">
        <f>IF(Planner!B$10="Nessuno",0,COUNTIFS(HolidayDates[Calendar],Planner!B$10,HolidayDates[Local date],INT(B87),HolidayDates[Active 0/1],1)+COUNTIFS(ImportedHolidays[Calendar],Planner!B$10,ImportedHolidays[Date],INT(B87),ImportedHolidays[Active],1,ImportedHolidays[Kind],"HOLIDAY"))</f>
        <v>0</v>
      </c>
      <c r="AA87" s="1">
        <f>IF(Planner!C$10="Nessuno",0,COUNTIFS(HolidayDates[Calendar],Planner!C$10,HolidayDates[Local date],INT(C87),HolidayDates[Active 0/1],1)+COUNTIFS(ImportedHolidays[Calendar],Planner!C$10,ImportedHolidays[Date],INT(C87),ImportedHolidays[Active],1,ImportedHolidays[Kind],"HOLIDAY"))</f>
        <v>0</v>
      </c>
      <c r="AB87" s="1">
        <f>IF(Planner!D$10="Nessuno",0,COUNTIFS(HolidayDates[Calendar],Planner!D$10,HolidayDates[Local date],INT(D87),HolidayDates[Active 0/1],1)+COUNTIFS(ImportedHolidays[Calendar],Planner!D$10,ImportedHolidays[Date],INT(D87),ImportedHolidays[Active],1,ImportedHolidays[Kind],"HOLIDAY"))</f>
        <v>0</v>
      </c>
      <c r="AC87" s="1">
        <f>IF(Planner!E$10="Nessuno",0,COUNTIFS(HolidayDates[Calendar],Planner!E$10,HolidayDates[Local date],INT(E87),HolidayDates[Active 0/1],1)+COUNTIFS(ImportedHolidays[Calendar],Planner!E$10,ImportedHolidays[Date],INT(E87),ImportedHolidays[Active],1,ImportedHolidays[Kind],"HOLIDAY"))</f>
        <v>0</v>
      </c>
      <c r="AD87" s="1">
        <f>IF(Planner!F$10="Nessuno",0,COUNTIFS(HolidayDates[Calendar],Planner!F$10,HolidayDates[Local date],INT(F87),HolidayDates[Active 0/1],1)+COUNTIFS(ImportedHolidays[Calendar],Planner!F$10,ImportedHolidays[Date],INT(F87),ImportedHolidays[Active],1,ImportedHolidays[Kind],"HOLIDAY"))</f>
        <v>0</v>
      </c>
      <c r="AE87" s="1">
        <f>IF(Planner!G$10="Nessuno",0,COUNTIFS(HolidayDates[Calendar],Planner!G$10,HolidayDates[Local date],INT(G87),HolidayDates[Active 0/1],1)+COUNTIFS(ImportedHolidays[Calendar],Planner!G$10,ImportedHolidays[Date],INT(G87),ImportedHolidays[Active],1,ImportedHolidays[Kind],"HOLIDAY"))</f>
        <v>0</v>
      </c>
      <c r="AF87" s="1">
        <f>IF(Planner!H$10="Nessuno",0,COUNTIFS(HolidayDates[Calendar],Planner!H$10,HolidayDates[Local date],INT(H87),HolidayDates[Active 0/1],1)+COUNTIFS(ImportedHolidays[Calendar],Planner!H$10,ImportedHolidays[Date],INT(H87),ImportedHolidays[Active],1,ImportedHolidays[Kind],"HOLIDAY"))</f>
        <v>0</v>
      </c>
      <c r="AG87" s="1"/>
      <c r="AH87" s="1" t="b">
        <f>INDEX(Parametri!$G12:$M12,1,WEEKDAY(INT(B87),2))=1</f>
        <v>0</v>
      </c>
      <c r="AI87" s="1" t="b">
        <f>INDEX(Parametri!$G13:$M13,1,WEEKDAY(INT(C87),2))=1</f>
        <v>0</v>
      </c>
      <c r="AJ87" s="1" t="b">
        <f>INDEX(Parametri!$G14:$M14,1,WEEKDAY(INT(D87),2))=1</f>
        <v>0</v>
      </c>
      <c r="AK87" s="1" t="b">
        <f>INDEX(Parametri!$G15:$M15,1,WEEKDAY(INT(E87),2))=1</f>
        <v>0</v>
      </c>
      <c r="AL87" s="1" t="b">
        <f>INDEX(Parametri!$G16:$M16,1,WEEKDAY(INT(F87),2))=1</f>
        <v>0</v>
      </c>
      <c r="AM87" s="1" t="b">
        <f>INDEX(Parametri!$G17:$M17,1,WEEKDAY(INT(G87),2))=1</f>
        <v>0</v>
      </c>
      <c r="AN87" s="1" t="b">
        <f>INDEX(Parametri!$G18:$M18,1,WEEKDAY(INT(H87),2))=1</f>
        <v>0</v>
      </c>
      <c r="AO87">
        <f>COUNTIFS(PersonalExceptions[Colonna],1,PersonalExceptions[Dal],"&lt;="&amp;INT(B87),PersonalExceptions[Al],"&gt;="&amp;INT(B87),PersonalExceptions[Active 0/1],1,PersonalExceptions[Effetto],"Rest")</f>
        <v>0</v>
      </c>
      <c r="AP87">
        <f>COUNTIFS(PersonalExceptions[Colonna],2,PersonalExceptions[Dal],"&lt;="&amp;INT(C87),PersonalExceptions[Al],"&gt;="&amp;INT(C87),PersonalExceptions[Active 0/1],1,PersonalExceptions[Effetto],"Rest")</f>
        <v>0</v>
      </c>
      <c r="AQ87">
        <f>COUNTIFS(PersonalExceptions[Colonna],3,PersonalExceptions[Dal],"&lt;="&amp;INT(D87),PersonalExceptions[Al],"&gt;="&amp;INT(D87),PersonalExceptions[Active 0/1],1,PersonalExceptions[Effetto],"Rest")</f>
        <v>0</v>
      </c>
      <c r="AR87">
        <f>COUNTIFS(PersonalExceptions[Colonna],4,PersonalExceptions[Dal],"&lt;="&amp;INT(E87),PersonalExceptions[Al],"&gt;="&amp;INT(E87),PersonalExceptions[Active 0/1],1,PersonalExceptions[Effetto],"Rest")</f>
        <v>0</v>
      </c>
      <c r="AS87">
        <f>COUNTIFS(PersonalExceptions[Colonna],5,PersonalExceptions[Dal],"&lt;="&amp;INT(F87),PersonalExceptions[Al],"&gt;="&amp;INT(F87),PersonalExceptions[Active 0/1],1,PersonalExceptions[Effetto],"Rest")</f>
        <v>0</v>
      </c>
      <c r="AT87">
        <f>COUNTIFS(PersonalExceptions[Colonna],6,PersonalExceptions[Dal],"&lt;="&amp;INT(G87),PersonalExceptions[Al],"&gt;="&amp;INT(G87),PersonalExceptions[Active 0/1],1,PersonalExceptions[Effetto],"Rest")</f>
        <v>0</v>
      </c>
      <c r="AU87">
        <f>COUNTIFS(PersonalExceptions[Colonna],7,PersonalExceptions[Dal],"&lt;="&amp;INT(H87),PersonalExceptions[Al],"&gt;="&amp;INT(H87),PersonalExceptions[Active 0/1],1,PersonalExceptions[Effetto],"Rest")</f>
        <v>0</v>
      </c>
      <c r="AW87">
        <f>COUNTIFS(PersonalExceptions[Colonna],1,PersonalExceptions[Dal],"&lt;="&amp;INT(B87),PersonalExceptions[Al],"&gt;="&amp;INT(B87),PersonalExceptions[Active 0/1],1,PersonalExceptions[Effetto],"Activity")</f>
        <v>0</v>
      </c>
      <c r="AX87">
        <f>COUNTIFS(PersonalExceptions[Colonna],2,PersonalExceptions[Dal],"&lt;="&amp;INT(C87),PersonalExceptions[Al],"&gt;="&amp;INT(C87),PersonalExceptions[Active 0/1],1,PersonalExceptions[Effetto],"Activity")</f>
        <v>0</v>
      </c>
      <c r="AY87">
        <f>COUNTIFS(PersonalExceptions[Colonna],3,PersonalExceptions[Dal],"&lt;="&amp;INT(D87),PersonalExceptions[Al],"&gt;="&amp;INT(D87),PersonalExceptions[Active 0/1],1,PersonalExceptions[Effetto],"Activity")</f>
        <v>0</v>
      </c>
      <c r="AZ87">
        <f>COUNTIFS(PersonalExceptions[Colonna],4,PersonalExceptions[Dal],"&lt;="&amp;INT(E87),PersonalExceptions[Al],"&gt;="&amp;INT(E87),PersonalExceptions[Active 0/1],1,PersonalExceptions[Effetto],"Activity")</f>
        <v>0</v>
      </c>
      <c r="BA87">
        <f>COUNTIFS(PersonalExceptions[Colonna],5,PersonalExceptions[Dal],"&lt;="&amp;INT(F87),PersonalExceptions[Al],"&gt;="&amp;INT(F87),PersonalExceptions[Active 0/1],1,PersonalExceptions[Effetto],"Activity")</f>
        <v>0</v>
      </c>
      <c r="BB87">
        <f>COUNTIFS(PersonalExceptions[Colonna],6,PersonalExceptions[Dal],"&lt;="&amp;INT(G87),PersonalExceptions[Al],"&gt;="&amp;INT(G87),PersonalExceptions[Active 0/1],1,PersonalExceptions[Effetto],"Activity")</f>
        <v>0</v>
      </c>
      <c r="BC87">
        <f>COUNTIFS(PersonalExceptions[Colonna],7,PersonalExceptions[Dal],"&lt;="&amp;INT(H87),PersonalExceptions[Al],"&gt;="&amp;INT(H87),PersonalExceptions[Active 0/1],1,PersonalExceptions[Effetto],"Activity")</f>
        <v>0</v>
      </c>
      <c r="BE87">
        <f>IF(Planner!B$10="Nessuno",0,COUNTIFS(ImportedHolidays[Calendar],Planner!B$10,ImportedHolidays[Date],INT(B87),ImportedHolidays[Active],1,ImportedHolidays[Kind],"WORKDAY"))</f>
        <v>0</v>
      </c>
      <c r="BF87">
        <f>IF(Planner!C$10="Nessuno",0,COUNTIFS(ImportedHolidays[Calendar],Planner!C$10,ImportedHolidays[Date],INT(C87),ImportedHolidays[Active],1,ImportedHolidays[Kind],"WORKDAY"))</f>
        <v>0</v>
      </c>
      <c r="BG87">
        <f>IF(Planner!D$10="Nessuno",0,COUNTIFS(ImportedHolidays[Calendar],Planner!D$10,ImportedHolidays[Date],INT(D87),ImportedHolidays[Active],1,ImportedHolidays[Kind],"WORKDAY"))</f>
        <v>0</v>
      </c>
      <c r="BH87">
        <f>IF(Planner!E$10="Nessuno",0,COUNTIFS(ImportedHolidays[Calendar],Planner!E$10,ImportedHolidays[Date],INT(E87),ImportedHolidays[Active],1,ImportedHolidays[Kind],"WORKDAY"))</f>
        <v>0</v>
      </c>
      <c r="BI87">
        <f>IF(Planner!F$10="Nessuno",0,COUNTIFS(ImportedHolidays[Calendar],Planner!F$10,ImportedHolidays[Date],INT(F87),ImportedHolidays[Active],1,ImportedHolidays[Kind],"WORKDAY"))</f>
        <v>0</v>
      </c>
      <c r="BJ87">
        <f>IF(Planner!G$10="Nessuno",0,COUNTIFS(ImportedHolidays[Calendar],Planner!G$10,ImportedHolidays[Date],INT(G87),ImportedHolidays[Active],1,ImportedHolidays[Kind],"WORKDAY"))</f>
        <v>0</v>
      </c>
      <c r="BK87">
        <f>IF(Planner!H$10="Nessuno",0,COUNTIFS(ImportedHolidays[Calendar],Planner!H$10,ImportedHolidays[Date],INT(H87),ImportedHolidays[Active],1,ImportedHolidays[Kind],"WORKDAY"))</f>
        <v>0</v>
      </c>
      <c r="BM87">
        <f>IF(MOD(J87-B$11,1440)&lt;B$12,2,IF(OR(MOD(J87-B$11,1440)&lt;B$12+ROUND(Planner!$D$5*60,0),MOD(J87-B$11,1440)&gt;=1440-ROUND(Planner!$B$5*60,0)),1,0))</f>
        <v>1</v>
      </c>
      <c r="BN87">
        <f>IF(MOD(K87-C$11,1440)&lt;C$12,2,IF(OR(MOD(K87-C$11,1440)&lt;C$12+ROUND(Planner!$D$5*60,0),MOD(K87-C$11,1440)&gt;=1440-ROUND(Planner!$B$5*60,0)),1,0))</f>
        <v>0</v>
      </c>
      <c r="BO87">
        <f>IF(MOD(L87-D$11,1440)&lt;D$12,2,IF(OR(MOD(L87-D$11,1440)&lt;D$12+ROUND(Planner!$D$5*60,0),MOD(L87-D$11,1440)&gt;=1440-ROUND(Planner!$B$5*60,0)),1,0))</f>
        <v>1</v>
      </c>
      <c r="BP87">
        <f>IF(MOD(M87-E$11,1440)&lt;E$12,2,IF(OR(MOD(M87-E$11,1440)&lt;E$12+ROUND(Planner!$D$5*60,0),MOD(M87-E$11,1440)&gt;=1440-ROUND(Planner!$B$5*60,0)),1,0))</f>
        <v>1</v>
      </c>
      <c r="BQ87">
        <f>IF(MOD(N87-F$11,1440)&lt;F$12,2,IF(OR(MOD(N87-F$11,1440)&lt;F$12+ROUND(Planner!$D$5*60,0),MOD(N87-F$11,1440)&gt;=1440-ROUND(Planner!$B$5*60,0)),1,0))</f>
        <v>2</v>
      </c>
      <c r="BR87">
        <f>IF(MOD(O87-G$11,1440)&lt;G$12,2,IF(OR(MOD(O87-G$11,1440)&lt;G$12+ROUND(Planner!$D$5*60,0),MOD(O87-G$11,1440)&gt;=1440-ROUND(Planner!$B$5*60,0)),1,0))</f>
        <v>2</v>
      </c>
      <c r="BS87">
        <f>IF(MOD(P87-H$11,1440)&lt;H$12,2,IF(OR(MOD(P87-H$11,1440)&lt;H$12+ROUND(Planner!$D$5*60,0),MOD(P87-H$11,1440)&gt;=1440-ROUND(Planner!$B$5*60,0)),1,0))</f>
        <v>2</v>
      </c>
    </row>
    <row r="88" spans="1:71">
      <c r="A88" s="22">
        <f>ROUND(($B$6+47*Planner!$F$4/1440)*1440,0)/1440</f>
        <v>46289.6875</v>
      </c>
      <c r="B88" s="22">
        <f>IF(COUNTIFS(ZonePeriods[Code],Planner!B$9,ZonePeriods[FromUtc],"&lt;="&amp;$A88,ZonePeriods[UntilUtc],"&gt;"&amp;$A88)=1,ROUND(($A88+SUMIFS(ZonePeriods[OffsetHours],ZonePeriods[Code],Planner!B$9,ZonePeriods[FromUtc],"&lt;="&amp;$A88,ZonePeriods[UntilUtc],"&gt;"&amp;$A88)/24)*1440,0)/1440,NA())</f>
        <v>46289.979166666664</v>
      </c>
      <c r="C88" s="22">
        <f>IF(COUNTIFS(ZonePeriods[Code],Planner!C$9,ZonePeriods[FromUtc],"&lt;="&amp;$A88,ZonePeriods[UntilUtc],"&gt;"&amp;$A88)=1,ROUND(($A88+SUMIFS(ZonePeriods[OffsetHours],ZonePeriods[Code],Planner!C$9,ZonePeriods[FromUtc],"&lt;="&amp;$A88,ZonePeriods[UntilUtc],"&gt;"&amp;$A88)/24)*1440,0)/1440,NA())</f>
        <v>46289.916666666664</v>
      </c>
      <c r="D88" s="22">
        <f>IF(COUNTIFS(ZonePeriods[Code],Planner!D$9,ZonePeriods[FromUtc],"&lt;="&amp;$A88,ZonePeriods[UntilUtc],"&gt;"&amp;$A88)=1,ROUND(($A88+SUMIFS(ZonePeriods[OffsetHours],ZonePeriods[Code],Planner!D$9,ZonePeriods[FromUtc],"&lt;="&amp;$A88,ZonePeriods[UntilUtc],"&gt;"&amp;$A88)/24)*1440,0)/1440,NA())</f>
        <v>46289.8125</v>
      </c>
      <c r="E88" s="22">
        <f>IF(COUNTIFS(ZonePeriods[Code],Planner!E$9,ZonePeriods[FromUtc],"&lt;="&amp;$A88,ZonePeriods[UntilUtc],"&gt;"&amp;$A88)=1,ROUND(($A88+SUMIFS(ZonePeriods[OffsetHours],ZonePeriods[Code],Planner!E$9,ZonePeriods[FromUtc],"&lt;="&amp;$A88,ZonePeriods[UntilUtc],"&gt;"&amp;$A88)/24)*1440,0)/1440,NA())</f>
        <v>46289.770833333336</v>
      </c>
      <c r="F88" s="22">
        <f>IF(COUNTIFS(ZonePeriods[Code],Planner!F$9,ZonePeriods[FromUtc],"&lt;="&amp;$A88,ZonePeriods[UntilUtc],"&gt;"&amp;$A88)=1,ROUND(($A88+SUMIFS(ZonePeriods[OffsetHours],ZonePeriods[Code],Planner!F$9,ZonePeriods[FromUtc],"&lt;="&amp;$A88,ZonePeriods[UntilUtc],"&gt;"&amp;$A88)/24)*1440,0)/1440,NA())</f>
        <v>46289.729166666664</v>
      </c>
      <c r="G88" s="22">
        <f>IF(COUNTIFS(ZonePeriods[Code],Planner!G$9,ZonePeriods[FromUtc],"&lt;="&amp;$A88,ZonePeriods[UntilUtc],"&gt;"&amp;$A88)=1,ROUND(($A88+SUMIFS(ZonePeriods[OffsetHours],ZonePeriods[Code],Planner!G$9,ZonePeriods[FromUtc],"&lt;="&amp;$A88,ZonePeriods[UntilUtc],"&gt;"&amp;$A88)/24)*1440,0)/1440,NA())</f>
        <v>46289.520833333336</v>
      </c>
      <c r="H88" s="22">
        <f>IF(COUNTIFS(ZonePeriods[Code],Planner!H$9,ZonePeriods[FromUtc],"&lt;="&amp;$A88,ZonePeriods[UntilUtc],"&gt;"&amp;$A88)=1,ROUND(($A88+SUMIFS(ZonePeriods[OffsetHours],ZonePeriods[Code],Planner!H$9,ZonePeriods[FromUtc],"&lt;="&amp;$A88,ZonePeriods[UntilUtc],"&gt;"&amp;$A88)/24)*1440,0)/1440,NA())</f>
        <v>46289.395833333336</v>
      </c>
      <c r="I88" s="1"/>
      <c r="J88" s="1">
        <f t="shared" si="28"/>
        <v>1410</v>
      </c>
      <c r="K88" s="1">
        <f t="shared" si="29"/>
        <v>1320</v>
      </c>
      <c r="L88" s="1">
        <f t="shared" si="30"/>
        <v>1170</v>
      </c>
      <c r="M88" s="1">
        <f t="shared" si="31"/>
        <v>1110</v>
      </c>
      <c r="N88" s="1">
        <f t="shared" si="32"/>
        <v>1050</v>
      </c>
      <c r="O88" s="1">
        <f t="shared" si="33"/>
        <v>750</v>
      </c>
      <c r="P88" s="1">
        <f t="shared" si="34"/>
        <v>570</v>
      </c>
      <c r="Q88" s="1"/>
      <c r="R88" s="1">
        <f t="shared" si="35"/>
        <v>1</v>
      </c>
      <c r="S88" s="1">
        <f t="shared" si="36"/>
        <v>0</v>
      </c>
      <c r="T88" s="1">
        <f t="shared" si="37"/>
        <v>1</v>
      </c>
      <c r="U88" s="1">
        <f t="shared" si="38"/>
        <v>1</v>
      </c>
      <c r="V88" s="1">
        <f t="shared" si="39"/>
        <v>2</v>
      </c>
      <c r="W88" s="1">
        <f t="shared" si="40"/>
        <v>2</v>
      </c>
      <c r="X88" s="1">
        <f t="shared" si="41"/>
        <v>2</v>
      </c>
      <c r="Y88" s="1"/>
      <c r="Z88" s="1">
        <f>IF(Planner!B$10="Nessuno",0,COUNTIFS(HolidayDates[Calendar],Planner!B$10,HolidayDates[Local date],INT(B88),HolidayDates[Active 0/1],1)+COUNTIFS(ImportedHolidays[Calendar],Planner!B$10,ImportedHolidays[Date],INT(B88),ImportedHolidays[Active],1,ImportedHolidays[Kind],"HOLIDAY"))</f>
        <v>0</v>
      </c>
      <c r="AA88" s="1">
        <f>IF(Planner!C$10="Nessuno",0,COUNTIFS(HolidayDates[Calendar],Planner!C$10,HolidayDates[Local date],INT(C88),HolidayDates[Active 0/1],1)+COUNTIFS(ImportedHolidays[Calendar],Planner!C$10,ImportedHolidays[Date],INT(C88),ImportedHolidays[Active],1,ImportedHolidays[Kind],"HOLIDAY"))</f>
        <v>0</v>
      </c>
      <c r="AB88" s="1">
        <f>IF(Planner!D$10="Nessuno",0,COUNTIFS(HolidayDates[Calendar],Planner!D$10,HolidayDates[Local date],INT(D88),HolidayDates[Active 0/1],1)+COUNTIFS(ImportedHolidays[Calendar],Planner!D$10,ImportedHolidays[Date],INT(D88),ImportedHolidays[Active],1,ImportedHolidays[Kind],"HOLIDAY"))</f>
        <v>0</v>
      </c>
      <c r="AC88" s="1">
        <f>IF(Planner!E$10="Nessuno",0,COUNTIFS(HolidayDates[Calendar],Planner!E$10,HolidayDates[Local date],INT(E88),HolidayDates[Active 0/1],1)+COUNTIFS(ImportedHolidays[Calendar],Planner!E$10,ImportedHolidays[Date],INT(E88),ImportedHolidays[Active],1,ImportedHolidays[Kind],"HOLIDAY"))</f>
        <v>0</v>
      </c>
      <c r="AD88" s="1">
        <f>IF(Planner!F$10="Nessuno",0,COUNTIFS(HolidayDates[Calendar],Planner!F$10,HolidayDates[Local date],INT(F88),HolidayDates[Active 0/1],1)+COUNTIFS(ImportedHolidays[Calendar],Planner!F$10,ImportedHolidays[Date],INT(F88),ImportedHolidays[Active],1,ImportedHolidays[Kind],"HOLIDAY"))</f>
        <v>0</v>
      </c>
      <c r="AE88" s="1">
        <f>IF(Planner!G$10="Nessuno",0,COUNTIFS(HolidayDates[Calendar],Planner!G$10,HolidayDates[Local date],INT(G88),HolidayDates[Active 0/1],1)+COUNTIFS(ImportedHolidays[Calendar],Planner!G$10,ImportedHolidays[Date],INT(G88),ImportedHolidays[Active],1,ImportedHolidays[Kind],"HOLIDAY"))</f>
        <v>0</v>
      </c>
      <c r="AF88" s="1">
        <f>IF(Planner!H$10="Nessuno",0,COUNTIFS(HolidayDates[Calendar],Planner!H$10,HolidayDates[Local date],INT(H88),HolidayDates[Active 0/1],1)+COUNTIFS(ImportedHolidays[Calendar],Planner!H$10,ImportedHolidays[Date],INT(H88),ImportedHolidays[Active],1,ImportedHolidays[Kind],"HOLIDAY"))</f>
        <v>0</v>
      </c>
      <c r="AG88" s="1"/>
      <c r="AH88" s="1" t="b">
        <f>INDEX(Parametri!$G12:$M12,1,WEEKDAY(INT(B88),2))=1</f>
        <v>0</v>
      </c>
      <c r="AI88" s="1" t="b">
        <f>INDEX(Parametri!$G13:$M13,1,WEEKDAY(INT(C88),2))=1</f>
        <v>0</v>
      </c>
      <c r="AJ88" s="1" t="b">
        <f>INDEX(Parametri!$G14:$M14,1,WEEKDAY(INT(D88),2))=1</f>
        <v>0</v>
      </c>
      <c r="AK88" s="1" t="b">
        <f>INDEX(Parametri!$G15:$M15,1,WEEKDAY(INT(E88),2))=1</f>
        <v>0</v>
      </c>
      <c r="AL88" s="1" t="b">
        <f>INDEX(Parametri!$G16:$M16,1,WEEKDAY(INT(F88),2))=1</f>
        <v>0</v>
      </c>
      <c r="AM88" s="1" t="b">
        <f>INDEX(Parametri!$G17:$M17,1,WEEKDAY(INT(G88),2))=1</f>
        <v>0</v>
      </c>
      <c r="AN88" s="1" t="b">
        <f>INDEX(Parametri!$G18:$M18,1,WEEKDAY(INT(H88),2))=1</f>
        <v>0</v>
      </c>
      <c r="AO88">
        <f>COUNTIFS(PersonalExceptions[Colonna],1,PersonalExceptions[Dal],"&lt;="&amp;INT(B88),PersonalExceptions[Al],"&gt;="&amp;INT(B88),PersonalExceptions[Active 0/1],1,PersonalExceptions[Effetto],"Rest")</f>
        <v>0</v>
      </c>
      <c r="AP88">
        <f>COUNTIFS(PersonalExceptions[Colonna],2,PersonalExceptions[Dal],"&lt;="&amp;INT(C88),PersonalExceptions[Al],"&gt;="&amp;INT(C88),PersonalExceptions[Active 0/1],1,PersonalExceptions[Effetto],"Rest")</f>
        <v>0</v>
      </c>
      <c r="AQ88">
        <f>COUNTIFS(PersonalExceptions[Colonna],3,PersonalExceptions[Dal],"&lt;="&amp;INT(D88),PersonalExceptions[Al],"&gt;="&amp;INT(D88),PersonalExceptions[Active 0/1],1,PersonalExceptions[Effetto],"Rest")</f>
        <v>0</v>
      </c>
      <c r="AR88">
        <f>COUNTIFS(PersonalExceptions[Colonna],4,PersonalExceptions[Dal],"&lt;="&amp;INT(E88),PersonalExceptions[Al],"&gt;="&amp;INT(E88),PersonalExceptions[Active 0/1],1,PersonalExceptions[Effetto],"Rest")</f>
        <v>0</v>
      </c>
      <c r="AS88">
        <f>COUNTIFS(PersonalExceptions[Colonna],5,PersonalExceptions[Dal],"&lt;="&amp;INT(F88),PersonalExceptions[Al],"&gt;="&amp;INT(F88),PersonalExceptions[Active 0/1],1,PersonalExceptions[Effetto],"Rest")</f>
        <v>0</v>
      </c>
      <c r="AT88">
        <f>COUNTIFS(PersonalExceptions[Colonna],6,PersonalExceptions[Dal],"&lt;="&amp;INT(G88),PersonalExceptions[Al],"&gt;="&amp;INT(G88),PersonalExceptions[Active 0/1],1,PersonalExceptions[Effetto],"Rest")</f>
        <v>0</v>
      </c>
      <c r="AU88">
        <f>COUNTIFS(PersonalExceptions[Colonna],7,PersonalExceptions[Dal],"&lt;="&amp;INT(H88),PersonalExceptions[Al],"&gt;="&amp;INT(H88),PersonalExceptions[Active 0/1],1,PersonalExceptions[Effetto],"Rest")</f>
        <v>0</v>
      </c>
      <c r="AW88">
        <f>COUNTIFS(PersonalExceptions[Colonna],1,PersonalExceptions[Dal],"&lt;="&amp;INT(B88),PersonalExceptions[Al],"&gt;="&amp;INT(B88),PersonalExceptions[Active 0/1],1,PersonalExceptions[Effetto],"Activity")</f>
        <v>0</v>
      </c>
      <c r="AX88">
        <f>COUNTIFS(PersonalExceptions[Colonna],2,PersonalExceptions[Dal],"&lt;="&amp;INT(C88),PersonalExceptions[Al],"&gt;="&amp;INT(C88),PersonalExceptions[Active 0/1],1,PersonalExceptions[Effetto],"Activity")</f>
        <v>0</v>
      </c>
      <c r="AY88">
        <f>COUNTIFS(PersonalExceptions[Colonna],3,PersonalExceptions[Dal],"&lt;="&amp;INT(D88),PersonalExceptions[Al],"&gt;="&amp;INT(D88),PersonalExceptions[Active 0/1],1,PersonalExceptions[Effetto],"Activity")</f>
        <v>0</v>
      </c>
      <c r="AZ88">
        <f>COUNTIFS(PersonalExceptions[Colonna],4,PersonalExceptions[Dal],"&lt;="&amp;INT(E88),PersonalExceptions[Al],"&gt;="&amp;INT(E88),PersonalExceptions[Active 0/1],1,PersonalExceptions[Effetto],"Activity")</f>
        <v>0</v>
      </c>
      <c r="BA88">
        <f>COUNTIFS(PersonalExceptions[Colonna],5,PersonalExceptions[Dal],"&lt;="&amp;INT(F88),PersonalExceptions[Al],"&gt;="&amp;INT(F88),PersonalExceptions[Active 0/1],1,PersonalExceptions[Effetto],"Activity")</f>
        <v>0</v>
      </c>
      <c r="BB88">
        <f>COUNTIFS(PersonalExceptions[Colonna],6,PersonalExceptions[Dal],"&lt;="&amp;INT(G88),PersonalExceptions[Al],"&gt;="&amp;INT(G88),PersonalExceptions[Active 0/1],1,PersonalExceptions[Effetto],"Activity")</f>
        <v>0</v>
      </c>
      <c r="BC88">
        <f>COUNTIFS(PersonalExceptions[Colonna],7,PersonalExceptions[Dal],"&lt;="&amp;INT(H88),PersonalExceptions[Al],"&gt;="&amp;INT(H88),PersonalExceptions[Active 0/1],1,PersonalExceptions[Effetto],"Activity")</f>
        <v>0</v>
      </c>
      <c r="BE88">
        <f>IF(Planner!B$10="Nessuno",0,COUNTIFS(ImportedHolidays[Calendar],Planner!B$10,ImportedHolidays[Date],INT(B88),ImportedHolidays[Active],1,ImportedHolidays[Kind],"WORKDAY"))</f>
        <v>0</v>
      </c>
      <c r="BF88">
        <f>IF(Planner!C$10="Nessuno",0,COUNTIFS(ImportedHolidays[Calendar],Planner!C$10,ImportedHolidays[Date],INT(C88),ImportedHolidays[Active],1,ImportedHolidays[Kind],"WORKDAY"))</f>
        <v>0</v>
      </c>
      <c r="BG88">
        <f>IF(Planner!D$10="Nessuno",0,COUNTIFS(ImportedHolidays[Calendar],Planner!D$10,ImportedHolidays[Date],INT(D88),ImportedHolidays[Active],1,ImportedHolidays[Kind],"WORKDAY"))</f>
        <v>0</v>
      </c>
      <c r="BH88">
        <f>IF(Planner!E$10="Nessuno",0,COUNTIFS(ImportedHolidays[Calendar],Planner!E$10,ImportedHolidays[Date],INT(E88),ImportedHolidays[Active],1,ImportedHolidays[Kind],"WORKDAY"))</f>
        <v>0</v>
      </c>
      <c r="BI88">
        <f>IF(Planner!F$10="Nessuno",0,COUNTIFS(ImportedHolidays[Calendar],Planner!F$10,ImportedHolidays[Date],INT(F88),ImportedHolidays[Active],1,ImportedHolidays[Kind],"WORKDAY"))</f>
        <v>0</v>
      </c>
      <c r="BJ88">
        <f>IF(Planner!G$10="Nessuno",0,COUNTIFS(ImportedHolidays[Calendar],Planner!G$10,ImportedHolidays[Date],INT(G88),ImportedHolidays[Active],1,ImportedHolidays[Kind],"WORKDAY"))</f>
        <v>0</v>
      </c>
      <c r="BK88">
        <f>IF(Planner!H$10="Nessuno",0,COUNTIFS(ImportedHolidays[Calendar],Planner!H$10,ImportedHolidays[Date],INT(H88),ImportedHolidays[Active],1,ImportedHolidays[Kind],"WORKDAY"))</f>
        <v>0</v>
      </c>
      <c r="BM88">
        <f>IF(MOD(J88-B$11,1440)&lt;B$12,2,IF(OR(MOD(J88-B$11,1440)&lt;B$12+ROUND(Planner!$D$5*60,0),MOD(J88-B$11,1440)&gt;=1440-ROUND(Planner!$B$5*60,0)),1,0))</f>
        <v>1</v>
      </c>
      <c r="BN88">
        <f>IF(MOD(K88-C$11,1440)&lt;C$12,2,IF(OR(MOD(K88-C$11,1440)&lt;C$12+ROUND(Planner!$D$5*60,0),MOD(K88-C$11,1440)&gt;=1440-ROUND(Planner!$B$5*60,0)),1,0))</f>
        <v>0</v>
      </c>
      <c r="BO88">
        <f>IF(MOD(L88-D$11,1440)&lt;D$12,2,IF(OR(MOD(L88-D$11,1440)&lt;D$12+ROUND(Planner!$D$5*60,0),MOD(L88-D$11,1440)&gt;=1440-ROUND(Planner!$B$5*60,0)),1,0))</f>
        <v>1</v>
      </c>
      <c r="BP88">
        <f>IF(MOD(M88-E$11,1440)&lt;E$12,2,IF(OR(MOD(M88-E$11,1440)&lt;E$12+ROUND(Planner!$D$5*60,0),MOD(M88-E$11,1440)&gt;=1440-ROUND(Planner!$B$5*60,0)),1,0))</f>
        <v>1</v>
      </c>
      <c r="BQ88">
        <f>IF(MOD(N88-F$11,1440)&lt;F$12,2,IF(OR(MOD(N88-F$11,1440)&lt;F$12+ROUND(Planner!$D$5*60,0),MOD(N88-F$11,1440)&gt;=1440-ROUND(Planner!$B$5*60,0)),1,0))</f>
        <v>2</v>
      </c>
      <c r="BR88">
        <f>IF(MOD(O88-G$11,1440)&lt;G$12,2,IF(OR(MOD(O88-G$11,1440)&lt;G$12+ROUND(Planner!$D$5*60,0),MOD(O88-G$11,1440)&gt;=1440-ROUND(Planner!$B$5*60,0)),1,0))</f>
        <v>2</v>
      </c>
      <c r="BS88">
        <f>IF(MOD(P88-H$11,1440)&lt;H$12,2,IF(OR(MOD(P88-H$11,1440)&lt;H$12+ROUND(Planner!$D$5*60,0),MOD(P88-H$11,1440)&gt;=1440-ROUND(Planner!$B$5*60,0)),1,0))</f>
        <v>2</v>
      </c>
    </row>
    <row r="94" spans="1:71">
      <c r="A94" t="s">
        <v>1476</v>
      </c>
      <c r="B94" t="s">
        <v>88</v>
      </c>
      <c r="C94" t="str">
        <f>IF(COUNTIF(ZoneCatalog[Code],Planner!C9)=1,UPPER(INDEX(ZoneCatalog[CountryCode],MATCH(Planner!C9,ZoneCatalog[Code],0))),"")</f>
        <v>IN</v>
      </c>
      <c r="D94" t="str">
        <f>IF(COUNTIF(ZoneCatalog[Code],Planner!D9)=1,UPPER(INDEX(ZoneCatalog[CountryCode],MATCH(Planner!D9,ZoneCatalog[Code],0))),"")</f>
        <v>BY</v>
      </c>
      <c r="E94" t="str">
        <f>IF(COUNTIF(ZoneCatalog[Code],Planner!E9)=1,UPPER(INDEX(ZoneCatalog[CountryCode],MATCH(Planner!E9,ZoneCatalog[Code],0))),"")</f>
        <v>IT</v>
      </c>
      <c r="F94" t="str">
        <f>IF(COUNTIF(ZoneCatalog[Code],Planner!F9)=1,UPPER(INDEX(ZoneCatalog[CountryCode],MATCH(Planner!F9,ZoneCatalog[Code],0))),"")</f>
        <v>GB</v>
      </c>
      <c r="G94" t="str">
        <f>IF(COUNTIF(ZoneCatalog[Code],Planner!G9)=1,UPPER(INDEX(ZoneCatalog[CountryCode],MATCH(Planner!G9,ZoneCatalog[Code],0))),"")</f>
        <v>US</v>
      </c>
      <c r="H94" t="str">
        <f>IF(COUNTIF(ZoneCatalog[Code],Planner!H9)=1,UPPER(INDEX(ZoneCatalog[CountryCode],MATCH(Planner!H9,ZoneCatalog[Code],0))),"")</f>
        <v>US</v>
      </c>
      <c r="J94" t="s">
        <v>1479</v>
      </c>
      <c r="K94" t="s">
        <v>1480</v>
      </c>
    </row>
    <row r="95" spans="1:71">
      <c r="A95" t="s">
        <v>1477</v>
      </c>
      <c r="C95" t="str">
        <f>IF(COUNTIF(Weather[Code],Planner!C9)=1,INDEX(Weather[Description],MATCH(Planner!C9,Weather[Code],0)),"")</f>
        <v>light rain</v>
      </c>
      <c r="D95" t="str">
        <f>IF(COUNTIF(Weather[Code],Planner!D9)=1,INDEX(Weather[Description],MATCH(Planner!D9,Weather[Code],0)),"")</f>
        <v>scattered clouds</v>
      </c>
      <c r="E95" t="str">
        <f>IF(COUNTIF(Weather[Code],Planner!E9)=1,INDEX(Weather[Description],MATCH(Planner!E9,Weather[Code],0)),"")</f>
        <v>clear sky</v>
      </c>
      <c r="F95" t="str">
        <f>IF(COUNTIF(Weather[Code],Planner!F9)=1,INDEX(Weather[Description],MATCH(Planner!F9,Weather[Code],0)),"")</f>
        <v>scattered clouds</v>
      </c>
      <c r="G95" t="str">
        <f>IF(COUNTIF(Weather[Code],Planner!G9)=1,INDEX(Weather[Description],MATCH(Planner!G9,Weather[Code],0)),"")</f>
        <v>overcast</v>
      </c>
      <c r="H95" t="str">
        <f>IF(COUNTIF(Weather[Code],Planner!H9)=1,INDEX(Weather[Description],MATCH(Planner!H9,Weather[Code],0)),"")</f>
        <v>clear sky</v>
      </c>
      <c r="J95" t="s">
        <v>128</v>
      </c>
      <c r="K95" t="s">
        <v>1481</v>
      </c>
    </row>
    <row r="96" spans="1:71">
      <c r="A96" t="s">
        <v>1478</v>
      </c>
      <c r="B96" t="str">
        <f>IF(B95="","",IF(OR(ISNUMBER(SEARCH("temporale",B95)),ISNUMBER(SEARCH("thunder",B95))),"⛈️",IF(OR(ISNUMBER(SEARCH("tornado",B95))),"🌪️",IF(OR(ISNUMBER(SEARCH("nev",B95)),ISNUMBER(SEARCH("snow",B95)),ISNUMBER(SEARCH("sleet",B95))),"🌨️",IF(OR(ISNUMBER(SEARCH("piogg",B95)),ISNUMBER(SEARCH("piov",B95)),ISNUMBER(SEARCH("rain",B95)),ISNUMBER(SEARCH("drizz",B95))),"🌧️",IF(OR(ISNUMBER(SEARCH("nebb",B95)),ISNUMBER(SEARCH("foschi",B95)),ISNUMBER(SEARCH("caligin",B95)),ISNUMBER(SEARCH("fog",B95)),ISNUMBER(SEARCH("mist",B95)),ISNUMBER(SEARCH("smoke",B95)),ISNUMBER(SEARCH("dust",B95)),ISNUMBER(SEARCH("sabb",B95)),ISNUMBER(SEARCH("cener",B95))),"🌫️",IF(OR(ISNUMBER(SEARCH("poche nuvol",B95)),ISNUMBER(SEARCH("few clouds",B95))),"🌤️",IF(OR(ISNUMBER(SEARCH("scattered clouds",B95)),ISNUMBER(SEARCH("scattered clouds",B95))),"⛅",IF(OR(ISNUMBER(SEARCH("nuvol",B95)),ISNUMBER(SEARCH("nub",B95)),ISNUMBER(SEARCH("cloud",B95)),ISNUMBER(SEARCH("copert",B95))),"🌡️",IF(OR(ISNUMBER(SEARCH("seren",B95)),ISNUMBER(SEARCH("clear",B95))),"☀️","🌡️"))))))))))</f>
        <v/>
      </c>
      <c r="C96" t="str">
        <f>IF(C95="","",IF(OR(ISNUMBER(SEARCH("temporale",C95)),ISNUMBER(SEARCH("thunder",C95))),"⛈️",IF(OR(ISNUMBER(SEARCH("tornado",C95))),"🌪️",IF(OR(ISNUMBER(SEARCH("nev",C95)),ISNUMBER(SEARCH("snow",C95)),ISNUMBER(SEARCH("sleet",C95))),"🌨️",IF(OR(ISNUMBER(SEARCH("piogg",C95)),ISNUMBER(SEARCH("piov",C95)),ISNUMBER(SEARCH("rain",C95)),ISNUMBER(SEARCH("drizz",C95))),"🌧️",IF(OR(ISNUMBER(SEARCH("nebb",C95)),ISNUMBER(SEARCH("foschi",C95)),ISNUMBER(SEARCH("caligin",C95)),ISNUMBER(SEARCH("fog",C95)),ISNUMBER(SEARCH("mist",C95)),ISNUMBER(SEARCH("smoke",C95)),ISNUMBER(SEARCH("dust",C95)),ISNUMBER(SEARCH("sabb",C95)),ISNUMBER(SEARCH("cener",C95))),"🌫️",IF(OR(ISNUMBER(SEARCH("poche nuvol",C95)),ISNUMBER(SEARCH("few clouds",C95))),"🌤️",IF(OR(ISNUMBER(SEARCH("scattered clouds",C95)),ISNUMBER(SEARCH("scattered clouds",C95))),"⛅",IF(OR(ISNUMBER(SEARCH("nuvol",C95)),ISNUMBER(SEARCH("nub",C95)),ISNUMBER(SEARCH("cloud",C95)),ISNUMBER(SEARCH("copert",C95))),"🌡️",IF(OR(ISNUMBER(SEARCH("seren",C95)),ISNUMBER(SEARCH("clear",C95))),"☀️","🌡️"))))))))))</f>
        <v>🌧️</v>
      </c>
      <c r="D96" t="str">
        <f>IF(D95="","",IF(OR(ISNUMBER(SEARCH("temporale",D95)),ISNUMBER(SEARCH("thunder",D95))),"⛈️",IF(OR(ISNUMBER(SEARCH("tornado",D95))),"🌪️",IF(OR(ISNUMBER(SEARCH("nev",D95)),ISNUMBER(SEARCH("snow",D95)),ISNUMBER(SEARCH("sleet",D95))),"🌨️",IF(OR(ISNUMBER(SEARCH("piogg",D95)),ISNUMBER(SEARCH("piov",D95)),ISNUMBER(SEARCH("rain",D95)),ISNUMBER(SEARCH("drizz",D95))),"🌧️",IF(OR(ISNUMBER(SEARCH("nebb",D95)),ISNUMBER(SEARCH("foschi",D95)),ISNUMBER(SEARCH("caligin",D95)),ISNUMBER(SEARCH("fog",D95)),ISNUMBER(SEARCH("mist",D95)),ISNUMBER(SEARCH("smoke",D95)),ISNUMBER(SEARCH("dust",D95)),ISNUMBER(SEARCH("sabb",D95)),ISNUMBER(SEARCH("cener",D95))),"🌫️",IF(OR(ISNUMBER(SEARCH("poche nuvol",D95)),ISNUMBER(SEARCH("few clouds",D95))),"🌤️",IF(OR(ISNUMBER(SEARCH("scattered clouds",D95)),ISNUMBER(SEARCH("scattered clouds",D95))),"⛅",IF(OR(ISNUMBER(SEARCH("nuvol",D95)),ISNUMBER(SEARCH("nub",D95)),ISNUMBER(SEARCH("cloud",D95)),ISNUMBER(SEARCH("copert",D95))),"🌡️",IF(OR(ISNUMBER(SEARCH("seren",D95)),ISNUMBER(SEARCH("clear",D95))),"☀️","🌡️"))))))))))</f>
        <v>⛅</v>
      </c>
      <c r="E96" t="str">
        <f>IF(E95="","",IF(OR(ISNUMBER(SEARCH("temporale",E95)),ISNUMBER(SEARCH("thunder",E95))),"⛈️",IF(OR(ISNUMBER(SEARCH("tornado",E95))),"🌪️",IF(OR(ISNUMBER(SEARCH("nev",E95)),ISNUMBER(SEARCH("snow",E95)),ISNUMBER(SEARCH("sleet",E95))),"🌨️",IF(OR(ISNUMBER(SEARCH("piogg",E95)),ISNUMBER(SEARCH("piov",E95)),ISNUMBER(SEARCH("rain",E95)),ISNUMBER(SEARCH("drizz",E95))),"🌧️",IF(OR(ISNUMBER(SEARCH("nebb",E95)),ISNUMBER(SEARCH("foschi",E95)),ISNUMBER(SEARCH("caligin",E95)),ISNUMBER(SEARCH("fog",E95)),ISNUMBER(SEARCH("mist",E95)),ISNUMBER(SEARCH("smoke",E95)),ISNUMBER(SEARCH("dust",E95)),ISNUMBER(SEARCH("sabb",E95)),ISNUMBER(SEARCH("cener",E95))),"🌫️",IF(OR(ISNUMBER(SEARCH("poche nuvol",E95)),ISNUMBER(SEARCH("few clouds",E95))),"🌤️",IF(OR(ISNUMBER(SEARCH("scattered clouds",E95)),ISNUMBER(SEARCH("scattered clouds",E95))),"⛅",IF(OR(ISNUMBER(SEARCH("nuvol",E95)),ISNUMBER(SEARCH("nub",E95)),ISNUMBER(SEARCH("cloud",E95)),ISNUMBER(SEARCH("copert",E95))),"🌡️",IF(OR(ISNUMBER(SEARCH("seren",E95)),ISNUMBER(SEARCH("clear",E95))),"☀️","🌡️"))))))))))</f>
        <v>☀️</v>
      </c>
      <c r="F96" t="str">
        <f>IF(F95="","",IF(OR(ISNUMBER(SEARCH("temporale",F95)),ISNUMBER(SEARCH("thunder",F95))),"⛈️",IF(OR(ISNUMBER(SEARCH("tornado",F95))),"🌪️",IF(OR(ISNUMBER(SEARCH("nev",F95)),ISNUMBER(SEARCH("snow",F95)),ISNUMBER(SEARCH("sleet",F95))),"🌨️",IF(OR(ISNUMBER(SEARCH("piogg",F95)),ISNUMBER(SEARCH("piov",F95)),ISNUMBER(SEARCH("rain",F95)),ISNUMBER(SEARCH("drizz",F95))),"🌧️",IF(OR(ISNUMBER(SEARCH("nebb",F95)),ISNUMBER(SEARCH("foschi",F95)),ISNUMBER(SEARCH("caligin",F95)),ISNUMBER(SEARCH("fog",F95)),ISNUMBER(SEARCH("mist",F95)),ISNUMBER(SEARCH("smoke",F95)),ISNUMBER(SEARCH("dust",F95)),ISNUMBER(SEARCH("sabb",F95)),ISNUMBER(SEARCH("cener",F95))),"🌫️",IF(OR(ISNUMBER(SEARCH("poche nuvol",F95)),ISNUMBER(SEARCH("few clouds",F95))),"🌤️",IF(OR(ISNUMBER(SEARCH("scattered clouds",F95)),ISNUMBER(SEARCH("scattered clouds",F95))),"⛅",IF(OR(ISNUMBER(SEARCH("nuvol",F95)),ISNUMBER(SEARCH("nub",F95)),ISNUMBER(SEARCH("cloud",F95)),ISNUMBER(SEARCH("copert",F95))),"🌡️",IF(OR(ISNUMBER(SEARCH("seren",F95)),ISNUMBER(SEARCH("clear",F95))),"☀️","🌡️"))))))))))</f>
        <v>⛅</v>
      </c>
      <c r="G96" t="str">
        <f>IF(G95="","",IF(OR(ISNUMBER(SEARCH("temporale",G95)),ISNUMBER(SEARCH("thunder",G95))),"⛈️",IF(OR(ISNUMBER(SEARCH("tornado",G95))),"🌪️",IF(OR(ISNUMBER(SEARCH("nev",G95)),ISNUMBER(SEARCH("snow",G95)),ISNUMBER(SEARCH("sleet",G95))),"🌨️",IF(OR(ISNUMBER(SEARCH("piogg",G95)),ISNUMBER(SEARCH("piov",G95)),ISNUMBER(SEARCH("rain",G95)),ISNUMBER(SEARCH("drizz",G95))),"🌧️",IF(OR(ISNUMBER(SEARCH("nebb",G95)),ISNUMBER(SEARCH("foschi",G95)),ISNUMBER(SEARCH("caligin",G95)),ISNUMBER(SEARCH("fog",G95)),ISNUMBER(SEARCH("mist",G95)),ISNUMBER(SEARCH("smoke",G95)),ISNUMBER(SEARCH("dust",G95)),ISNUMBER(SEARCH("sabb",G95)),ISNUMBER(SEARCH("cener",G95))),"🌫️",IF(OR(ISNUMBER(SEARCH("poche nuvol",G95)),ISNUMBER(SEARCH("few clouds",G95))),"🌤️",IF(OR(ISNUMBER(SEARCH("scattered clouds",G95)),ISNUMBER(SEARCH("scattered clouds",G95))),"⛅",IF(OR(ISNUMBER(SEARCH("nuvol",G95)),ISNUMBER(SEARCH("nub",G95)),ISNUMBER(SEARCH("cloud",G95)),ISNUMBER(SEARCH("copert",G95))),"🌡️",IF(OR(ISNUMBER(SEARCH("seren",G95)),ISNUMBER(SEARCH("clear",G95))),"☀️","🌡️"))))))))))</f>
        <v>🌡️</v>
      </c>
      <c r="H96" t="str">
        <f>IF(H95="","",IF(OR(ISNUMBER(SEARCH("temporale",H95)),ISNUMBER(SEARCH("thunder",H95))),"⛈️",IF(OR(ISNUMBER(SEARCH("tornado",H95))),"🌪️",IF(OR(ISNUMBER(SEARCH("nev",H95)),ISNUMBER(SEARCH("snow",H95)),ISNUMBER(SEARCH("sleet",H95))),"🌨️",IF(OR(ISNUMBER(SEARCH("piogg",H95)),ISNUMBER(SEARCH("piov",H95)),ISNUMBER(SEARCH("rain",H95)),ISNUMBER(SEARCH("drizz",H95))),"🌧️",IF(OR(ISNUMBER(SEARCH("nebb",H95)),ISNUMBER(SEARCH("foschi",H95)),ISNUMBER(SEARCH("caligin",H95)),ISNUMBER(SEARCH("fog",H95)),ISNUMBER(SEARCH("mist",H95)),ISNUMBER(SEARCH("smoke",H95)),ISNUMBER(SEARCH("dust",H95)),ISNUMBER(SEARCH("sabb",H95)),ISNUMBER(SEARCH("cener",H95))),"🌫️",IF(OR(ISNUMBER(SEARCH("poche nuvol",H95)),ISNUMBER(SEARCH("few clouds",H95))),"🌤️",IF(OR(ISNUMBER(SEARCH("scattered clouds",H95)),ISNUMBER(SEARCH("scattered clouds",H95))),"⛅",IF(OR(ISNUMBER(SEARCH("nuvol",H95)),ISNUMBER(SEARCH("nub",H95)),ISNUMBER(SEARCH("cloud",H95)),ISNUMBER(SEARCH("copert",H95))),"🌡️",IF(OR(ISNUMBER(SEARCH("seren",H95)),ISNUMBER(SEARCH("clear",H95))),"☀️","🌡️"))))))))))</f>
        <v>☀️</v>
      </c>
      <c r="J96" t="s">
        <v>129</v>
      </c>
      <c r="K96" t="s">
        <v>1482</v>
      </c>
    </row>
    <row r="97" spans="10:11">
      <c r="J97" t="s">
        <v>120</v>
      </c>
      <c r="K97" t="s">
        <v>1483</v>
      </c>
    </row>
    <row r="98" spans="10:11">
      <c r="J98" t="s">
        <v>121</v>
      </c>
      <c r="K98" t="s">
        <v>1484</v>
      </c>
    </row>
    <row r="99" spans="10:11">
      <c r="J99" t="s">
        <v>124</v>
      </c>
      <c r="K99" t="s">
        <v>1485</v>
      </c>
    </row>
    <row r="100" spans="10:11">
      <c r="J100" t="s">
        <v>125</v>
      </c>
      <c r="K100" t="s">
        <v>1486</v>
      </c>
    </row>
    <row r="101" spans="10:11">
      <c r="J101" t="s">
        <v>126</v>
      </c>
      <c r="K101" t="s">
        <v>1487</v>
      </c>
    </row>
    <row r="102" spans="10:11">
      <c r="J102" t="s">
        <v>127</v>
      </c>
      <c r="K102" t="s">
        <v>1488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DataMashup xmlns="http://schemas.microsoft.com/DataMashup" sqmid="c83fb52f-89a7-4c54-aa84-485396206943">AAAAAM0SAABQSwMEFAACAAgACiU4XUYXDhilAAAA9gAAABIAHABDb25maWcvUGFja2FnZS54bWwgohgAKKAUAAAAAAAAAAAAAAAAAAAAAAAAAAAAe797v419RW6OQllqUXFmfp6tkqGegZJCal5yfkpmXrqtUmlJmq6Fkr2dTUBicnZieqoCUHFesVVFcYqtUkZJSYGVvn55ebleubFeflG6vpGBgaF+hK9PcHJGam6iElxxJmHFupl5xSWJecmpSnY2YRDH2BnpGZqaAzHQTTb6MEEb38w8hAIjoBxIFknQxrk0p6S0KNUus0TXM8RGH8a10Yf6wQ4AUEsDBBQAAgAIAAolOF0PyumrpAAAAOkAAAATABwAW0NvbnRlbnRfVHlwZXNdLnhtbCCiGAAooBQAAAAAAAAAAAAAAAAAAAAAAAAAAABtjksOwjAMRK8SeZ+6sEAINWUB3IALRMH9iOajxkXhbCw4ElcgbXeIpWfmeebzelfHZAfxoDH23inYFCUIcsbfetcqmLiRezjW1fUZKIocdVFBxxwOiNF0ZHUsfCCXncaPVnM+xxaDNnfdEm7LcofGOybHkucfUFdnavQ0sLikLK+1GQdxWnNzlQKmxLjI+JewP3kdwtAbzdnEJG2UdiFxGV5/AVBLAwQUAAIACAAKJThduf+NdMYPAADuPAAAEwAcAEZvcm11bGFzL1NlY3Rpb24xLm0gohgAKKAUAAAAAAAAAAAAAAAAAAAAAAAAAAAA1Vt7b9tGEv/fQL/DggHuyCsjyz6nbR4yoEhyrItkuZLsoNUJAi2tY54pUiUpu67h734zs7vkLkU9krpoSzQ1yV3Ozvx23qQSPk39KGQD8ffg7Td73+yNWJMn09hf0FCNWZ1o6gWsMbh8y+ZeuITzmF/HPLl5y5LpDZ977MBi42/2khsv5jPWni+iOOWz0yjwZ95DAiQCnu6xkyiY8RiuhvzXtDKM/XkrnNl0cRJHc7v165QHlcYyjnmYfori26sourWdx9GZN+c1q+mlniBhjZ9GjShMYdr4sYrnwXIeHowdlz1a+5bLrP9aT467x/rePSzXSO4qzWi6nMN8+8QPeEU+nNiSpX8wa7/hBTycebFfmSZ3FpAaNXngz/2UxzXrreW2wmk088PPte9eVasH7o/LKOWD9CHgtfy0AkuNceFT7gFdlHzoXcH9c5APJsnbNvDljuS9ehAMAF4vTmppvOT0eJ//svQRyhoIpBizXISAwx/EA/7UYc/u8GQQLeMpnnz0wxlep166TODkEhaDPYSzi8UMnp1ZT0C9ccOnt0Tcv2YdP0krA9gvW3AqsMQVEluy6zjs3bE2UXHnsPSGh4zHcRQz6yLkvy5AjYDwjdh41BipIBbjQcIVLMDD8GFBHIhFh7EXJtdRPBer42BiSzbdRx2CFIZYCirz5D5KOOgWSoe3BDTGLAVTO0y/O6ogbbyrMDOmCvyMWwpL42aGq3FXYazdfXItHr68GFi4q5cewpIq5IXo/ei+ES1DBf+AB4Ah3Exsgsjl3vSGjRQA41q4DAIGeGc2ZOeDTs2ycGyEwORTyX7yyzBKxWaiFXh+mNiPVffgyR0JoMbOmknWaa/TbtZ/Am361Ot/xDN4CCEbO45zXDW0oR3eobSZKsTRvdQBIdYeuwj9X5a8FIoMKOfdcSlKTeDMD6faTLfMTmg7nxxTT5vLReBPYQKbygf2kcL+LU4WLGZU9/xQ8vksjvHnKOQN8GJB9Plv4hP9NPWkP/zLuMNohnsLrD2gJsKugbG00e21vdCjk46X+umSpnWi8LM6Jw2KH4jAih9c7/3eHWfrr/F3U+DlGZ0dCWh4FiGscUsT3LivQDBu5oDQ7XA5v+IxDeTwFEZ0sL7SoaHUWy1YuAMp9QZbRYinOEfzImieGQ/PZqHnPPaj2d8kaxHM+pPmYLgmb2EFS2W/21TZl9oq4nSRTjENCVM/EKe96+uEp6cQhhPdGvP1/6DkBO10SnSSN6wI39dbrnqGZRbMDBPMMGBZvpL6c0pFclBWx3SU5LC00SdQmN+ZWzCRXEjWxuy4xkaKmTFlDtryY/aOvTw4Wr19zA6OYBeOWXkGgJL8BmbFFoS1sl/BEW2t8AAKtl4MOFbqyRRiM2itgV1x7Ml5fhcwgGwn/ZtY/8CD3foL2n0XeL2hPOwhL1dkxv2n2XoO1vNYuRSSmXUFiVy4JwAw/YGqP5geW3WLzrMTwVZ9NhMMSYOxPnJciUwY890K8WO/QEuwD6vVqjuiO2PI3LwHSNH/dVCtfkvnWikEerPZdUg2CPnNkTxLYYizYii/AMTRC0AhgJ6AzZE3yLwfDIfQ5xGauBA0KZB0N+vVH+ALulEUnt94Cf+b+IMTL/EnwTJc38X4M72CiPuEJ/x9z9N7zsO/gGMoovY87mFNQJfim84gw+ILfcQuCfh2w1UpOHK8PgMngJgfJin40Q1R/OsD9fvAC2/ZLX94wwJlpxXWo3G4Wiag5TQ6FeYFQzz8xD3gN0aMPXAwyp4ruhmrOdKG4djfZ2I1OVRf+B+NdYFU8FBh9fM2u4INBx/rJ4xDRrMkuHGUgRIwj4VReKUYrxDxXHuzVNDqXQH3d3wmtMI64Sm4G3U15HNwiV66jHlDjAK6Hf9WXGko4SUWfl1MBrPWFNMtCA7ZYihjQxSSTK8eWVYyMq1OZHppyFZKZzh6y3SxTHHbYQWhoKgNbIST8Baoq8s0ueEetqBokrIIl+VIlI7TUnjoGOkzRTaMdBRmZaOmpmXDxGO2hEC27HGBdCaUgFtejgWBE88P4I6NNSrzEhpy8MQLH1jtWNpTC/8PUW4KYc62pPIBwPiUS+s6ghx4VlBIILgloBj6uy6mCJKCHriJjDZ1BMnaLWnQMApGuuSVNjl3mKY5HydDiomn8h6kmOsIIgiFbbXPLuuddnPysfXT5KTd6jQtKZqIV7TMdvm2B0ydqJAPe5eZFNpquihCAJPTZn1Yn5z0Os1W39JlhUOBk0us0XXQeVk6xVb3fPiTSU86zNLnXeWTPnK+kD4oETrmTac8ScDtsjRavAz4HYehlC8gxqCYHpsGUQI2waI7EP9e4kfeUDgjiORbMwgjlxGMGVkI5RZdnvLoebIKwdaW3EIwvjm9EIS29PHypZyaWpP2SuNB01tw/pNB47TVrU+67UG3PmycKs2VjvV58NR7q8+Ap2BNYjVbC2omwXZgxdRt4JrrOrVC8BFAF5jbDW3RruCzvhd+3sFTYOsOfFCi+wlBCLdDBiX7jtyOcMuO8tPgnzNzL/qPu108R6MN5t7oNVua31Au4046OvFqRlxhSpZ5gjvhQzaTFeQEM8Lh+SGoS6lIImrtKpSYXbr+2UX3veELlUxn9AxQOvPOFP+ZcDX2wg+vkb0H/ebL7G5GbsOSK/KKJRs8CNbIbITsgvCKB/UKTNsT4oHuC60kWG0pIJZ0uFEKMJV6Sw2FpGU7QyqV+QqWTNwhd2ULsFIyRqz4h0B1hcXRCZQmXoqUHuB42e2+nM3+Ofzn6emb+fxNguliYxlgGoVThDzjQrSDaAMcZksMI1pArP21K6DOE4vmUuVacDFsTIbtbmswrHfPlTLI9QXy9FIOjRrjh02Z56XaArpysjMdeMRwKp+icvH98vqaxzadZ5WdRo+y2bFssyhHYk8cJ4dMoCVflmJ5RadZdUXLaQWqmCPu7pXD0Lw477Qb9WFr1QPknGXhrytd21qJDcT9ELJ2mK4haOcx1HGNyemmyjexiRZEtpUtzQoOhZhR2MKwWQ5JO8ocUsFyntySBYwK6msIFIqu3L8Uqah3YrSoVphtf6Jk1ax62/r0U2EvYqjX8q2IRA2R2LRFhami8S41HML7EMJ6UcWRnMvwj6OrizqyUAETRqL8GRtR0AtnTBtD9basFTI4yyRFae0aUmJsAykioenOWHOgxjL6nEITxnHWk86Vai1lbcoXENaVbS1pY5IZnTfyrHRyA8/ZlJ3JCkXVSep3j2us6jhFDeUJ+H2RKcp3P+jTBCt9vgi8Kcd+gew/SdcrFVjrJ6xyRUdJbYnZY7/3yTKcsWBDsAZ18Ze5x4SSTj8K0daMDNQtmcdnJFyyLjvOqTmyDUM1q/VULqG+CYWWnU7pXY19v5kA4Z4/ktXKZRj+3DtrYZE+mPTrZx9aVmFTs/aWdCcCE9uUX8bHCZouqQtKMBGG7JQDVxaAs5hZ8FWKh7IwXCCvgrsZkdWiDiruAXFXOroWWQ1Qs34ZtDqtxnCCGA57k0HrsnWGQbvdGhQFn2Yf/hih16iyVoQBF++H4F+25CsktSuaT6XuvKjm6oA8DrxZHle0V8SSX/WSmPIgmEdLrEY2Yhcz/rJGtFwFbeBAQCnvPFY3WoJeJ2IiBBXioH32YdLrT+rd9+0PF72LFZgziSlDzaOsjdyNVIMTX7ME1AtcmaHanuN1UopWKEKB87XO6Lj8ARWNkSPdPnB94xrGQT1fvq5ml6CPr6trEVJE8KGDH6o5UYBZXmZhQHK9ppu3SpfK0w4PP6c36lncvsN8UDqCjPCjVbcqFetn7G/UFEora4hkWYsOql0sOqBqfwRccK12A29EIVQWOdz5KuMyUTTl0fQmixy9Xr/ZPoMcG8u5wlbv7zOocaZc8OlR15ia/bBTmROA3ffBcq44jHDq8sYczDpJjTcFFYMwELjcITfT7F6Y34p8uSLrKqMpr6EU+mYaCktbWpSeMhxqZaM9Q9CMKdWk+BkAo1/iX7w0haRGuPsyddj2vDpiarl94ld5k826SdNF8mZ/31v4lWjBw3vRCp97i0oUf4YUe7Q5SMLR56Bl/h0/hyexWMW26f5h5dX+verMbyXx45KTMxjpDkeVzKbPcZn1wTLe3+1w6F7KJJvt9VfR9RYL0kNq8S9Dnz55seY8jX2sqCDcYqiy/NRa49b0A9sEEZWVL2bLmAzGrrpM/HdY3YGlLr2NF8XEKehs4NP6j0fVqntUPYJ/P7hHh6/dV3D9qnoI//4N/47g3+undZ5aHYl6eyNqpsqJz4NZL27yaw8SRVv4yC5PPdx+G1QNgoPV58kCUicIieot22F1myAL7yGIPNkrzVaF54Sr+08ShXnLGNfRndSnVn142oLIdt6etPr9Xn/bTka36jME+vJALj4CRzrOlQH3EBhYLaeKB/oJRSJ5SMYj5Vt3D3Tq4IuIHIjspSmqs3TbRkWyahMACjL4WRnyJi2gD1zMmtF9aNMwykcnO+k8k4ncC1Wy2QevvwcNPaD/pMI67NsyLRbL7bpMSZ7dez9o9S/rw3bvjHpb27b3WhSaWq8PO9xQR82jOzq1jftQkJ5F93bRma/ID+54dWvmnh+ORziGidE1lovrJtHgJIBicttu3kOtuEoF745HyYLzGa41M17MZpOE+6X3fNqMLXqnzeyhbWTJjzaw0njQY6M2j75n3Mlo1hJ4J0wf52DzneZlv6YwWMJXp5tFu9PKTLB7pEnwYh1OV4bsu2kpPmaqA14JVAoqQJc7Kj8+nhkyYKD0eNWqDtHadiNKZvso/RCFPLWEqxZwSRipvYZiuYQV+ETIFOhbDO2zEfC226pxdfweX51llIsYX/NByqG2VOaPV0s/wBd+KCmDUAqsUa+ispHsNHs5pxeHgvJ6ZCEHlw+WM514sOn+b8oPZznc6NRL6AOGsd6sLsFCQJU/R4a4mqQDH9lSpb1OXFxlzLTixhK4kDOLPJZ6BF9SCxQa4PmLBVUiY7ClAll0UNWr5TWtsA3fjGmtfFb+sw+jS77yJZneAV8ZNLvbhd926G3swpDxsdHKD066ycoDpb+PW/1x3dO6/BQsg17ssqkXspmfLALxazH5rcMvlF7TxzMJFiCiF4XQvwWQ/welGFmM/OqLPk+DDTGt5o7H/rW/46fxn/z0hpQcNpg2Mf9p21p9X2dp6nUpqepZFJ5BqS9WFaSFL3PeHa+8GDJfijV63fNOa9iaqLX7rcFFZ6gMTRDTW6BK4uzDkrOISqjT4fCccYCbNhi0V5WsF/0OXF2B/QDac5kKY9P3lj+wa8yXsQxEq4qoTSsArgsLF7UdM7q6ILX4xki9z5QvqmzJs2zMZvlKX+sdS7Kb3U2/dQIonE5O6u1Oq6mgUI9Kj+OHGvG9t/8HUEsBAi0AFAACAAgACiU4XUYXDhilAAAA9gAAABIAAAAAAAAAAAAAAAAAAAAAAENvbmZpZy9QYWNrYWdlLnhtbFBLAQItABQAAgAIAAolOF0PyumrpAAAAOkAAAATAAAAAAAAAAAAAAAAAPEAAABbQ29udGVudF9UeXBlc10ueG1sUEsBAi0AFAACAAgACiU4Xbn/jXTGDwAA7jwAABMAAAAAAAAAAAAAAAAA4gEAAEZvcm11bGFzL1NlY3Rpb24xLm1QSwUGAAAAAAMAAwDCAAAA9REAAAAAEQEAAO+7vzw/eG1sIHZlcnNpb249IjEuMCIgZW5jb2Rpbmc9InV0Zi04Ij8+PFBlcm1pc3Npb25MaXN0IHhtbG5zOnhzZD0iaHR0cDovL3d3dy53My5vcmcvMjAwMS9YTUxTY2hlbWEiIHhtbG5zOnhzaT0iaHR0cDovL3d3dy53My5vcmcvMjAwMS9YTUxTY2hlbWEtaW5zdGFuY2UiPjxDYW5FdmFsdWF0ZUZ1dHVyZVBhY2thZ2VzPmZhbHNlPC9DYW5FdmFsdWF0ZUZ1dHVyZVBhY2thZ2VzPjxGaXJld2FsbEVuYWJsZWQ+ZmFsc2U8L0ZpcmV3YWxsRW5hYmxlZD48L1Blcm1pc3Npb25MaXN0PgtHAAAAAAAA6UYAAO+7vzw/eG1sIHZlcnNpb249IjEuMCIgZW5jb2Rpbmc9InV0Zi04Ij8+PExvY2FsUGFja2FnZU1ldGFkYXRhRmlsZSB4bWxuczp4c2Q9Imh0dHA6Ly93d3cudzMub3JnLzIwMDEvWE1MU2NoZW1hIiB4bWxuczp4c2k9Imh0dHA6Ly93d3cudzMub3JnLzIwMDEvWE1MU2NoZW1hLWluc3RhbmNlIj48SXRlbXM+PEl0ZW0+PEl0ZW1Mb2NhdGlvbj48SXRlbVR5cGU+QWxsRm9ybXVsYXM8L0l0ZW1UeXBlPjxJdGVtUGF0aCAvPjwvSXRlbUxvY2F0aW9uPjxTdGFibGVFbnRyaWVzIC8+PC9JdGVtPjxJdGVtPjxJdGVtTG9jYXRpb24+PEl0ZW1UeXBlPkZvcm11bGE8L0l0ZW1UeXBlPjxJdGVtUGF0aD5TZWN0aW9uMS9JbXBvcnRlZEhvbGlkYXlzPC9JdGVtUGF0aD48L0l0ZW1Mb2NhdGlvbj48U3RhYmxlRW50cmllcz48RW50cnkgVHlwZT0iSXNQcml2YXRlIiBWYWx1ZT0ibDAiIC8+PEVudHJ5IFR5cGU9IkZpbGxFbmFibGVkIiBWYWx1ZT0ibDEiIC8+PEVudHJ5IFR5cGU9IkZpbGxPYmplY3RUeXBlIiBWYWx1ZT0ic1RhYmxlIiAvPjxFbnRyeSBUeXBlPSJGaWxsVG9EYXRhTW9kZWxFbmFibGVkIiBWYWx1ZT0ibDAiIC8+PEVudHJ5IFR5cGU9IlF1ZXJ5SUQiIFZhbHVlPSJzZTcwZTMwMjgtZTRiNy00N2E5LWJmZWQtYjU3ZjRkNjliZGYyIiAvPjxFbnRyeSBUeXBlPSJGaWxsVGFyZ2V0IiBWYWx1ZT0ic0ltcG9ydGVkSG9saWRheXMiIC8+PEVudHJ5IFR5cGU9IkZpbGxUYXJnZXROYW1lQ3VzdG9taXplZCIgVmFsdWU9ImwxIiAvPjxFbnRyeSBUeXBlPSJOYW1lVXBkYXRlZEFmdGVyRmlsbCIgVmFsdWU9ImwwIiAvPjxFbnRyeSBUeXBlPSJSZXN1bHRUeXBlIiBWYWx1ZT0ic1RhYmxlIiAvPjxFbnRyeSBUeXBlPSJCdWZmZXJOZXh0UmVmcmVzaCIgVmFsdWU9ImwxIiAvPjxFbnRyeSBUeXBlPSJGaWxsZWRDb21wbGV0ZVJlc3VsdFRvV29ya3NoZWV0IiBWYWx1ZT0ibDEiIC8+PEVudHJ5IFR5cGU9IkZpbGxDb2x1bW5OYW1lcyIgVmFsdWU9InNbJnF1b3Q7Q2FsZW5kYXImcXVvdDssJnF1b3Q7RGF0ZSZxdW90OywmcXVvdDtOYW1lJnF1b3Q7LCZxdW90O0FjdGl2ZSZxdW90OywmcXVvdDtTb3VyY2UmcXVvdDssJnF1b3Q7S2luZCZxdW90OywmcXVvdDtTdGF0dXMmcXVvdDssJnF1b3Q7VmVyc2lvbiZxdW90OywmcXVvdDtVcGRhdGVkJnF1b3Q7XSIgLz48RW50cnkgVHlwZT0iRmlsbENvbHVtblR5cGVzIiBWYWx1ZT0ic0Jna0dBd1lHQmdZRyIgLz48RW50cnkgVHlwZT0iRmlsbExhc3RVcGRhdGVkIiBWYWx1ZT0iZDIwMjYtMDktMjNUMjE6NDA6MTkuNjkzNDkyNFoiIC8+PEVudHJ5IFR5cGU9IkZpbGxFcnJvckNvdW50IiBWYWx1ZT0ibDAiIC8+PEVudHJ5IFR5cGU9IkZpbGxFcnJvckNvZGUiIFZhbHVlPSJzVW5rbm93biIgLz48RW50cnkgVHlwZT0iRmlsbENvdW50IiBWYWx1ZT0ibDU0MiIgLz48RW50cnkgVHlwZT0iRmlsbFN0YXR1cyIgVmFsdWU9InNDb21wbGV0ZSIgLz48RW50cnkgVHlwZT0iQWRkZWRUb0RhdGFNb2RlbCIgVmFsdWU9ImwwIiAvPjxFbnRyeSBUeXBlPSJSZWxhdGlvbnNoaXBJbmZvQ29udGFpbmVyIiBWYWx1ZT0ic3smcXVvdDtjb2x1bW5Db3VudCZxdW90OzoxLCZxdW90O2tleUNvbHVtbk5hbWVzJnF1b3Q7OltdLCZxdW90O3F1ZXJ5UmVsYXRpb25zaGlwcyZxdW90OzpbXSwmcXVvdDtjb2x1bW5JZGVudGl0aWVzJnF1b3Q7OlsmcXVvdDtTZWN0aW9uMS9JbXBvcnRlZEhvbGlkYXlzL0F1dG9SZW1vdmVkQ29sdW1uczEue1Jlc3VsdCwwfSZxdW90O10sJnF1b3Q7Q29sdW1uQ291bnQmcXVvdDs6MSwmcXVvdDtLZXlDb2x1bW5OYW1lcyZxdW90OzpbXSwmcXVvdDtDb2x1bW5JZGVudGl0aWVzJnF1b3Q7OlsmcXVvdDtTZWN0aW9uMS9JbXBvcnRlZEhvbGlkYXlzL0F1dG9SZW1vdmVkQ29sdW1uczEue1Jlc3VsdCwwfSZxdW90O10sJnF1b3Q7UmVsYXRpb25zaGlwSW5mbyZxdW90OzpbXX0iIC8+PC9TdGFibGVFbnRyaWVzPjwvSXRlbT48SXRlbT48SXRlbUxvY2F0aW9uPjxJdGVtVHlwZT5Gb3JtdWxhPC9JdGVtVHlwZT48SXRlbVBhdGg+U2VjdGlvbjEvSW1wb3J0ZWRIb2xpZGF5cy9Gb2xkZXI8L0l0ZW1QYXRoPjwvSXRlbUxvY2F0aW9uPjxTdGFibGVFbnRyaWVzIC8+PC9JdGVtPjxJdGVtPjxJdGVtTG9jYXRpb24+PEl0ZW1UeXBlPkZvcm11bGE8L0l0ZW1UeXBlPjxJdGVtUGF0aD5TZWN0aW9uMS9JbXBvcnRlZEhvbGlkYXlzL1JhdzwvSXRlbVBhdGg+PC9JdGVtTG9jYXRpb24+PFN0YWJsZUVudHJpZXMgLz48L0l0ZW0+PEl0ZW0+PEl0ZW1Mb2NhdGlvbj48SXRlbVR5cGU+Rm9ybXVsYTwvSXRlbVR5cGU+PEl0ZW1QYXRoPlNlY3Rpb24xL0ltcG9ydGVkSG9saWRheXMvSGVhZGVyczwvSXRlbVBhdGg+PC9JdGVtTG9jYXRpb24+PFN0YWJsZUVudHJpZXMgLz48L0l0ZW0+PEl0ZW0+PEl0ZW1Mb2NhdGlvbj48SXRlbVR5cGU+Rm9ybXVsYTwvSXRlbVR5cGU+PEl0ZW1QYXRoPlNlY3Rpb24xL0ltcG9ydGVkSG9saWRheXMvUmVxdWlyZWQ8L0l0ZW1QYXRoPjwvSXRlbUxvY2F0aW9uPjxTdGFibGVFbnRyaWVzIC8+PC9JdGVtPjxJdGVtPjxJdGVtTG9jYXRpb24+PEl0ZW1UeXBlPkZvcm11bGE8L0l0ZW1UeXBlPjxJdGVtUGF0aD5TZWN0aW9uMS9JbXBvcnRlZEhvbGlkYXlzL1R5cGVkPC9JdGVtUGF0aD48L0l0ZW1Mb2NhdGlvbj48U3RhYmxlRW50cmllcyAvPjwvSXRlbT48SXRlbT48SXRlbUxvY2F0aW9uPjxJdGVtVHlwZT5Gb3JtdWxhPC9JdGVtVHlwZT48SXRlbVBhdGg+U2VjdGlvbjEvSW1wb3J0ZWRIb2xpZGF5cy9WYWxpZGF0ZWQ8L0l0ZW1QYXRoPjwvSXRlbUxvY2F0aW9uPjxTdGFibGVFbnRyaWVzIC8+PC9JdGVtPjxJdGVtPjxJdGVtTG9jYXRpb24+PEl0ZW1UeXBlPkZvcm11bGE8L0l0ZW1UeXBlPjxJdGVtUGF0aD5TZWN0aW9uMS9ab25lQ2F0YWxvZzwvSXRlbVBhdGg+PC9JdGVtTG9jYXRpb24+PFN0YWJsZUVudHJpZXM+PEVudHJ5IFR5cGU9IklzUHJpdmF0ZSIgVmFsdWU9ImwwIiAvPjxFbnRyeSBUeXBlPSJGaWxsRW5hYmxlZCIgVmFsdWU9ImwxIiAvPjxFbnRyeSBUeXBlPSJGaWxsT2JqZWN0VHlwZSIgVmFsdWU9InNUYWJsZSIgLz48RW50cnkgVHlwZT0iRmlsbFRvRGF0YU1vZGVsRW5hYmxlZCIgVmFsdWU9ImwwIiAvPjxFbnRyeSBUeXBlPSJRdWVyeUlEIiBWYWx1ZT0iczYzYzEwYWYxLTJjNWQtNGI5ZC05MTcyLTY3MzcwZTFjOTA1YyIgLz48RW50cnkgVHlwZT0iRmlsbFRhcmdldCIgVmFsdWU9InNab25lQ2F0YWxvZyIgLz48RW50cnkgVHlwZT0iRmlsbFRhcmdldE5hbWVDdXN0b21pemVkIiBWYWx1ZT0ibDEiIC8+PEVudHJ5IFR5cGU9Ik5hbWVVcGRhdGVkQWZ0ZXJGaWxsIiBWYWx1ZT0ibDAiIC8+PEVudHJ5IFR5cGU9IlJlc3VsdFR5cGUiIFZhbHVlPSJzVGFibGUiIC8+PEVudHJ5IFR5cGU9IkJ1ZmZlck5leHRSZWZyZXNoIiBWYWx1ZT0ibDEiIC8+PEVudHJ5IFR5cGU9IkZpbGxlZENvbXBsZXRlUmVzdWx0VG9Xb3Jrc2hlZXQiIFZhbHVlPSJsMSIgLz48RW50cnkgVHlwZT0iRmlsbENvdW50IiBWYWx1ZT0ibDIwNiIgLz48RW50cnkgVHlwZT0iRmlsbEVycm9yQ29kZSIgVmFsdWU9InNVbmtub3duIiAvPjxFbnRyeSBUeXBlPSJGaWxsRXJyb3JDb3VudCIgVmFsdWU9ImwwIiAvPjxFbnRyeSBUeXBlPSJGaWxsTGFzdFVwZGF0ZWQiIFZhbHVlPSJkMjAyNi0wOS0yM1QyMTo0MDoxOS43ODM3NTk4WiIgLz48RW50cnkgVHlwZT0iRmlsbENvbHVtblR5cGVzIiBWYWx1ZT0ic0JnWUdCZ1VGQmc9PSIgLz48RW50cnkgVHlwZT0iRmlsbENvbHVtbk5hbWVzIiBWYWx1ZT0ic1smcXVvdDtDb2RlJnF1b3Q7LCZxdW90O0NpdHkmcXVvdDssJnF1b3Q7V2luZG93c0lkJnF1b3Q7LCZxdW90O0lhbmFJZCZxdW90OywmcXVvdDtMYXRpdHVkZSZxdW90OywmcXVvdDtMb25naXR1ZGUmcXVvdDssJnF1b3Q7Q291bnRyeUNvZGUmcXVvdDtdIiAvPjxFbnRyeSBUeXBlPSJGaWxsU3RhdHVzIiBWYWx1ZT0ic0NvbXBsZXRlIiAvPjxFbnRyeSBUeXBlPSJBZGRlZFRvRGF0YU1vZGVsIiBWYWx1ZT0ibDAiIC8+PEVudHJ5IFR5cGU9IlJlbGF0aW9uc2hpcEluZm9Db250YWluZXIiIFZhbHVlPSJzeyZxdW90O2NvbHVtbkNvdW50JnF1b3Q7OjEsJnF1b3Q7a2V5Q29sdW1uTmFtZXMmcXVvdDs6W10sJnF1b3Q7cXVlcnlSZWxhdGlvbnNoaXBzJnF1b3Q7OltdLCZxdW90O2NvbHVtbklkZW50aXRpZXMmcXVvdDs6WyZxdW90O1NlY3Rpb24xL1pvbmVDYXRhbG9nL0F1dG9SZW1vdmVkQ29sdW1uczEue1Jlc3VsdCwwfSZxdW90O10sJnF1b3Q7Q29sdW1uQ291bnQmcXVvdDs6MSwmcXVvdDtLZXlDb2x1bW5OYW1lcyZxdW90OzpbXSwmcXVvdDtDb2x1bW5JZGVudGl0aWVzJnF1b3Q7OlsmcXVvdDtTZWN0aW9uMS9ab25lQ2F0YWxvZy9BdXRvUmVtb3ZlZENvbHVtbnMxLntSZXN1bHQsMH0mcXVvdDtdLCZxdW90O1JlbGF0aW9uc2hpcEluZm8mcXVvdDs6W119IiAvPjwvU3RhYmxlRW50cmllcz48L0l0ZW0+PEl0ZW0+PEl0ZW1Mb2NhdGlvbj48SXRlbVR5cGU+Rm9ybXVsYTwvSXRlbVR5cGU+PEl0ZW1QYXRoPlNlY3Rpb24xL1pvbmVDYXRhbG9nL0ZvbGRlcjwvSXRlbVBhdGg+PC9JdGVtTG9jYXRpb24+PFN0YWJsZUVudHJpZXMgLz48L0l0ZW0+PEl0ZW0+PEl0ZW1Mb2NhdGlvbj48SXRlbVR5cGU+Rm9ybXVsYTwvSXRlbVR5cGU+PEl0ZW1QYXRoPlNlY3Rpb24xL1pvbmVDYXRhbG9nL1JhdzwvSXRlbVBhdGg+PC9JdGVtTG9jYXRpb24+PFN0YWJsZUVudHJpZXMgLz48L0l0ZW0+PEl0ZW0+PEl0ZW1Mb2NhdGlvbj48SXRlbVR5cGU+Rm9ybXVsYTwvSXRlbVR5cGU+PEl0ZW1QYXRoPlNlY3Rpb24xL1pvbmVDYXRhbG9nL0hlYWRlcnM8L0l0ZW1QYXRoPjwvSXRlbUxvY2F0aW9uPjxTdGFibGVFbnRyaWVzIC8+PC9JdGVtPjxJdGVtPjxJdGVtTG9jYXRpb24+PEl0ZW1UeXBlPkZvcm11bGE8L0l0ZW1UeXBlPjxJdGVtUGF0aD5TZWN0aW9uMS9ab25lQ2F0YWxvZy9SZXF1aXJlZDwvSXRlbVBhdGg+PC9JdGVtTG9jYXRpb24+PFN0YWJsZUVudHJpZXMgLz48L0l0ZW0+PEl0ZW0+PEl0ZW1Mb2NhdGlvbj48SXRlbVR5cGU+Rm9ybXVsYTwvSXRlbVR5cGU+PEl0ZW1QYXRoPlNlY3Rpb24xL1pvbmVDYXRhbG9nL1R5cGVkPC9JdGVtUGF0aD48L0l0ZW1Mb2NhdGlvbj48U3RhYmxlRW50cmllcyAvPjwvSXRlbT48SXRlbT48SXRlbUxvY2F0aW9uPjxJdGVtVHlwZT5Gb3JtdWxhPC9JdGVtVHlwZT48SXRlbVBhdGg+U2VjdGlvbjEvWm9uZUNhdGFsb2cvVmFsaWRhdGVkPC9JdGVtUGF0aD48L0l0ZW1Mb2NhdGlvbj48U3RhYmxlRW50cmllcyAvPjwvSXRlbT48SXRlbT48SXRlbUxvY2F0aW9uPjxJdGVtVHlwZT5Gb3JtdWxhPC9JdGVtVHlwZT48SXRlbVBhdGg+U2VjdGlvbjEvWm9uZVBlcmlvZHM8L0l0ZW1QYXRoPjwvSXRlbUxvY2F0aW9uPjxTdGFibGVFbnRyaWVzPjxFbnRyeSBUeXBlPSJJc1ByaXZhdGUiIFZhbHVlPSJsMCIgLz48RW50cnkgVHlwZT0iRmlsbEVuYWJsZWQiIFZhbHVlPSJsMSIgLz48RW50cnkgVHlwZT0iRmlsbE9iamVjdFR5cGUiIFZhbHVlPSJzVGFibGUiIC8+PEVudHJ5IFR5cGU9IkZpbGxUb0RhdGFNb2RlbEVuYWJsZWQiIFZhbHVlPSJsMCIgLz48RW50cnkgVHlwZT0iUXVlcnlJRCIgVmFsdWU9InM2ZjcxYWM2ZS0zZDc1LTQ0ZWUtYTM0NC1lM2M2MGM2YjgwODciIC8+PEVudHJ5IFR5cGU9IkZpbGxUYXJnZXQiIFZhbHVlPSJzWm9uZVBlcmlvZHMiIC8+PEVudHJ5IFR5cGU9IkZpbGxUYXJnZXROYW1lQ3VzdG9taXplZCIgVmFsdWU9ImwxIiAvPjxFbnRyeSBUeXBlPSJOYW1lVXBkYXRlZEFmdGVyRmlsbCIgVmFsdWU9ImwwIiAvPjxFbnRyeSBUeXBlPSJSZXN1bHRUeXBlIiBWYWx1ZT0ic1RhYmxlIiAvPjxFbnRyeSBUeXBlPSJCdWZmZXJOZXh0UmVmcmVzaCIgVmFsdWU9ImwxIiAvPjxFbnRyeSBUeXBlPSJGaWxsZWRDb21wbGV0ZVJlc3VsdFRvV29ya3NoZWV0IiBWYWx1ZT0ibDEiIC8+PEVudHJ5IFR5cGU9IkZpbGxDb3VudCIgVmFsdWU9Imw2NzAiIC8+PEVudHJ5IFR5cGU9IkZpbGxFcnJvckNvZGUiIFZhbHVlPSJzVW5rbm93biIgLz48RW50cnkgVHlwZT0iRmlsbEVycm9yQ291bnQiIFZhbHVlPSJsMCIgLz48RW50cnkgVHlwZT0iRmlsbExhc3RVcGRhdGVkIiBWYWx1ZT0iZDIwMjYtMDktMjNUMjE6NDA6MjEuMTk1NTU5MFoiIC8+PEVudHJ5IFR5cGU9IkZpbGxDb2x1bW5UeXBlcyIgVmFsdWU9InNCZ2NIQlE9PSIgLz48RW50cnkgVHlwZT0iRmlsbENvbHVtbk5hbWVzIiBWYWx1ZT0ic1smcXVvdDtDb2RlJnF1b3Q7LCZxdW90O0Zyb21VdGMmcXVvdDssJnF1b3Q7VW50aWxVdGMmcXVvdDssJnF1b3Q7T2Zmc2V0SG91cnMmcXVvdDtdIiAvPjxFbnRyeSBUeXBlPSJGaWxsU3RhdHVzIiBWYWx1ZT0ic0NvbXBsZXRlIiAvPjxFbnRyeSBUeXBlPSJBZGRlZFRvRGF0YU1vZGVsIiBWYWx1ZT0ibDAiIC8+PEVudHJ5IFR5cGU9IlJlbGF0aW9uc2hpcEluZm9Db250YWluZXIiIFZhbHVlPSJzeyZxdW90O2NvbHVtbkNvdW50JnF1b3Q7OjEsJnF1b3Q7a2V5Q29sdW1uTmFtZXMmcXVvdDs6W10sJnF1b3Q7cXVlcnlSZWxhdGlvbnNoaXBzJnF1b3Q7OltdLCZxdW90O2NvbHVtbklkZW50aXRpZXMmcXVvdDs6WyZxdW90O1NlY3Rpb24xL1pvbmVQZXJpb2RzL0F1dG9SZW1vdmVkQ29sdW1uczEue1Jlc3VsdCwwfSZxdW90O10sJnF1b3Q7Q29sdW1uQ291bnQmcXVvdDs6MSwmcXVvdDtLZXlDb2x1bW5OYW1lcyZxdW90OzpbXSwmcXVvdDtDb2x1bW5JZGVudGl0aWVzJnF1b3Q7OlsmcXVvdDtTZWN0aW9uMS9ab25lUGVyaW9kcy9BdXRvUmVtb3ZlZENvbHVtbnMxLntSZXN1bHQsMH0mcXVvdDtdLCZxdW90O1JlbGF0aW9uc2hpcEluZm8mcXVvdDs6W119IiAvPjwvU3RhYmxlRW50cmllcz48L0l0ZW0+PEl0ZW0+PEl0ZW1Mb2NhdGlvbj48SXRlbVR5cGU+Rm9ybXVsYTwvSXRlbVR5cGU+PEl0ZW1QYXRoPlNlY3Rpb24xL1pvbmVQZXJpb2RzL0ZvbGRlcjwvSXRlbVBhdGg+PC9JdGVtTG9jYXRpb24+PFN0YWJsZUVudHJpZXMgLz48L0l0ZW0+PEl0ZW0+PEl0ZW1Mb2NhdGlvbj48SXRlbVR5cGU+Rm9ybXVsYTwvSXRlbVR5cGU+PEl0ZW1QYXRoPlNlY3Rpb24xL1pvbmVQZXJpb2RzL1JhdzwvSXRlbVBhdGg+PC9JdGVtTG9jYXRpb24+PFN0YWJsZUVudHJpZXMgLz48L0l0ZW0+PEl0ZW0+PEl0ZW1Mb2NhdGlvbj48SXRlbVR5cGU+Rm9ybXVsYTwvSXRlbVR5cGU+PEl0ZW1QYXRoPlNlY3Rpb24xL1pvbmVQZXJpb2RzL0hlYWRlcnM8L0l0ZW1QYXRoPjwvSXRlbUxvY2F0aW9uPjxTdGFibGVFbnRyaWVzIC8+PC9JdGVtPjxJdGVtPjxJdGVtTG9jYXRpb24+PEl0ZW1UeXBlPkZvcm11bGE8L0l0ZW1UeXBlPjxJdGVtUGF0aD5TZWN0aW9uMS9ab25lUGVyaW9kcy9SZXF1aXJlZDwvSXRlbVBhdGg+PC9JdGVtTG9jYXRpb24+PFN0YWJsZUVudHJpZXMgLz48L0l0ZW0+PEl0ZW0+PEl0ZW1Mb2NhdGlvbj48SXRlbVR5cGU+Rm9ybXVsYTwvSXRlbVR5cGU+PEl0ZW1QYXRoPlNlY3Rpb24xL1pvbmVQZXJpb2RzL0NoZWNrZWRIZWFkZXJzPC9JdGVtUGF0aD48L0l0ZW1Mb2NhdGlvbj48U3RhYmxlRW50cmllcyAvPjwvSXRlbT48SXRlbT48SXRlbUxvY2F0aW9uPjxJdGVtVHlwZT5Gb3JtdWxhPC9JdGVtVHlwZT48SXRlbVBhdGg+U2VjdGlvbjEvWm9uZVBlcmlvZHMvVHlwZWQ8L0l0ZW1QYXRoPjwvSXRlbUxvY2F0aW9uPjxTdGFibGVFbnRyaWVzIC8+PC9JdGVtPjxJdGVtPjxJdGVtTG9jYXRpb24+PEl0ZW1UeXBlPkZvcm11bGE8L0l0ZW1UeXBlPjxJdGVtUGF0aD5TZWN0aW9uMS9ab25lUGVyaW9kcy9WYWxpZGF0ZWQ8L0l0ZW1QYXRoPjwvSXRlbUxvY2F0aW9uPjxTdGFibGVFbnRyaWVzIC8+PC9JdGVtPjxJdGVtPjxJdGVtTG9jYXRpb24+PEl0ZW1UeXBlPkZvcm11bGE8L0l0ZW1UeXBlPjxJdGVtUGF0aD5TZWN0aW9uMS9TYWludHM8L0l0ZW1QYXRoPjwvSXRlbUxvY2F0aW9uPjxTdGFibGVFbnRyaWVzPjxFbnRyeSBUeXBlPSJJc1ByaXZhdGUiIFZhbHVlPSJsMCIgLz48RW50cnkgVHlwZT0iRmlsbEVuYWJsZWQiIFZhbHVlPSJsMSIgLz48RW50cnkgVHlwZT0iRmlsbE9iamVjdFR5cGUiIFZhbHVlPSJzVGFibGUiIC8+PEVudHJ5IFR5cGU9IkZpbGxUb0RhdGFNb2RlbEVuYWJsZWQiIFZhbHVlPSJsMCIgLz48RW50cnkgVHlwZT0iUXVlcnlJRCIgVmFsdWU9InMwM2NkNzViMS1hNWM3LTQ2MWUtOTYzMi0yOGIyMTZhNTU0ZWQiIC8+PEVudHJ5IFR5cGU9IkZpbGxUYXJnZXQiIFZhbHVlPSJzU2FpbnRzIiAvPjxFbnRyeSBUeXBlPSJGaWxsVGFyZ2V0TmFtZUN1c3RvbWl6ZWQiIFZhbHVlPSJsMSIgLz48RW50cnkgVHlwZT0iTmFtZVVwZGF0ZWRBZnRlckZpbGwiIFZhbHVlPSJsMCIgLz48RW50cnkgVHlwZT0iUmVzdWx0VHlwZSIgVmFsdWU9InNUYWJsZSIgLz48RW50cnkgVHlwZT0iQnVmZmVyTmV4dFJlZnJlc2giIFZhbHVlPSJsMSIgLz48RW50cnkgVHlwZT0iRmlsbGVkQ29tcGxldGVSZXN1bHRUb1dvcmtzaGVldCIgVmFsdWU9ImwxIiAvPjxFbnRyeSBUeXBlPSJGaWxsQ291bnQiIFZhbHVlPSJsMTkxIiAvPjxFbnRyeSBUeXBlPSJGaWxsRXJyb3JDb2RlIiBWYWx1ZT0ic1Vua25vd24iIC8+PEVudHJ5IFR5cGU9IkZpbGxFcnJvckNvdW50IiBWYWx1ZT0ibDAiIC8+PEVudHJ5IFR5cGU9IkZpbGxMYXN0VXBkYXRlZCIgVmFsdWU9ImQyMDI2LTA5LTIzVDIxOjQwOjE5Ljc1ODA0NThaIiAvPjxFbnRyeSBUeXBlPSJGaWxsQ29sdW1uVHlwZXMiIFZhbHVlPSJzQXdNREJnWT0iIC8+PEVudHJ5IFR5cGU9IkZpbGxDb2x1bW5OYW1lcyIgVmFsdWU9InNbJnF1b3Q7S2V5JnF1b3Q7LCZxdW90O01vbnRoJnF1b3Q7LCZxdW90O0RheSZxdW90OywmcXVvdDtOYW1lJnF1b3Q7LCZxdW90O1NvdXJjZSZxdW90O10iIC8+PEVudHJ5IFR5cGU9IkZpbGxTdGF0dXMiIFZhbHVlPSJzQ29tcGxldGUiIC8+PEVudHJ5IFR5cGU9IkFkZGVkVG9EYXRhTW9kZWwiIFZhbHVlPSJsMCIgLz48RW50cnkgVHlwZT0iUmVsYXRpb25zaGlwSW5mb0NvbnRhaW5lciIgVmFsdWU9InN7JnF1b3Q7Y29sdW1uQ291bnQmcXVvdDs6MSwmcXVvdDtrZXlDb2x1bW5OYW1lcyZxdW90OzpbXSwmcXVvdDtxdWVyeVJlbGF0aW9uc2hpcHMmcXVvdDs6W10sJnF1b3Q7Y29sdW1uSWRlbnRpdGllcyZxdW90OzpbJnF1b3Q7U2VjdGlvbjEvU2FpbnRzL0F1dG9SZW1vdmVkQ29sdW1uczEue1Jlc3VsdCwwfSZxdW90O10sJnF1b3Q7Q29sdW1uQ291bnQmcXVvdDs6MSwmcXVvdDtLZXlDb2x1bW5OYW1lcyZxdW90OzpbXSwmcXVvdDtDb2x1bW5JZGVudGl0aWVzJnF1b3Q7OlsmcXVvdDtTZWN0aW9uMS9TYWludHMvQXV0b1JlbW92ZWRDb2x1bW5zMS57UmVzdWx0LDB9JnF1b3Q7XSwmcXVvdDtSZWxhdGlvbnNoaXBJbmZvJnF1b3Q7OltdfSIgLz48L1N0YWJsZUVudHJpZXM+PC9JdGVtPjxJdGVtPjxJdGVtTG9jYXRpb24+PEl0ZW1UeXBlPkZvcm11bGE8L0l0ZW1UeXBlPjxJdGVtUGF0aD5TZWN0aW9uMS9TYWludHMvRm9sZGVyPC9JdGVtUGF0aD48L0l0ZW1Mb2NhdGlvbj48U3RhYmxlRW50cmllcyAvPjwvSXRlbT48SXRlbT48SXRlbUxvY2F0aW9uPjxJdGVtVHlwZT5Gb3JtdWxhPC9JdGVtVHlwZT48SXRlbVBhdGg+U2VjdGlvbjEvU2FpbnRzL1JhdzwvSXRlbVBhdGg+PC9JdGVtTG9jYXRpb24+PFN0YWJsZUVudHJpZXMgLz48L0l0ZW0+PEl0ZW0+PEl0ZW1Mb2NhdGlvbj48SXRlbVR5cGU+Rm9ybXVsYTwvSXRlbVR5cGU+PEl0ZW1QYXRoPlNlY3Rpb24xL1NhaW50cy9IZWFkZXJzPC9JdGVtUGF0aD48L0l0ZW1Mb2NhdGlvbj48U3RhYmxlRW50cmllcyAvPjwvSXRlbT48SXRlbT48SXRlbUxvY2F0aW9uPjxJdGVtVHlwZT5Gb3JtdWxhPC9JdGVtVHlwZT48SXRlbVBhdGg+U2VjdGlvbjEvU2FpbnRzL1JlcXVpcmVkPC9JdGVtUGF0aD48L0l0ZW1Mb2NhdGlvbj48U3RhYmxlRW50cmllcyAvPjwvSXRlbT48SXRlbT48SXRlbUxvY2F0aW9uPjxJdGVtVHlwZT5Gb3JtdWxhPC9JdGVtVHlwZT48SXRlbVBhdGg+U2VjdGlvbjEvU2FpbnRzL0NoZWNrZWRIZWFkZXJzPC9JdGVtUGF0aD48L0l0ZW1Mb2NhdGlvbj48U3RhYmxlRW50cmllcyAvPjwvSXRlbT48SXRlbT48SXRlbUxvY2F0aW9uPjxJdGVtVHlwZT5Gb3JtdWxhPC9JdGVtVHlwZT48SXRlbVBhdGg+U2VjdGlvbjEvU2FpbnRzL1R5cGVkPC9JdGVtUGF0aD48L0l0ZW1Mb2NhdGlvbj48U3RhYmxlRW50cmllcyAvPjwvSXRlbT48SXRlbT48SXRlbUxvY2F0aW9uPjxJdGVtVHlwZT5Gb3JtdWxhPC9JdGVtVHlwZT48SXRlbVBhdGg+U2VjdGlvbjEvU2FpbnRzL0NoZWNrZWQ8L0l0ZW1QYXRoPjwvSXRlbUxvY2F0aW9uPjxTdGFibGVFbnRyaWVzIC8+PC9JdGVtPjxJdGVtPjxJdGVtTG9jYXRpb24+PEl0ZW1UeXBlPkZvcm11bGE8L0l0ZW1UeXBlPjxJdGVtUGF0aD5TZWN0aW9uMS9TYWludHMvVmFsaWRhdGVkPC9JdGVtUGF0aD48L0l0ZW1Mb2NhdGlvbj48U3RhYmxlRW50cmllcyAvPjwvSXRlbT48SXRlbT48SXRlbUxvY2F0aW9uPjxJdGVtVHlwZT5Gb3JtdWxhPC9JdGVtVHlwZT48SXRlbVBhdGg+U2VjdGlvbjEvTW9vblBoYXNlczwvSXRlbVBhdGg+PC9JdGVtTG9jYXRpb24+PFN0YWJsZUVudHJpZXM+PEVudHJ5IFR5cGU9IklzUHJpdmF0ZSIgVmFsdWU9ImwwIiAvPjxFbnRyeSBUeXBlPSJGaWxsRW5hYmxlZCIgVmFsdWU9ImwxIiAvPjxFbnRyeSBUeXBlPSJGaWxsT2JqZWN0VHlwZSIgVmFsdWU9InNUYWJsZSIgLz48RW50cnkgVHlwZT0iRmlsbFRvRGF0YU1vZGVsRW5hYmxlZCIgVmFsdWU9ImwwIiAvPjxFbnRyeSBUeXBlPSJRdWVyeUlEIiBWYWx1ZT0ic2JmYjc3ZmY0LTIzMmQtNDFiMS1iYzdiLWQyODA5OTkyZTJjZSIgLz48RW50cnkgVHlwZT0iRmlsbFRhcmdldCIgVmFsdWU9InNNb29uUGhhc2VzIiAvPjxFbnRyeSBUeXBlPSJGaWxsVGFyZ2V0TmFtZUN1c3RvbWl6ZWQiIFZhbHVlPSJsMSIgLz48RW50cnkgVHlwZT0iTmFtZVVwZGF0ZWRBZnRlckZpbGwiIFZhbHVlPSJsMCIgLz48RW50cnkgVHlwZT0iUmVzdWx0VHlwZSIgVmFsdWU9InNUYWJsZSIgLz48RW50cnkgVHlwZT0iQnVmZmVyTmV4dFJlZnJlc2giIFZhbHVlPSJsMSIgLz48RW50cnkgVHlwZT0iRmlsbGVkQ29tcGxldGVSZXN1bHRUb1dvcmtzaGVldCIgVmFsdWU9ImwxIiAvPjxFbnRyeSBUeXBlPSJGaWxsQ291bnQiIFZhbHVlPSJsMjQ3IiAvPjxFbnRyeSBUeXBlPSJGaWxsRXJyb3JDb2RlIiBWYWx1ZT0ic1Vua25vd24iIC8+PEVudHJ5IFR5cGU9IkZpbGxFcnJvckNvdW50IiBWYWx1ZT0ibDAiIC8+PEVudHJ5IFR5cGU9IkZpbGxMYXN0VXBkYXRlZCIgVmFsdWU9ImQyMDI2LTA5LTIzVDIxOjQwOjE5Ljc2MjM2MzBaIiAvPjxFbnRyeSBUeXBlPSJGaWxsQ29sdW1uVHlwZXMiIFZhbHVlPSJzQndZR0JnPT0iIC8+PEVudHJ5IFR5cGU9IkZpbGxDb2x1bW5OYW1lcyIgVmFsdWU9InNbJnF1b3Q7VXRjJnF1b3Q7LCZxdW90O1BoYXNlJnF1b3Q7LCZxdW90O0JldHdlZW4mcXVvdDssJnF1b3Q7U291cmNlJnF1b3Q7XSIgLz48RW50cnkgVHlwZT0iRmlsbFN0YXR1cyIgVmFsdWU9InNDb21wbGV0ZSIgLz48RW50cnkgVHlwZT0iQWRkZWRUb0RhdGFNb2RlbCIgVmFsdWU9ImwwIiAvPjxFbnRyeSBUeXBlPSJSZWxhdGlvbnNoaXBJbmZvQ29udGFpbmVyIiBWYWx1ZT0ic3smcXVvdDtjb2x1bW5Db3VudCZxdW90OzoxLCZxdW90O2tleUNvbHVtbk5hbWVzJnF1b3Q7OltdLCZxdW90O3F1ZXJ5UmVsYXRpb25zaGlwcyZxdW90OzpbXSwmcXVvdDtjb2x1bW5JZGVudGl0aWVzJnF1b3Q7OlsmcXVvdDtTZWN0aW9uMS9Nb29uUGhhc2VzL0F1dG9SZW1vdmVkQ29sdW1uczEue1Jlc3VsdCwwfSZxdW90O10sJnF1b3Q7Q29sdW1uQ291bnQmcXVvdDs6MSwmcXVvdDtLZXlDb2x1bW5OYW1lcyZxdW90OzpbXSwmcXVvdDtDb2x1bW5JZGVudGl0aWVzJnF1b3Q7OlsmcXVvdDtTZWN0aW9uMS9Nb29uUGhhc2VzL0F1dG9SZW1vdmVkQ29sdW1uczEue1Jlc3VsdCwwfSZxdW90O10sJnF1b3Q7UmVsYXRpb25zaGlwSW5mbyZxdW90OzpbXX0iIC8+PC9TdGFibGVFbnRyaWVzPjwvSXRlbT48SXRlbT48SXRlbUxvY2F0aW9uPjxJdGVtVHlwZT5Gb3JtdWxhPC9JdGVtVHlwZT48SXRlbVBhdGg+U2VjdGlvbjEvTW9vblBoYXNlcy9Gb2xkZXI8L0l0ZW1QYXRoPjwvSXRlbUxvY2F0aW9uPjxTdGFibGVFbnRyaWVzIC8+PC9JdGVtPjxJdGVtPjxJdGVtTG9jYXRpb24+PEl0ZW1UeXBlPkZvcm11bGE8L0l0ZW1UeXBlPjxJdGVtUGF0aD5TZWN0aW9uMS9Nb29uUGhhc2VzL1JhdzwvSXRlbVBhdGg+PC9JdGVtTG9jYXRpb24+PFN0YWJsZUVudHJpZXMgLz48L0l0ZW0+PEl0ZW0+PEl0ZW1Mb2NhdGlvbj48SXRlbVR5cGU+Rm9ybXVsYTwvSXRlbVR5cGU+PEl0ZW1QYXRoPlNlY3Rpb24xL01vb25QaGFzZXMvSGVhZGVyczwvSXRlbVBhdGg+PC9JdGVtTG9jYXRpb24+PFN0YWJsZUVudHJpZXMgLz48L0l0ZW0+PEl0ZW0+PEl0ZW1Mb2NhdGlvbj48SXRlbVR5cGU+Rm9ybXVsYTwvSXRlbVR5cGU+PEl0ZW1QYXRoPlNlY3Rpb24xL01vb25QaGFzZXMvUmVxdWlyZWQ8L0l0ZW1QYXRoPjwvSXRlbUxvY2F0aW9uPjxTdGFibGVFbnRyaWVzIC8+PC9JdGVtPjxJdGVtPjxJdGVtTG9jYXRpb24+PEl0ZW1UeXBlPkZvcm11bGE8L0l0ZW1UeXBlPjxJdGVtUGF0aD5TZWN0aW9uMS9Nb29uUGhhc2VzL0NoZWNrZWRIZWFkZXJzPC9JdGVtUGF0aD48L0l0ZW1Mb2NhdGlvbj48U3RhYmxlRW50cmllcyAvPjwvSXRlbT48SXRlbT48SXRlbUxvY2F0aW9uPjxJdGVtVHlwZT5Gb3JtdWxhPC9JdGVtVHlwZT48SXRlbVBhdGg+U2VjdGlvbjEvTW9vblBoYXNlcy9UeXBlZDwvSXRlbVBhdGg+PC9JdGVtTG9jYXRpb24+PFN0YWJsZUVudHJpZXMgLz48L0l0ZW0+PEl0ZW0+PEl0ZW1Mb2NhdGlvbj48SXRlbVR5cGU+Rm9ybXVsYTwvSXRlbVR5cGU+PEl0ZW1QYXRoPlNlY3Rpb24xL01vb25QaGFzZXMvVmFsaWRhdGVkPC9JdGVtUGF0aD48L0l0ZW1Mb2NhdGlvbj48U3RhYmxlRW50cmllcyAvPjwvSXRlbT48SXRlbT48SXRlbUxvY2F0aW9uPjxJdGVtVHlwZT5Gb3JtdWxhPC9JdGVtVHlwZT48SXRlbVBhdGg+U2VjdGlvbjEvSW1wb3J0ZWRIb2xpZGF5cy9DaGVja2VkPC9JdGVtUGF0aD48L0l0ZW1Mb2NhdGlvbj48U3RhYmxlRW50cmllcyAvPjwvSXRlbT48SXRlbT48SXRlbUxvY2F0aW9uPjxJdGVtVHlwZT5Gb3JtdWxhPC9JdGVtVHlwZT48SXRlbVBhdGg+U2VjdGlvbjEvSW1wb3J0ZWRIb2xpZGF5cy9VbmlxdWU8L0l0ZW1QYXRoPjwvSXRlbUxvY2F0aW9uPjxTdGFibGVFbnRyaWVzIC8+PC9JdGVtPjxJdGVtPjxJdGVtTG9jYXRpb24+PEl0ZW1UeXBlPkZvcm11bGE8L0l0ZW1UeXBlPjxJdGVtUGF0aD5TZWN0aW9uMS9ab25lQ2F0YWxvZy9DaGVja2VkPC9JdGVtUGF0aD48L0l0ZW1Mb2NhdGlvbj48U3RhYmxlRW50cmllcyAvPjwvSXRlbT48SXRlbT48SXRlbUxvY2F0aW9uPjxJdGVtVHlwZT5Gb3JtdWxhPC9JdGVtVHlwZT48SXRlbVBhdGg+U2VjdGlvbjEvV2VhdGhlcjwvSXRlbVBhdGg+PC9JdGVtTG9jYXRpb24+PFN0YWJsZUVudHJpZXM+PEVudHJ5IFR5cGU9IklzUHJpdmF0ZSIgVmFsdWU9ImwwIiAvPjxFbnRyeSBUeXBlPSJGaWxsRW5hYmxlZCIgVmFsdWU9ImwxIiAvPjxFbnRyeSBUeXBlPSJGaWxsT2JqZWN0VHlwZSIgVmFsdWU9InNUYWJsZSIgLz48RW50cnkgVHlwZT0iRmlsbFRvRGF0YU1vZGVsRW5hYmxlZCIgVmFsdWU9ImwwIiAvPjxFbnRyeSBUeXBlPSJRdWVyeUlEIiBWYWx1ZT0iczUwNGVkYWJmLWNmMzAtNDMyZC04NDgwLWZjNTE0MjVkMTZkYiIgLz48RW50cnkgVHlwZT0iRmlsbFRhcmdldCIgVmFsdWU9InNXZWF0aGVyIiAvPjxFbnRyeSBUeXBlPSJGaWxsVGFyZ2V0TmFtZUN1c3RvbWl6ZWQiIFZhbHVlPSJsMSIgLz48RW50cnkgVHlwZT0iTmFtZVVwZGF0ZWRBZnRlckZpbGwiIFZhbHVlPSJsMCIgLz48RW50cnkgVHlwZT0iUmVzdWx0VHlwZSIgVmFsdWU9InNUYWJsZSIgLz48RW50cnkgVHlwZT0iQnVmZmVyTmV4dFJlZnJlc2giIFZhbHVlPSJsMSIgLz48RW50cnkgVHlwZT0iRmlsbGVkQ29tcGxldGVSZXN1bHRUb1dvcmtzaGVldCIgVmFsdWU9ImwxIiAvPjxFbnRyeSBUeXBlPSJGaWxsU3RhdHVzIiBWYWx1ZT0ic0NvbXBsZXRlIiAvPjxFbnRyeSBUeXBlPSJGaWxsQ29sdW1uTmFtZXMiIFZhbHVlPSJzWyZxdW90O0NvZGUmcXVvdDssJnF1b3Q7T2JzZXJ2ZWRVdGMmcXVvdDssJnF1b3Q7RmV0Y2hlZFV0YyZxdW90OywmcXVvdDtUZW1wZXJhdHVyZUMmcXVvdDssJnF1b3Q7RmVlbHNMaWtlQyZxdW90OywmcXVvdDtEZXNjcmlwdGlvbiZxdW90OywmcXVvdDtXaW5kTXMmcXVvdDssJnF1b3Q7U3RhdHVzJnF1b3Q7LCZxdW90O1NvdXJjZSZxdW90O10iIC8+PEVudHJ5IFR5cGU9IkZpbGxDb2x1bW5UeXBlcyIgVmFsdWU9InNCZ2NIQlFVR0JRWUciIC8+PEVudHJ5IFR5cGU9IkZpbGxMYXN0VXBkYXRlZCIgVmFsdWU9ImQyMDI2LTA5LTIzVDIxOjQwOjE5Ljc3MzU0MjlaIiAvPjxFbnRyeSBUeXBlPSJGaWxsRXJyb3JDb3VudCIgVmFsdWU9ImwwIiAvPjxFbnRyeSBUeXBlPSJGaWxsRXJyb3JDb2RlIiBWYWx1ZT0ic1Vua25vd24iIC8+PEVudHJ5IFR5cGU9IkZpbGxDb3VudCIgVmFsdWU9Imw3IiAvPjxFbnRyeSBUeXBlPSJBZGRlZFRvRGF0YU1vZGVsIiBWYWx1ZT0ibDAiIC8+PEVudHJ5IFR5cGU9IlJlbGF0aW9uc2hpcEluZm9Db250YWluZXIiIFZhbHVlPSJzeyZxdW90O2NvbHVtbkNvdW50JnF1b3Q7OjEsJnF1b3Q7a2V5Q29sdW1uTmFtZXMmcXVvdDs6W10sJnF1b3Q7cXVlcnlSZWxhdGlvbnNoaXBzJnF1b3Q7OltdLCZxdW90O2NvbHVtbklkZW50aXRpZXMmcXVvdDs6WyZxdW90O1NlY3Rpb24xL1dlYXRoZXIvQXV0b1JlbW92ZWRDb2x1bW5zMS57UmVzdWx0LDB9JnF1b3Q7XSwmcXVvdDtDb2x1bW5Db3VudCZxdW90OzoxLCZxdW90O0tleUNvbHVtbk5hbWVzJnF1b3Q7OltdLCZxdW90O0NvbHVtbklkZW50aXRpZXMmcXVvdDs6WyZxdW90O1NlY3Rpb24xL1dlYXRoZXIvQXV0b1JlbW92ZWRDb2x1bW5zMS57UmVzdWx0LDB9JnF1b3Q7XSwmcXVvdDtSZWxhdGlvbnNoaXBJbmZvJnF1b3Q7OltdfSIgLz48L1N0YWJsZUVudHJpZXM+PC9JdGVtPjxJdGVtPjxJdGVtTG9jYXRpb24+PEl0ZW1UeXBlPkZvcm11bGE8L0l0ZW1UeXBlPjxJdGVtUGF0aD5TZWN0aW9uMS9XZWF0aGVyL0hlYWRlcnM8L0l0ZW1QYXRoPjwvSXRlbUxvY2F0aW9uPjxTdGFibGVFbnRyaWVzIC8+PC9JdGVtPjxJdGVtPjxJdGVtTG9jYXRpb24+PEl0ZW1UeXBlPkZvcm11bGE8L0l0ZW1UeXBlPjxJdGVtUGF0aD5TZWN0aW9uMS9XZWF0aGVyL0NhdGFsb2dIZWFkZXJzPC9JdGVtUGF0aD48L0l0ZW1Mb2NhdGlvbj48U3RhYmxlRW50cmllcyAvPjwvSXRlbT48SXRlbT48SXRlbUxvY2F0aW9uPjxJdGVtVHlwZT5Gb3JtdWxhPC9JdGVtVHlwZT48SXRlbVBhdGg+U2VjdGlvbjEvV2VhdGhlci9PdXRwdXRUeXBlPC9JdGVtUGF0aD48L0l0ZW1Mb2NhdGlvbj48U3RhYmxlRW50cmllcyAvPjwvSXRlbT48SXRlbT48SXRlbUxvY2F0aW9uPjxJdGVtVHlwZT5Gb3JtdWxhPC9JdGVtVHlwZT48SXRlbVBhdGg+U2VjdGlvbjEvV2VhdGhlci9GYWlsPC9JdGVtUGF0aD48L0l0ZW1Mb2NhdGlvbj48U3RhYmxlRW50cmllcyAvPjwvSXRlbT48SXRlbT48SXRlbUxvY2F0aW9uPjxJdGVtVHlwZT5Gb3JtdWxhPC9JdGVtVHlwZT48SXRlbVBhdGg+U2VjdGlvbjEvV2VhdGhlci9SYXdLZXk8L0l0ZW1QYXRoPjwvSXRlbUxvY2F0aW9uPjxTdGFibGVFbnRyaWVzIC8+PC9JdGVtPjxJdGVtPjxJdGVtTG9jYXRpb24+PEl0ZW1UeXBlPkZvcm11bGE8L0l0ZW1UeXBlPjxJdGVtUGF0aD5TZWN0aW9uMS9XZWF0aGVyL0tleTwvSXRlbVBhdGg+PC9JdGVtTG9jYXRpb24+PFN0YWJsZUVudHJpZXMgLz48L0l0ZW0+PEl0ZW0+PEl0ZW1Mb2NhdGlvbj48SXRlbVR5cGU+Rm9ybXVsYTwvSXRlbVR5cGU+PEl0ZW1QYXRoPlNlY3Rpb24xL1dlYXRoZXIvRm9sZGVyVmFsdWU8L0l0ZW1QYXRoPjwvSXRlbUxvY2F0aW9uPjxTdGFibGVFbnRyaWVzIC8+PC9JdGVtPjxJdGVtPjxJdGVtTG9jYXRpb24+PEl0ZW1UeXBlPkZvcm11bGE8L0l0ZW1UeXBlPjxJdGVtUGF0aD5TZWN0aW9uMS9XZWF0aGVyL0ZvbGRlcjwvSXRlbVBhdGg+PC9JdGVtTG9jYXRpb24+PFN0YWJsZUVudHJpZXMgLz48L0l0ZW0+PEl0ZW0+PEl0ZW1Mb2NhdGlvbj48SXRlbVR5cGU+Rm9ybXVsYTwvSXRlbVR5cGU+PEl0ZW1QYXRoPlNlY3Rpb24xL1dlYXRoZXIvQ3N2UmF3PC9JdGVtUGF0aD48L0l0ZW1Mb2NhdGlvbj48U3RhYmxlRW50cmllcyAvPjwvSXRlbT48SXRlbT48SXRlbUxvY2F0aW9uPjxJdGVtVHlwZT5Gb3JtdWxhPC9JdGVtVHlwZT48SXRlbVBhdGg+U2VjdGlvbjEvV2VhdGhlci9Dc3ZIZWFkZXJzPC9JdGVtUGF0aD48L0l0ZW1Mb2NhdGlvbj48U3RhYmxlRW50cmllcyAvPjwvSXRlbT48SXRlbT48SXRlbUxvY2F0aW9uPjxJdGVtVHlwZT5Gb3JtdWxhPC9JdGVtVHlwZT48SXRlbVBhdGg+U2VjdGlvbjEvV2VhdGhlci9Dc3ZDaGVja2VkPC9JdGVtUGF0aD48L0l0ZW1Mb2NhdGlvbj48U3RhYmxlRW50cmllcyAvPjwvSXRlbT48SXRlbT48SXRlbUxvY2F0aW9uPjxJdGVtVHlwZT5Gb3JtdWxhPC9JdGVtVHlwZT48SXRlbVBhdGg+U2VjdGlvbjEvV2VhdGhlci9DYXRhbG9nUmF3PC9JdGVtUGF0aD48L0l0ZW1Mb2NhdGlvbj48U3RhYmxlRW50cmllcyAvPjwvSXRlbT48SXRlbT48SXRlbUxvY2F0aW9uPjxJdGVtVHlwZT5Gb3JtdWxhPC9JdGVtVHlwZT48SXRlbVBhdGg+U2VjdGlvbjEvV2VhdGhlci9DYXRhbG9nUHJvbW90ZWQ8L0l0ZW1QYXRoPjwvSXRlbUxvY2F0aW9uPjxTdGFibGVFbnRyaWVzIC8+PC9JdGVtPjxJdGVtPjxJdGVtTG9jYXRpb24+PEl0ZW1UeXBlPkZvcm11bGE8L0l0ZW1UeXBlPjxJdGVtUGF0aD5TZWN0aW9uMS9XZWF0aGVyL0NhdGFsb2dDaGVja2VkPC9JdGVtUGF0aD48L0l0ZW1Mb2NhdGlvbj48U3RhYmxlRW50cmllcyAvPjwvSXRlbT48SXRlbT48SXRlbUxvY2F0aW9uPjxJdGVtVHlwZT5Gb3JtdWxhPC9JdGVtVHlwZT48SXRlbVBhdGg+U2VjdGlvbjEvV2VhdGhlci9TZWxlY3RlZFJhbmdlPC9JdGVtUGF0aD48L0l0ZW1Mb2NhdGlvbj48U3RhYmxlRW50cmllcyAvPjwvSXRlbT48SXRlbT48SXRlbUxvY2F0aW9uPjxJdGVtVHlwZT5Gb3JtdWxhPC9JdGVtVHlwZT48SXRlbVBhdGg+U2VjdGlvbjEvV2VhdGhlci9UZXh0Q29kZTwvSXRlbVBhdGg+PC9JdGVtTG9jYXRpb24+PFN0YWJsZUVudHJpZXMgLz48L0l0ZW0+PEl0ZW0+PEl0ZW1Mb2NhdGlvbj48SXRlbVR5cGU+Rm9ybXVsYTwvSXRlbVR5cGU+PEl0ZW1QYXRoPlNlY3Rpb24xL1dlYXRoZXIvRmluaXRlPC9JdGVtUGF0aD48L0l0ZW1Mb2NhdGlvbj48U3RhYmxlRW50cmllcyAvPjwvSXRlbT48SXRlbT48SXRlbUxvY2F0aW9uPjxJdGVtVHlwZT5Gb3JtdWxhPC9JdGVtVHlwZT48SXRlbVBhdGg+U2VjdGlvbjEvV2VhdGhlci9OdW1iZXJDZWxsPC9JdGVtUGF0aD48L0l0ZW1Mb2NhdGlvbj48U3RhYmxlRW50cmllcyAvPjwvSXRlbT48SXRlbT48SXRlbUxvY2F0aW9uPjxJdGVtVHlwZT5Gb3JtdWxhPC9JdGVtVHlwZT48SXRlbVBhdGg+U2VjdGlvbjEvV2VhdGhlci9VdGNDZWxsPC9JdGVtUGF0aD48L0l0ZW1Mb2NhdGlvbj48U3RhYmxlRW50cmllcyAvPjwvSXRlbT48SXRlbT48SXRlbUxvY2F0aW9uPjxJdGVtVHlwZT5Gb3JtdWxhPC9JdGVtVHlwZT48SXRlbVBhdGg+U2VjdGlvbjEvV2VhdGhlci9VbmlxdWVDb2RlczwvSXRlbVBhdGg+PC9JdGVtTG9jYXRpb24+PFN0YWJsZUVudHJpZXMgLz48L0l0ZW0+PEl0ZW0+PEl0ZW1Mb2NhdGlvbj48SXRlbVR5cGU+Rm9ybXVsYTwvSXRlbVR5cGU+PEl0ZW1QYXRoPlNlY3Rpb24xL1dlYXRoZXIvQ3N2TW9kZTwvSXRlbVBhdGg+PC9JdGVtTG9jYXRpb24+PFN0YWJsZUVudHJpZXMgLz48L0l0ZW0+PEl0ZW0+PEl0ZW1Mb2NhdGlvbj48SXRlbVR5cGU+Rm9ybXVsYTwvSXRlbVR5cGU+PEl0ZW1QYXRoPlNlY3Rpb24xL1dlYXRoZXIvQXBpTW9kZTwvSXRlbVBhdGg+PC9JdGVtTG9jYXRpb24+PFN0YWJsZUVudHJpZXMgLz48L0l0ZW0+PEl0ZW0+PEl0ZW1Mb2NhdGlvbj48SXRlbVR5cGU+Rm9ybXVsYTwvSXRlbVR5cGU+PEl0ZW1QYXRoPlNlY3Rpb24xL1dlYXRoZXIvQXR0ZW1wdDwvSXRlbVBhdGg+PC9JdGVtTG9jYXRpb24+PFN0YWJsZUVudHJpZXMgLz48L0l0ZW0+PEl0ZW0+PEl0ZW1Mb2NhdGlvbj48SXRlbVR5cGU+Rm9ybXVsYTwvSXRlbVR5cGU+PEl0ZW1QYXRoPlNlY3Rpb24xL1dlYXRoZXIvUmVzdWx0PC9JdGVtUGF0aD48L0l0ZW1Mb2NhdGlvbj48U3RhYmxlRW50cmllcyAvPjwvSXRlbT48L0l0ZW1zPjwvTG9jYWxQYWNrYWdlTWV0YWRhdGFGaWxlPhYAAABQSwUGAAAAAAAAAAAAAAAAAAAAAAAAJgEAAAEAAADQjJ3fARXREYx6AMBPwpfrAQAAAPdaL2XL8pBHm33X99Y8TcUAAAAAAgAAAAAAEGYAAAABAAAgAAAAtuMEwKrErS43zHyurtdiEyzeiPA2kCIN0h1iQgh14rYAAAAADoAAAAACAAAgAAAAOHqDcpZLLUWZJ1Y9VNAuOtNYaQLV0x+LKbRsgVOwoahQAAAAxqrgwNpz1F9aYrXgbE+aH0GlVQriD26dI9aGvu9sjKqVlFcer9RuXk/zsFATT/Rros6FnzIAuMuHex6cbiyNlUkzHm3ZsR1qbGTKvvZRRgRAAAAA2vzzhpc+XOGGSwG5KsdU2OB61EWBy1k5fzRpDqHqneu6v2QfpzetMbkuyF8Zplslsz/DFYcpI1EHBqt3dvGY1A==</DataMashup>
</file>

<file path=customXml/itemProps1.xml><?xml version="1.0" encoding="utf-8"?>
<ds:datastoreItem xmlns:ds="http://schemas.openxmlformats.org/officeDocument/2006/customXml" ds:itemID="{2CE370E2-995D-4038-BA0C-683B97AFDD7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11</vt:i4>
      </vt:variant>
      <vt:variant>
        <vt:lpstr>Intervalli denominati</vt:lpstr>
      </vt:variant>
      <vt:variant>
        <vt:i4>22</vt:i4>
      </vt:variant>
    </vt:vector>
  </HeadingPairs>
  <TitlesOfParts>
    <vt:vector size="33" baseType="lpstr">
      <vt:lpstr>Copertina</vt:lpstr>
      <vt:lpstr>Parametri</vt:lpstr>
      <vt:lpstr>Eccezioni</vt:lpstr>
      <vt:lpstr>Planner</vt:lpstr>
      <vt:lpstr>Estesa</vt:lpstr>
      <vt:lpstr>Calendari</vt:lpstr>
      <vt:lpstr>Da_file</vt:lpstr>
      <vt:lpstr>Info</vt:lpstr>
      <vt:lpstr>Fusi</vt:lpstr>
      <vt:lpstr>Guida</vt:lpstr>
      <vt:lpstr>Calcoli</vt:lpstr>
      <vt:lpstr>ActivityEnd</vt:lpstr>
      <vt:lpstr>ActivityStart</vt:lpstr>
      <vt:lpstr>Copertina!Area_stampa</vt:lpstr>
      <vt:lpstr>Eccezioni!Area_stampa</vt:lpstr>
      <vt:lpstr>Estesa!Area_stampa</vt:lpstr>
      <vt:lpstr>Planner!Area_stampa</vt:lpstr>
      <vt:lpstr>AvailabilityGrid</vt:lpstr>
      <vt:lpstr>AvailabilityStates</vt:lpstr>
      <vt:lpstr>AvailableZoneCodes</vt:lpstr>
      <vt:lpstr>CalendarCodes</vt:lpstr>
      <vt:lpstr>CalendarKeys</vt:lpstr>
      <vt:lpstr>DataFolder</vt:lpstr>
      <vt:lpstr>ExtendedStepMinutes</vt:lpstr>
      <vt:lpstr>LocationLabels</vt:lpstr>
      <vt:lpstr>PlannerDate</vt:lpstr>
      <vt:lpstr>ReserveAfterHours</vt:lpstr>
      <vt:lpstr>ReserveBeforeHours</vt:lpstr>
      <vt:lpstr>StartLocalTime</vt:lpstr>
      <vt:lpstr>Estesa!Titoli_stampa</vt:lpstr>
      <vt:lpstr>WeatherApiKey</vt:lpstr>
      <vt:lpstr>WeeklyRestDays</vt:lpstr>
      <vt:lpstr>ZoneKeys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Umberto Giacobbi</cp:lastModifiedBy>
  <cp:lastPrinted>2026-09-23T22:00:04Z</cp:lastPrinted>
  <dcterms:modified xsi:type="dcterms:W3CDTF">2026-09-23T22:00:06Z</dcterms:modified>
</cp:coreProperties>
</file>